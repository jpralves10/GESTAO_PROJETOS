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c\Downloads\_PLUGINS\"/>
    </mc:Choice>
  </mc:AlternateContent>
  <xr:revisionPtr revIDLastSave="0" documentId="8_{5E9338CD-79A9-496F-8C5B-272F6BA78CAE}" xr6:coauthVersionLast="36" xr6:coauthVersionMax="36" xr10:uidLastSave="{00000000-0000-0000-0000-000000000000}"/>
  <bookViews>
    <workbookView xWindow="240" yWindow="255" windowWidth="20115" windowHeight="7815" firstSheet="1" activeTab="1"/>
  </bookViews>
  <sheets>
    <sheet name="Pics" sheetId="4" state="hidden" r:id="rId1"/>
    <sheet name="Bolhas" sheetId="1" r:id="rId2"/>
    <sheet name="Try it Yourself" sheetId="3" state="hidden" r:id="rId3"/>
  </sheets>
  <definedNames>
    <definedName name="MyPic">CHOOSE(MyPicSelect,MyPic1,MyPic2,MyPic3,MyPic4)</definedName>
    <definedName name="MyPic1">Pics!$B$2</definedName>
    <definedName name="MyPic2">Pics!$B$3</definedName>
    <definedName name="MyPic3">Pics!$B$4</definedName>
    <definedName name="MyPic4">Pics!$B$5</definedName>
    <definedName name="MyPicSelect">Pics!$B$1</definedName>
  </definedNames>
  <calcPr calcId="179021"/>
</workbook>
</file>

<file path=xl/calcChain.xml><?xml version="1.0" encoding="utf-8"?>
<calcChain xmlns="http://schemas.openxmlformats.org/spreadsheetml/2006/main">
  <c r="K5" i="1" l="1"/>
  <c r="K6" i="1"/>
  <c r="K7" i="1"/>
  <c r="K8" i="1"/>
  <c r="K9" i="1"/>
  <c r="K10" i="1"/>
  <c r="K11" i="1"/>
  <c r="K12" i="1"/>
  <c r="K13" i="1"/>
  <c r="I5" i="1"/>
  <c r="I6" i="1"/>
  <c r="I7" i="1"/>
  <c r="I8" i="1"/>
  <c r="I9" i="1"/>
  <c r="I10" i="1"/>
  <c r="I11" i="1"/>
  <c r="I12" i="1"/>
  <c r="I13" i="1"/>
  <c r="G5" i="1"/>
  <c r="G6" i="1"/>
  <c r="G7" i="1"/>
  <c r="G8" i="1"/>
  <c r="G9" i="1"/>
  <c r="G10" i="1"/>
  <c r="G11" i="1"/>
  <c r="G12" i="1"/>
  <c r="G13" i="1"/>
  <c r="G4" i="1"/>
  <c r="I4" i="1"/>
  <c r="K4" i="1"/>
  <c r="G14" i="1"/>
  <c r="B1" i="4"/>
  <c r="L13" i="1"/>
  <c r="J13" i="1"/>
  <c r="L12" i="1"/>
  <c r="J12" i="1"/>
  <c r="L11" i="1"/>
  <c r="J11" i="1"/>
  <c r="L10" i="1"/>
  <c r="J10" i="1"/>
  <c r="L9" i="1"/>
  <c r="J9" i="1"/>
  <c r="L8" i="1"/>
  <c r="J8" i="1"/>
  <c r="L7" i="1"/>
  <c r="J7" i="1"/>
  <c r="L6" i="1"/>
  <c r="J6" i="1"/>
  <c r="L5" i="1"/>
  <c r="J5" i="1"/>
  <c r="L4" i="1"/>
  <c r="J4" i="1"/>
  <c r="H13" i="1"/>
  <c r="F13" i="1"/>
  <c r="H12" i="1"/>
  <c r="F12" i="1"/>
  <c r="H11" i="1"/>
  <c r="F11" i="1"/>
  <c r="H10" i="1"/>
  <c r="F10" i="1"/>
  <c r="H9" i="1"/>
  <c r="F9" i="1"/>
  <c r="H8" i="1"/>
  <c r="F8" i="1"/>
  <c r="H7" i="1"/>
  <c r="F7" i="1"/>
  <c r="H6" i="1"/>
  <c r="F6" i="1"/>
  <c r="H5" i="1"/>
  <c r="F5" i="1"/>
  <c r="F4" i="1"/>
  <c r="H4" i="1"/>
</calcChain>
</file>

<file path=xl/sharedStrings.xml><?xml version="1.0" encoding="utf-8"?>
<sst xmlns="http://schemas.openxmlformats.org/spreadsheetml/2006/main" count="51" uniqueCount="29">
  <si>
    <t>X Reward</t>
  </si>
  <si>
    <t>Y Probability</t>
  </si>
  <si>
    <t>Z Bubble Size</t>
  </si>
  <si>
    <t>New Product</t>
  </si>
  <si>
    <t>Optimization</t>
  </si>
  <si>
    <t>Tech Transfer</t>
  </si>
  <si>
    <t>Red</t>
  </si>
  <si>
    <t>Blue</t>
  </si>
  <si>
    <t>Green</t>
  </si>
  <si>
    <t>Type</t>
  </si>
  <si>
    <t>X's</t>
  </si>
  <si>
    <r>
      <t xml:space="preserve">Learn Excel at 
</t>
    </r>
    <r>
      <rPr>
        <sz val="13.5"/>
        <color indexed="8"/>
        <rFont val="Calibri"/>
        <family val="2"/>
      </rPr>
      <t>www.ExcelDashboardTemplates.com</t>
    </r>
  </si>
  <si>
    <r>
      <t xml:space="preserve">Click here to visit
</t>
    </r>
    <r>
      <rPr>
        <sz val="13.5"/>
        <color indexed="8"/>
        <rFont val="Calibri"/>
        <family val="2"/>
      </rPr>
      <t>www.ExcelDashboardTemplates.com</t>
    </r>
  </si>
  <si>
    <t>MyPicSelect</t>
  </si>
  <si>
    <t>Cell G3:  =IF($A3=G$1,$C3,NA())</t>
  </si>
  <si>
    <t>Cell F3:  =B3</t>
  </si>
  <si>
    <t>Cell H3:  =IF(ISNA(G3),NA(),$D3)</t>
  </si>
  <si>
    <t>Risco</t>
  </si>
  <si>
    <t>Probabilidade</t>
  </si>
  <si>
    <t>Impacto</t>
  </si>
  <si>
    <t>Amarelo</t>
  </si>
  <si>
    <t>Vermelho</t>
  </si>
  <si>
    <t>Verde</t>
  </si>
  <si>
    <t>Y Probab.</t>
  </si>
  <si>
    <t>Z Tam Bolha</t>
  </si>
  <si>
    <t>Proximidade</t>
  </si>
  <si>
    <t>RISCOS</t>
  </si>
  <si>
    <t>Os dados para o gráfico estão nas células</t>
  </si>
  <si>
    <t>atrás do gráfico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</si>
</sst>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3.5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horizontal="center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quotePrefix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4" fillId="0" borderId="0" xfId="0" applyNumberFormat="1" applyFont="1"/>
    <xf numFmtId="0" fontId="4" fillId="2" borderId="1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9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 wrapText="1"/>
    </xf>
    <xf numFmtId="0" fontId="3" fillId="0" borderId="2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069731149555554E-2"/>
          <c:y val="3.0704501559946515E-2"/>
          <c:w val="0.89822063023453624"/>
          <c:h val="0.81809221017184175"/>
        </c:manualLayout>
      </c:layout>
      <c:bubbleChart>
        <c:varyColors val="0"/>
        <c:ser>
          <c:idx val="0"/>
          <c:order val="0"/>
          <c:tx>
            <c:strRef>
              <c:f>Bolhas!$G$2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xVal>
            <c:numRef>
              <c:f>Bolhas!$F$4:$F$13</c:f>
              <c:numCache>
                <c:formatCode>General</c:formatCode>
                <c:ptCount val="10"/>
                <c:pt idx="0">
                  <c:v>70</c:v>
                </c:pt>
                <c:pt idx="1">
                  <c:v>10</c:v>
                </c:pt>
                <c:pt idx="2">
                  <c:v>90</c:v>
                </c:pt>
                <c:pt idx="3">
                  <c:v>50</c:v>
                </c:pt>
                <c:pt idx="4">
                  <c:v>10</c:v>
                </c:pt>
                <c:pt idx="5">
                  <c:v>30</c:v>
                </c:pt>
                <c:pt idx="6">
                  <c:v>41</c:v>
                </c:pt>
                <c:pt idx="7">
                  <c:v>80</c:v>
                </c:pt>
                <c:pt idx="8">
                  <c:v>90</c:v>
                </c:pt>
                <c:pt idx="9">
                  <c:v>30</c:v>
                </c:pt>
              </c:numCache>
            </c:numRef>
          </c:xVal>
          <c:yVal>
            <c:numRef>
              <c:f>Bolhas!$G$4:$G$13</c:f>
              <c:numCache>
                <c:formatCode>General</c:formatCode>
                <c:ptCount val="10"/>
                <c:pt idx="0">
                  <c:v>0.4</c:v>
                </c:pt>
                <c:pt idx="1">
                  <c:v>#N/A</c:v>
                </c:pt>
                <c:pt idx="2">
                  <c:v>0.1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0.4</c:v>
                </c:pt>
                <c:pt idx="9">
                  <c:v>#N/A</c:v>
                </c:pt>
              </c:numCache>
            </c:numRef>
          </c:yVal>
          <c:bubbleSize>
            <c:numRef>
              <c:f>Bolhas!$H$4:$H$13</c:f>
              <c:numCache>
                <c:formatCode>General</c:formatCode>
                <c:ptCount val="10"/>
                <c:pt idx="0">
                  <c:v>8</c:v>
                </c:pt>
                <c:pt idx="1">
                  <c:v>#N/A</c:v>
                </c:pt>
                <c:pt idx="2">
                  <c:v>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2</c:v>
                </c:pt>
                <c:pt idx="9">
                  <c:v>#N/A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18DE-4347-8231-A7BF08FC4FEB}"/>
            </c:ext>
          </c:extLst>
        </c:ser>
        <c:ser>
          <c:idx val="1"/>
          <c:order val="1"/>
          <c:tx>
            <c:strRef>
              <c:f>Bolhas!$I$2</c:f>
              <c:strCache>
                <c:ptCount val="1"/>
                <c:pt idx="0">
                  <c:v>Amarelo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xVal>
            <c:numRef>
              <c:f>Bolhas!$F$4:$F$13</c:f>
              <c:numCache>
                <c:formatCode>General</c:formatCode>
                <c:ptCount val="10"/>
                <c:pt idx="0">
                  <c:v>70</c:v>
                </c:pt>
                <c:pt idx="1">
                  <c:v>10</c:v>
                </c:pt>
                <c:pt idx="2">
                  <c:v>90</c:v>
                </c:pt>
                <c:pt idx="3">
                  <c:v>50</c:v>
                </c:pt>
                <c:pt idx="4">
                  <c:v>10</c:v>
                </c:pt>
                <c:pt idx="5">
                  <c:v>30</c:v>
                </c:pt>
                <c:pt idx="6">
                  <c:v>41</c:v>
                </c:pt>
                <c:pt idx="7">
                  <c:v>80</c:v>
                </c:pt>
                <c:pt idx="8">
                  <c:v>90</c:v>
                </c:pt>
                <c:pt idx="9">
                  <c:v>30</c:v>
                </c:pt>
              </c:numCache>
            </c:numRef>
          </c:xVal>
          <c:yVal>
            <c:numRef>
              <c:f>Bolhas!$I$4:$I$13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0.5</c:v>
                </c:pt>
                <c:pt idx="4">
                  <c:v>#N/A</c:v>
                </c:pt>
                <c:pt idx="5">
                  <c:v>0.2</c:v>
                </c:pt>
                <c:pt idx="6">
                  <c:v>0.2</c:v>
                </c:pt>
                <c:pt idx="7">
                  <c:v>0.8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bubbleSize>
            <c:numRef>
              <c:f>Bolhas!$J$4:$J$13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4.5</c:v>
                </c:pt>
                <c:pt idx="4">
                  <c:v>#N/A</c:v>
                </c:pt>
                <c:pt idx="5">
                  <c:v>1</c:v>
                </c:pt>
                <c:pt idx="6">
                  <c:v>2</c:v>
                </c:pt>
                <c:pt idx="7">
                  <c:v>0.5</c:v>
                </c:pt>
                <c:pt idx="8">
                  <c:v>#N/A</c:v>
                </c:pt>
                <c:pt idx="9">
                  <c:v>#N/A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1-18DE-4347-8231-A7BF08FC4FEB}"/>
            </c:ext>
          </c:extLst>
        </c:ser>
        <c:ser>
          <c:idx val="2"/>
          <c:order val="2"/>
          <c:tx>
            <c:strRef>
              <c:f>Bolhas!$K$2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xVal>
            <c:numRef>
              <c:f>Bolhas!$F$4:$F$13</c:f>
              <c:numCache>
                <c:formatCode>General</c:formatCode>
                <c:ptCount val="10"/>
                <c:pt idx="0">
                  <c:v>70</c:v>
                </c:pt>
                <c:pt idx="1">
                  <c:v>10</c:v>
                </c:pt>
                <c:pt idx="2">
                  <c:v>90</c:v>
                </c:pt>
                <c:pt idx="3">
                  <c:v>50</c:v>
                </c:pt>
                <c:pt idx="4">
                  <c:v>10</c:v>
                </c:pt>
                <c:pt idx="5">
                  <c:v>30</c:v>
                </c:pt>
                <c:pt idx="6">
                  <c:v>41</c:v>
                </c:pt>
                <c:pt idx="7">
                  <c:v>80</c:v>
                </c:pt>
                <c:pt idx="8">
                  <c:v>90</c:v>
                </c:pt>
                <c:pt idx="9">
                  <c:v>30</c:v>
                </c:pt>
              </c:numCache>
            </c:numRef>
          </c:xVal>
          <c:yVal>
            <c:numRef>
              <c:f>Bolhas!$K$4:$K$13</c:f>
              <c:numCache>
                <c:formatCode>General</c:formatCode>
                <c:ptCount val="10"/>
                <c:pt idx="0">
                  <c:v>#N/A</c:v>
                </c:pt>
                <c:pt idx="1">
                  <c:v>0.9</c:v>
                </c:pt>
                <c:pt idx="2">
                  <c:v>#N/A</c:v>
                </c:pt>
                <c:pt idx="3">
                  <c:v>#N/A</c:v>
                </c:pt>
                <c:pt idx="4">
                  <c:v>0.6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0.8</c:v>
                </c:pt>
              </c:numCache>
            </c:numRef>
          </c:yVal>
          <c:bubbleSize>
            <c:numRef>
              <c:f>Bolhas!$L$4:$L$13</c:f>
              <c:numCache>
                <c:formatCode>General</c:formatCode>
                <c:ptCount val="10"/>
                <c:pt idx="0">
                  <c:v>#N/A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2-18DE-4347-8231-A7BF08FC4FE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259842000"/>
        <c:axId val="1"/>
      </c:bubbleChart>
      <c:valAx>
        <c:axId val="1259842000"/>
        <c:scaling>
          <c:orientation val="maxMin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Proximidade</a:t>
                </a:r>
              </a:p>
            </c:rich>
          </c:tx>
          <c:layout>
            <c:manualLayout>
              <c:xMode val="edge"/>
              <c:yMode val="edge"/>
              <c:x val="0.45172423003206402"/>
              <c:y val="0.937734331945034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Probabilidade</a:t>
                </a:r>
              </a:p>
            </c:rich>
          </c:tx>
          <c:layout>
            <c:manualLayout>
              <c:xMode val="edge"/>
              <c:yMode val="edge"/>
              <c:x val="1.1777835272492792E-4"/>
              <c:y val="0.3131825903612018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59842000"/>
        <c:crosses val="max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hyperlink" Target="http://www.exceldashboardtemplates.com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33338</xdr:colOff>
      <xdr:row>1</xdr:row>
      <xdr:rowOff>152400</xdr:rowOff>
    </xdr:from>
    <xdr:to>
      <xdr:col>1</xdr:col>
      <xdr:colOff>2919413</xdr:colOff>
      <xdr:row>1</xdr:row>
      <xdr:rowOff>1133475</xdr:rowOff>
    </xdr:to>
    <xdr:pic>
      <xdr:nvPicPr>
        <xdr:cNvPr id="5221" name="Picture 5" descr="Excel_5_1.png">
          <a:extLst>
            <a:ext uri="{FF2B5EF4-FFF2-40B4-BE49-F238E27FC236}">
              <a16:creationId xmlns:a16="http://schemas.microsoft.com/office/drawing/2014/main" id="{FAD682F9-8D48-49CB-B29A-A76BF74D4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1538" y="333375"/>
          <a:ext cx="2886075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3</xdr:row>
      <xdr:rowOff>161925</xdr:rowOff>
    </xdr:from>
    <xdr:to>
      <xdr:col>1</xdr:col>
      <xdr:colOff>2924175</xdr:colOff>
      <xdr:row>3</xdr:row>
      <xdr:rowOff>1133475</xdr:rowOff>
    </xdr:to>
    <xdr:pic>
      <xdr:nvPicPr>
        <xdr:cNvPr id="5222" name="Picture 6" descr="Excel_5_1.png">
          <a:extLst>
            <a:ext uri="{FF2B5EF4-FFF2-40B4-BE49-F238E27FC236}">
              <a16:creationId xmlns:a16="http://schemas.microsoft.com/office/drawing/2014/main" id="{41F1C21F-AE74-400A-BC1B-4F3BC9404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2914650"/>
          <a:ext cx="2886075" cy="971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485775</xdr:colOff>
      <xdr:row>4</xdr:row>
      <xdr:rowOff>657225</xdr:rowOff>
    </xdr:from>
    <xdr:to>
      <xdr:col>1</xdr:col>
      <xdr:colOff>2395538</xdr:colOff>
      <xdr:row>5</xdr:row>
      <xdr:rowOff>19050</xdr:rowOff>
    </xdr:to>
    <xdr:pic>
      <xdr:nvPicPr>
        <xdr:cNvPr id="5223" name="Picture 8" descr="Excel_5_1.png">
          <a:extLst>
            <a:ext uri="{FF2B5EF4-FFF2-40B4-BE49-F238E27FC236}">
              <a16:creationId xmlns:a16="http://schemas.microsoft.com/office/drawing/2014/main" id="{585C4406-338F-4F85-B0A3-B32D6C880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" y="4695825"/>
          <a:ext cx="1909763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519113</xdr:colOff>
      <xdr:row>2</xdr:row>
      <xdr:rowOff>628650</xdr:rowOff>
    </xdr:from>
    <xdr:to>
      <xdr:col>1</xdr:col>
      <xdr:colOff>2438400</xdr:colOff>
      <xdr:row>2</xdr:row>
      <xdr:rowOff>1276350</xdr:rowOff>
    </xdr:to>
    <xdr:pic>
      <xdr:nvPicPr>
        <xdr:cNvPr id="5224" name="Picture 9" descr="Excel_5_1.png">
          <a:extLst>
            <a:ext uri="{FF2B5EF4-FFF2-40B4-BE49-F238E27FC236}">
              <a16:creationId xmlns:a16="http://schemas.microsoft.com/office/drawing/2014/main" id="{1C4A68B2-EAD8-4FEF-BE68-FF32D105A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7313" y="2095500"/>
          <a:ext cx="1919287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204786</xdr:colOff>
      <xdr:row>0</xdr:row>
      <xdr:rowOff>157164</xdr:rowOff>
    </xdr:from>
    <xdr:to>
      <xdr:col>13</xdr:col>
      <xdr:colOff>400050</xdr:colOff>
      <xdr:row>19</xdr:row>
      <xdr:rowOff>176213</xdr:rowOff>
    </xdr:to>
    <xdr:graphicFrame macro="">
      <xdr:nvGraphicFramePr>
        <xdr:cNvPr id="1059" name="Chart 20">
          <a:extLst>
            <a:ext uri="{FF2B5EF4-FFF2-40B4-BE49-F238E27FC236}">
              <a16:creationId xmlns:a16="http://schemas.microsoft.com/office/drawing/2014/main" id="{0042DA14-2AF4-4807-A612-16EB5C10C1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12</xdr:row>
          <xdr:rowOff>47625</xdr:rowOff>
        </xdr:from>
        <xdr:to>
          <xdr:col>7</xdr:col>
          <xdr:colOff>152400</xdr:colOff>
          <xdr:row>19</xdr:row>
          <xdr:rowOff>9525</xdr:rowOff>
        </xdr:to>
        <xdr:pic>
          <xdr:nvPicPr>
            <xdr:cNvPr id="8217" name="Picture 6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3FB1B81-8910-49D0-8B40-BE8B7297698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MyPic" spid="_x0000_s821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609725" y="2581275"/>
              <a:ext cx="2976563" cy="12287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zoomScale="85" zoomScaleNormal="85" workbookViewId="0">
      <selection activeCell="A29" sqref="A29"/>
    </sheetView>
  </sheetViews>
  <sheetFormatPr defaultRowHeight="14.25" x14ac:dyDescent="0.45"/>
  <cols>
    <col min="1" max="1" width="11.73046875" bestFit="1" customWidth="1"/>
    <col min="2" max="2" width="41.3984375" customWidth="1"/>
  </cols>
  <sheetData>
    <row r="1" spans="1:2" x14ac:dyDescent="0.45">
      <c r="A1" t="s">
        <v>13</v>
      </c>
      <c r="B1" s="8">
        <f ca="1">RANDBETWEEN(1,4)</f>
        <v>2</v>
      </c>
    </row>
    <row r="2" spans="1:2" ht="101.25" customHeight="1" x14ac:dyDescent="0.45">
      <c r="A2" s="7">
        <v>1</v>
      </c>
    </row>
    <row r="3" spans="1:2" ht="101.25" customHeight="1" x14ac:dyDescent="0.45">
      <c r="A3" s="7">
        <v>2</v>
      </c>
      <c r="B3" s="6" t="s">
        <v>12</v>
      </c>
    </row>
    <row r="4" spans="1:2" ht="101.25" customHeight="1" x14ac:dyDescent="0.45">
      <c r="A4" s="7">
        <v>3</v>
      </c>
    </row>
    <row r="5" spans="1:2" ht="101.25" customHeight="1" x14ac:dyDescent="0.45">
      <c r="A5" s="7">
        <v>4</v>
      </c>
      <c r="B5" s="6" t="s">
        <v>11</v>
      </c>
    </row>
  </sheetData>
  <sheetProtection password="8163" sheet="1" objects="1" scenarios="1" selectLockedCells="1" selectUnlockedCells="1"/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S16"/>
  <sheetViews>
    <sheetView showGridLines="0" tabSelected="1" zoomScale="110" zoomScaleNormal="110" workbookViewId="0">
      <selection activeCell="A17" sqref="A17"/>
    </sheetView>
  </sheetViews>
  <sheetFormatPr defaultColWidth="7" defaultRowHeight="14.25" x14ac:dyDescent="0.45"/>
  <cols>
    <col min="1" max="1" width="6.19921875" customWidth="1"/>
    <col min="2" max="2" width="12.1328125" customWidth="1"/>
    <col min="3" max="3" width="12.73046875" customWidth="1"/>
    <col min="4" max="4" width="8.73046875" bestFit="1" customWidth="1"/>
    <col min="5" max="5" width="7" style="4" customWidth="1"/>
    <col min="6" max="6" width="7.86328125" style="4" bestFit="1" customWidth="1"/>
    <col min="7" max="7" width="10.73046875" style="4" bestFit="1" customWidth="1"/>
    <col min="8" max="8" width="8.73046875" style="4" bestFit="1" customWidth="1"/>
    <col min="9" max="9" width="14.06640625" style="4" customWidth="1"/>
    <col min="10" max="10" width="9.3984375" style="4" customWidth="1"/>
    <col min="11" max="11" width="10.73046875" style="4" bestFit="1" customWidth="1"/>
    <col min="12" max="12" width="8.73046875" bestFit="1" customWidth="1"/>
  </cols>
  <sheetData>
    <row r="2" spans="1:19" s="1" customFormat="1" x14ac:dyDescent="0.45">
      <c r="A2" s="19" t="s">
        <v>26</v>
      </c>
      <c r="B2" s="20"/>
      <c r="C2" s="20"/>
      <c r="D2" s="20"/>
      <c r="E2" s="3"/>
      <c r="F2" s="2"/>
      <c r="G2" s="3" t="s">
        <v>22</v>
      </c>
      <c r="H2" s="3"/>
      <c r="I2" s="3" t="s">
        <v>20</v>
      </c>
      <c r="J2" s="3"/>
      <c r="K2" s="3" t="s">
        <v>21</v>
      </c>
      <c r="L2" s="10" t="s">
        <v>8</v>
      </c>
      <c r="M2" s="2"/>
      <c r="N2" s="2"/>
      <c r="O2" s="2"/>
      <c r="P2" s="2"/>
      <c r="Q2" s="2"/>
      <c r="R2" s="2"/>
      <c r="S2" s="2"/>
    </row>
    <row r="3" spans="1:19" s="1" customFormat="1" ht="28.5" x14ac:dyDescent="0.45">
      <c r="A3" s="15" t="s">
        <v>17</v>
      </c>
      <c r="B3" s="15" t="s">
        <v>25</v>
      </c>
      <c r="C3" s="15" t="s">
        <v>18</v>
      </c>
      <c r="D3" s="15" t="s">
        <v>19</v>
      </c>
      <c r="E3" s="3"/>
      <c r="F3" s="3" t="s">
        <v>10</v>
      </c>
      <c r="G3" s="3" t="s">
        <v>23</v>
      </c>
      <c r="H3" s="3" t="s">
        <v>24</v>
      </c>
      <c r="I3" s="3" t="s">
        <v>23</v>
      </c>
      <c r="J3" s="3" t="s">
        <v>24</v>
      </c>
      <c r="K3" s="3" t="s">
        <v>23</v>
      </c>
      <c r="L3" s="10" t="s">
        <v>2</v>
      </c>
      <c r="M3" s="2"/>
      <c r="N3" s="2"/>
      <c r="O3" s="2"/>
      <c r="P3" s="2"/>
      <c r="Q3" s="2"/>
      <c r="R3" s="2"/>
      <c r="S3" s="2"/>
    </row>
    <row r="4" spans="1:19" x14ac:dyDescent="0.45">
      <c r="A4" s="18">
        <v>1</v>
      </c>
      <c r="B4" s="16">
        <v>70</v>
      </c>
      <c r="C4" s="17">
        <v>0.4</v>
      </c>
      <c r="D4" s="16">
        <v>8</v>
      </c>
      <c r="E4" s="5"/>
      <c r="F4" s="5">
        <f>B4</f>
        <v>70</v>
      </c>
      <c r="G4" s="5">
        <f>IF( AND($B4&gt;60,$C4&lt;0.5),$C4,NA())</f>
        <v>0.4</v>
      </c>
      <c r="H4" s="5">
        <f t="shared" ref="H4:H13" si="0">IF(ISNA(G4),NA(),$D4)</f>
        <v>8</v>
      </c>
      <c r="I4" s="5" t="e">
        <f>IF( OR(AND($B4&lt;=60,$C4&lt;=0.5),AND($B4&gt;=40,$C4&gt;=0.5)),$C4,NA())</f>
        <v>#N/A</v>
      </c>
      <c r="J4" s="5" t="e">
        <f t="shared" ref="J4:J13" si="1">IF(ISNA(I4),NA(),$D4)</f>
        <v>#N/A</v>
      </c>
      <c r="K4" s="5" t="e">
        <f>IF(AND($B4&lt;40,$C4&gt;0.5),$C4,NA())</f>
        <v>#N/A</v>
      </c>
      <c r="L4" s="11" t="e">
        <f t="shared" ref="L4:L13" si="2">IF(ISNA(K4),NA(),$D4)</f>
        <v>#N/A</v>
      </c>
      <c r="M4" s="14"/>
      <c r="N4" s="4"/>
      <c r="O4" s="4"/>
      <c r="P4" s="4"/>
      <c r="Q4" s="4"/>
      <c r="R4" s="4"/>
      <c r="S4" s="4"/>
    </row>
    <row r="5" spans="1:19" x14ac:dyDescent="0.45">
      <c r="A5" s="18">
        <v>2</v>
      </c>
      <c r="B5" s="16">
        <v>10</v>
      </c>
      <c r="C5" s="17">
        <v>0.9</v>
      </c>
      <c r="D5" s="16">
        <v>2</v>
      </c>
      <c r="E5" s="5"/>
      <c r="F5" s="5">
        <f t="shared" ref="F5:F13" si="3">B5</f>
        <v>10</v>
      </c>
      <c r="G5" s="5" t="e">
        <f t="shared" ref="G5:G13" si="4">IF( AND($B5&gt;60,$C5&lt;0.5),$C5,NA())</f>
        <v>#N/A</v>
      </c>
      <c r="H5" s="5" t="e">
        <f t="shared" si="0"/>
        <v>#N/A</v>
      </c>
      <c r="I5" s="5" t="e">
        <f t="shared" ref="I5:I13" si="5">IF( OR(AND($B5&lt;=60,$C5&lt;=0.5),AND($B5&gt;=40,$C5&gt;=0.5)),$C5,NA())</f>
        <v>#N/A</v>
      </c>
      <c r="J5" s="5" t="e">
        <f t="shared" si="1"/>
        <v>#N/A</v>
      </c>
      <c r="K5" s="5">
        <f t="shared" ref="K5:K13" si="6">IF(AND($B5&lt;40,$C5&gt;0.5),$C5,NA())</f>
        <v>0.9</v>
      </c>
      <c r="L5" s="11">
        <f t="shared" si="2"/>
        <v>2</v>
      </c>
      <c r="M5" s="4"/>
      <c r="N5" s="4"/>
      <c r="O5" s="4"/>
      <c r="P5" s="4"/>
      <c r="Q5" s="4"/>
      <c r="R5" s="4"/>
      <c r="S5" s="4"/>
    </row>
    <row r="6" spans="1:19" x14ac:dyDescent="0.45">
      <c r="A6" s="18">
        <v>3</v>
      </c>
      <c r="B6" s="16">
        <v>90</v>
      </c>
      <c r="C6" s="17">
        <v>0.1</v>
      </c>
      <c r="D6" s="16">
        <v>1</v>
      </c>
      <c r="E6" s="5"/>
      <c r="F6" s="5">
        <f t="shared" si="3"/>
        <v>90</v>
      </c>
      <c r="G6" s="5">
        <f t="shared" si="4"/>
        <v>0.1</v>
      </c>
      <c r="H6" s="5">
        <f t="shared" si="0"/>
        <v>1</v>
      </c>
      <c r="I6" s="5" t="e">
        <f t="shared" si="5"/>
        <v>#N/A</v>
      </c>
      <c r="J6" s="5" t="e">
        <f t="shared" si="1"/>
        <v>#N/A</v>
      </c>
      <c r="K6" s="5" t="e">
        <f t="shared" si="6"/>
        <v>#N/A</v>
      </c>
      <c r="L6" s="11" t="e">
        <f t="shared" si="2"/>
        <v>#N/A</v>
      </c>
      <c r="M6" s="4"/>
      <c r="N6" s="4"/>
      <c r="O6" s="4"/>
      <c r="P6" s="4"/>
      <c r="Q6" s="4"/>
      <c r="R6" s="4"/>
      <c r="S6" s="4"/>
    </row>
    <row r="7" spans="1:19" x14ac:dyDescent="0.45">
      <c r="A7" s="18">
        <v>4</v>
      </c>
      <c r="B7" s="16">
        <v>50</v>
      </c>
      <c r="C7" s="17">
        <v>0.5</v>
      </c>
      <c r="D7" s="16">
        <v>4.5</v>
      </c>
      <c r="E7" s="5"/>
      <c r="F7" s="5">
        <f t="shared" si="3"/>
        <v>50</v>
      </c>
      <c r="G7" s="5" t="e">
        <f t="shared" si="4"/>
        <v>#N/A</v>
      </c>
      <c r="H7" s="5" t="e">
        <f t="shared" si="0"/>
        <v>#N/A</v>
      </c>
      <c r="I7" s="5">
        <f t="shared" si="5"/>
        <v>0.5</v>
      </c>
      <c r="J7" s="5">
        <f t="shared" si="1"/>
        <v>4.5</v>
      </c>
      <c r="K7" s="5" t="e">
        <f t="shared" si="6"/>
        <v>#N/A</v>
      </c>
      <c r="L7" s="11" t="e">
        <f t="shared" si="2"/>
        <v>#N/A</v>
      </c>
      <c r="M7" s="4"/>
      <c r="N7" s="4"/>
      <c r="O7" s="4"/>
      <c r="P7" s="4"/>
      <c r="Q7" s="4"/>
      <c r="R7" s="4"/>
      <c r="S7" s="4"/>
    </row>
    <row r="8" spans="1:19" x14ac:dyDescent="0.45">
      <c r="A8" s="18">
        <v>5</v>
      </c>
      <c r="B8" s="16">
        <v>10</v>
      </c>
      <c r="C8" s="17">
        <v>0.6</v>
      </c>
      <c r="D8" s="16">
        <v>4</v>
      </c>
      <c r="E8" s="5"/>
      <c r="F8" s="5">
        <f t="shared" si="3"/>
        <v>10</v>
      </c>
      <c r="G8" s="5" t="e">
        <f t="shared" si="4"/>
        <v>#N/A</v>
      </c>
      <c r="H8" s="5" t="e">
        <f t="shared" si="0"/>
        <v>#N/A</v>
      </c>
      <c r="I8" s="5" t="e">
        <f t="shared" si="5"/>
        <v>#N/A</v>
      </c>
      <c r="J8" s="5" t="e">
        <f t="shared" si="1"/>
        <v>#N/A</v>
      </c>
      <c r="K8" s="5">
        <f t="shared" si="6"/>
        <v>0.6</v>
      </c>
      <c r="L8" s="11">
        <f t="shared" si="2"/>
        <v>4</v>
      </c>
      <c r="M8" s="4"/>
      <c r="N8" s="4"/>
      <c r="O8" s="4"/>
      <c r="P8" s="4"/>
      <c r="Q8" s="4"/>
      <c r="R8" s="4"/>
      <c r="S8" s="4"/>
    </row>
    <row r="9" spans="1:19" x14ac:dyDescent="0.45">
      <c r="A9" s="18">
        <v>6</v>
      </c>
      <c r="B9" s="16">
        <v>30</v>
      </c>
      <c r="C9" s="17">
        <v>0.2</v>
      </c>
      <c r="D9" s="16">
        <v>1</v>
      </c>
      <c r="E9" s="5"/>
      <c r="F9" s="5">
        <f t="shared" si="3"/>
        <v>30</v>
      </c>
      <c r="G9" s="5" t="e">
        <f t="shared" si="4"/>
        <v>#N/A</v>
      </c>
      <c r="H9" s="5" t="e">
        <f t="shared" si="0"/>
        <v>#N/A</v>
      </c>
      <c r="I9" s="5">
        <f t="shared" si="5"/>
        <v>0.2</v>
      </c>
      <c r="J9" s="5">
        <f t="shared" si="1"/>
        <v>1</v>
      </c>
      <c r="K9" s="5" t="e">
        <f t="shared" si="6"/>
        <v>#N/A</v>
      </c>
      <c r="L9" s="11" t="e">
        <f t="shared" si="2"/>
        <v>#N/A</v>
      </c>
      <c r="M9" s="4"/>
      <c r="N9" s="4"/>
      <c r="O9" s="4"/>
      <c r="P9" s="4"/>
      <c r="Q9" s="4"/>
      <c r="R9" s="4"/>
      <c r="S9" s="4"/>
    </row>
    <row r="10" spans="1:19" x14ac:dyDescent="0.45">
      <c r="A10" s="18">
        <v>7</v>
      </c>
      <c r="B10" s="16">
        <v>41</v>
      </c>
      <c r="C10" s="17">
        <v>0.2</v>
      </c>
      <c r="D10" s="16">
        <v>2</v>
      </c>
      <c r="E10" s="5"/>
      <c r="F10" s="5">
        <f t="shared" si="3"/>
        <v>41</v>
      </c>
      <c r="G10" s="5" t="e">
        <f t="shared" si="4"/>
        <v>#N/A</v>
      </c>
      <c r="H10" s="5" t="e">
        <f t="shared" si="0"/>
        <v>#N/A</v>
      </c>
      <c r="I10" s="5">
        <f t="shared" si="5"/>
        <v>0.2</v>
      </c>
      <c r="J10" s="5">
        <f t="shared" si="1"/>
        <v>2</v>
      </c>
      <c r="K10" s="5" t="e">
        <f t="shared" si="6"/>
        <v>#N/A</v>
      </c>
      <c r="L10" s="11" t="e">
        <f t="shared" si="2"/>
        <v>#N/A</v>
      </c>
      <c r="M10" s="4"/>
      <c r="N10" s="4"/>
      <c r="O10" s="4"/>
      <c r="P10" s="4"/>
      <c r="Q10" s="4"/>
      <c r="R10" s="4"/>
      <c r="S10" s="4"/>
    </row>
    <row r="11" spans="1:19" x14ac:dyDescent="0.45">
      <c r="A11" s="18">
        <v>8</v>
      </c>
      <c r="B11" s="16">
        <v>80</v>
      </c>
      <c r="C11" s="17">
        <v>0.8</v>
      </c>
      <c r="D11" s="16">
        <v>0.5</v>
      </c>
      <c r="E11" s="5"/>
      <c r="F11" s="5">
        <f t="shared" si="3"/>
        <v>80</v>
      </c>
      <c r="G11" s="5" t="e">
        <f t="shared" si="4"/>
        <v>#N/A</v>
      </c>
      <c r="H11" s="5" t="e">
        <f t="shared" si="0"/>
        <v>#N/A</v>
      </c>
      <c r="I11" s="5">
        <f t="shared" si="5"/>
        <v>0.8</v>
      </c>
      <c r="J11" s="5">
        <f t="shared" si="1"/>
        <v>0.5</v>
      </c>
      <c r="K11" s="5" t="e">
        <f t="shared" si="6"/>
        <v>#N/A</v>
      </c>
      <c r="L11" s="11" t="e">
        <f t="shared" si="2"/>
        <v>#N/A</v>
      </c>
      <c r="M11" s="4"/>
      <c r="N11" s="4"/>
      <c r="O11" s="4"/>
      <c r="P11" s="4"/>
      <c r="Q11" s="4"/>
      <c r="R11" s="4"/>
      <c r="S11" s="4"/>
    </row>
    <row r="12" spans="1:19" x14ac:dyDescent="0.45">
      <c r="A12" s="18">
        <v>9</v>
      </c>
      <c r="B12" s="16">
        <v>90</v>
      </c>
      <c r="C12" s="17">
        <v>0.4</v>
      </c>
      <c r="D12" s="16">
        <v>2</v>
      </c>
      <c r="E12" s="5"/>
      <c r="F12" s="5">
        <f t="shared" si="3"/>
        <v>90</v>
      </c>
      <c r="G12" s="5">
        <f t="shared" si="4"/>
        <v>0.4</v>
      </c>
      <c r="H12" s="5">
        <f t="shared" si="0"/>
        <v>2</v>
      </c>
      <c r="I12" s="5" t="e">
        <f t="shared" si="5"/>
        <v>#N/A</v>
      </c>
      <c r="J12" s="5" t="e">
        <f t="shared" si="1"/>
        <v>#N/A</v>
      </c>
      <c r="K12" s="5" t="e">
        <f t="shared" si="6"/>
        <v>#N/A</v>
      </c>
      <c r="L12" s="11" t="e">
        <f t="shared" si="2"/>
        <v>#N/A</v>
      </c>
      <c r="M12" s="4"/>
      <c r="N12" s="4"/>
      <c r="O12" s="4"/>
      <c r="P12" s="4"/>
      <c r="Q12" s="4"/>
      <c r="R12" s="4"/>
      <c r="S12" s="4"/>
    </row>
    <row r="13" spans="1:19" x14ac:dyDescent="0.45">
      <c r="A13" s="18">
        <v>10</v>
      </c>
      <c r="B13" s="16">
        <v>30</v>
      </c>
      <c r="C13" s="17">
        <v>0.8</v>
      </c>
      <c r="D13" s="16">
        <v>2</v>
      </c>
      <c r="E13" s="5"/>
      <c r="F13" s="5">
        <f t="shared" si="3"/>
        <v>30</v>
      </c>
      <c r="G13" s="5" t="e">
        <f t="shared" si="4"/>
        <v>#N/A</v>
      </c>
      <c r="H13" s="5" t="e">
        <f t="shared" si="0"/>
        <v>#N/A</v>
      </c>
      <c r="I13" s="5" t="e">
        <f t="shared" si="5"/>
        <v>#N/A</v>
      </c>
      <c r="J13" s="5" t="e">
        <f t="shared" si="1"/>
        <v>#N/A</v>
      </c>
      <c r="K13" s="5">
        <f t="shared" si="6"/>
        <v>0.8</v>
      </c>
      <c r="L13" s="11">
        <f t="shared" si="2"/>
        <v>2</v>
      </c>
      <c r="M13" s="4"/>
      <c r="N13" s="4"/>
      <c r="O13" s="4"/>
      <c r="P13" s="4"/>
      <c r="Q13" s="4"/>
      <c r="R13" s="4"/>
      <c r="S13" s="4"/>
    </row>
    <row r="14" spans="1:19" x14ac:dyDescent="0.45">
      <c r="A14" s="4"/>
      <c r="B14" s="3"/>
      <c r="C14" s="3"/>
      <c r="D14" s="3"/>
      <c r="G14" s="5" t="e">
        <f t="shared" ref="G14" si="7">IF( AND($B14&gt;60,$C14&lt;0.31),$C14,NA())</f>
        <v>#N/A</v>
      </c>
      <c r="L14" s="4"/>
      <c r="M14" s="4"/>
      <c r="N14" s="4"/>
      <c r="O14" s="4"/>
      <c r="P14" s="4"/>
      <c r="Q14" s="4"/>
      <c r="R14" s="4"/>
      <c r="S14" s="4"/>
    </row>
    <row r="15" spans="1:19" x14ac:dyDescent="0.45">
      <c r="A15" s="4" t="s">
        <v>27</v>
      </c>
      <c r="B15" s="4"/>
      <c r="C15" s="4"/>
      <c r="D15" s="4"/>
      <c r="L15" s="4"/>
      <c r="M15" s="4"/>
      <c r="N15" s="4"/>
      <c r="O15" s="4"/>
      <c r="P15" s="4"/>
      <c r="Q15" s="4"/>
      <c r="R15" s="4"/>
      <c r="S15" s="4"/>
    </row>
    <row r="16" spans="1:19" x14ac:dyDescent="0.45">
      <c r="A16" s="4" t="s">
        <v>28</v>
      </c>
      <c r="B16" s="4"/>
      <c r="C16" s="4"/>
      <c r="D16" s="4"/>
      <c r="L16" s="4"/>
      <c r="M16" s="4"/>
      <c r="N16" s="4"/>
      <c r="O16" s="4"/>
      <c r="P16" s="4"/>
      <c r="Q16" s="4"/>
      <c r="R16" s="4"/>
      <c r="S16" s="4"/>
    </row>
  </sheetData>
  <mergeCells count="1">
    <mergeCell ref="A2:D2"/>
  </mergeCells>
  <pageMargins left="0.7" right="0.7" top="0.75" bottom="0.75" header="0.3" footer="0.3"/>
  <pageSetup orientation="portrait" r:id="rId1"/>
  <ignoredErrors>
    <ignoredError sqref="H4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21"/>
  <sheetViews>
    <sheetView workbookViewId="0">
      <selection activeCell="B19" sqref="B19"/>
    </sheetView>
  </sheetViews>
  <sheetFormatPr defaultRowHeight="14.25" x14ac:dyDescent="0.45"/>
  <cols>
    <col min="1" max="1" width="12.86328125" bestFit="1" customWidth="1"/>
    <col min="2" max="2" width="9.265625" bestFit="1" customWidth="1"/>
    <col min="3" max="3" width="10.73046875" bestFit="1" customWidth="1"/>
    <col min="4" max="4" width="8.73046875" bestFit="1" customWidth="1"/>
    <col min="5" max="5" width="4.1328125" customWidth="1"/>
    <col min="6" max="6" width="5.59765625" customWidth="1"/>
    <col min="7" max="7" width="10.73046875" bestFit="1" customWidth="1"/>
    <col min="8" max="8" width="8.73046875" bestFit="1" customWidth="1"/>
    <col min="9" max="9" width="13" customWidth="1"/>
    <col min="10" max="10" width="8.73046875" bestFit="1" customWidth="1"/>
    <col min="11" max="11" width="10.73046875" bestFit="1" customWidth="1"/>
    <col min="12" max="12" width="8.73046875" bestFit="1" customWidth="1"/>
  </cols>
  <sheetData>
    <row r="1" spans="1:14" ht="28.5" x14ac:dyDescent="0.45">
      <c r="A1" s="2"/>
      <c r="B1" s="3"/>
      <c r="C1" s="3"/>
      <c r="D1" s="3"/>
      <c r="E1" s="3"/>
      <c r="F1" s="2"/>
      <c r="G1" s="3" t="s">
        <v>3</v>
      </c>
      <c r="H1" s="3" t="s">
        <v>7</v>
      </c>
      <c r="I1" s="3" t="s">
        <v>4</v>
      </c>
      <c r="J1" s="3" t="s">
        <v>6</v>
      </c>
      <c r="K1" s="3" t="s">
        <v>5</v>
      </c>
      <c r="L1" s="3" t="s">
        <v>8</v>
      </c>
    </row>
    <row r="2" spans="1:14" ht="28.5" x14ac:dyDescent="0.45">
      <c r="A2" s="2" t="s">
        <v>9</v>
      </c>
      <c r="B2" s="3" t="s">
        <v>0</v>
      </c>
      <c r="C2" s="3" t="s">
        <v>1</v>
      </c>
      <c r="D2" s="3" t="s">
        <v>2</v>
      </c>
      <c r="E2" s="3"/>
      <c r="F2" s="3" t="s">
        <v>10</v>
      </c>
      <c r="G2" s="3" t="s">
        <v>1</v>
      </c>
      <c r="H2" s="3" t="s">
        <v>2</v>
      </c>
      <c r="I2" s="3" t="s">
        <v>1</v>
      </c>
      <c r="J2" s="3" t="s">
        <v>2</v>
      </c>
      <c r="K2" s="3" t="s">
        <v>1</v>
      </c>
      <c r="L2" s="3" t="s">
        <v>2</v>
      </c>
    </row>
    <row r="3" spans="1:14" x14ac:dyDescent="0.45">
      <c r="A3" s="4" t="s">
        <v>3</v>
      </c>
      <c r="B3" s="3">
        <v>8</v>
      </c>
      <c r="C3" s="3">
        <v>8</v>
      </c>
      <c r="D3" s="3">
        <v>80</v>
      </c>
      <c r="E3" s="5"/>
      <c r="F3" s="5"/>
      <c r="G3" s="5"/>
      <c r="H3" s="5"/>
      <c r="I3" s="5"/>
      <c r="J3" s="5"/>
      <c r="K3" s="5"/>
      <c r="L3" s="5"/>
      <c r="N3" s="12" t="s">
        <v>15</v>
      </c>
    </row>
    <row r="4" spans="1:14" x14ac:dyDescent="0.45">
      <c r="A4" s="4" t="s">
        <v>3</v>
      </c>
      <c r="B4" s="3">
        <v>9</v>
      </c>
      <c r="C4" s="3">
        <v>10</v>
      </c>
      <c r="D4" s="3">
        <v>29</v>
      </c>
      <c r="E4" s="5"/>
      <c r="F4" s="5"/>
      <c r="G4" s="5"/>
      <c r="H4" s="5"/>
      <c r="I4" s="5"/>
      <c r="J4" s="5"/>
      <c r="K4" s="5"/>
      <c r="L4" s="5"/>
      <c r="N4" s="12" t="s">
        <v>14</v>
      </c>
    </row>
    <row r="5" spans="1:14" x14ac:dyDescent="0.45">
      <c r="A5" s="4" t="s">
        <v>4</v>
      </c>
      <c r="B5" s="3">
        <v>1</v>
      </c>
      <c r="C5" s="3">
        <v>9</v>
      </c>
      <c r="D5" s="3">
        <v>13</v>
      </c>
      <c r="E5" s="5"/>
      <c r="F5" s="5"/>
      <c r="G5" s="5"/>
      <c r="H5" s="5"/>
      <c r="I5" s="5"/>
      <c r="J5" s="5"/>
      <c r="K5" s="5"/>
      <c r="L5" s="5"/>
      <c r="N5" s="13" t="s">
        <v>16</v>
      </c>
    </row>
    <row r="6" spans="1:14" x14ac:dyDescent="0.45">
      <c r="A6" s="4" t="s">
        <v>3</v>
      </c>
      <c r="B6" s="3">
        <v>10</v>
      </c>
      <c r="C6" s="3">
        <v>0</v>
      </c>
      <c r="D6" s="3">
        <v>62</v>
      </c>
      <c r="E6" s="5"/>
      <c r="F6" s="5"/>
      <c r="G6" s="5"/>
      <c r="H6" s="5"/>
      <c r="I6" s="5"/>
      <c r="J6" s="5"/>
      <c r="K6" s="5"/>
      <c r="L6" s="5"/>
    </row>
    <row r="7" spans="1:14" x14ac:dyDescent="0.45">
      <c r="A7" s="4" t="s">
        <v>5</v>
      </c>
      <c r="B7" s="3">
        <v>9</v>
      </c>
      <c r="C7" s="3">
        <v>9</v>
      </c>
      <c r="D7" s="3">
        <v>52</v>
      </c>
      <c r="E7" s="5"/>
      <c r="F7" s="5"/>
      <c r="G7" s="5"/>
      <c r="H7" s="5"/>
      <c r="I7" s="5"/>
      <c r="J7" s="5"/>
      <c r="K7" s="5"/>
      <c r="L7" s="5"/>
    </row>
    <row r="8" spans="1:14" x14ac:dyDescent="0.45">
      <c r="A8" s="4" t="s">
        <v>4</v>
      </c>
      <c r="B8" s="3">
        <v>7</v>
      </c>
      <c r="C8" s="3">
        <v>7</v>
      </c>
      <c r="D8" s="3">
        <v>12</v>
      </c>
      <c r="E8" s="5"/>
      <c r="F8" s="5"/>
      <c r="G8" s="5"/>
      <c r="H8" s="5"/>
      <c r="I8" s="5"/>
      <c r="J8" s="5"/>
      <c r="K8" s="5"/>
      <c r="L8" s="5"/>
    </row>
    <row r="9" spans="1:14" x14ac:dyDescent="0.45">
      <c r="A9" s="4" t="s">
        <v>5</v>
      </c>
      <c r="B9" s="3">
        <v>9</v>
      </c>
      <c r="C9" s="3">
        <v>10</v>
      </c>
      <c r="D9" s="3">
        <v>22</v>
      </c>
      <c r="E9" s="5"/>
      <c r="F9" s="5"/>
      <c r="G9" s="5"/>
      <c r="H9" s="5"/>
      <c r="I9" s="5"/>
      <c r="J9" s="5"/>
      <c r="K9" s="5"/>
      <c r="L9" s="5"/>
    </row>
    <row r="10" spans="1:14" x14ac:dyDescent="0.45">
      <c r="A10" s="4" t="s">
        <v>3</v>
      </c>
      <c r="B10" s="3">
        <v>2</v>
      </c>
      <c r="C10" s="3">
        <v>0</v>
      </c>
      <c r="D10" s="3">
        <v>0</v>
      </c>
      <c r="E10" s="5"/>
      <c r="F10" s="5"/>
      <c r="G10" s="5"/>
      <c r="H10" s="5"/>
      <c r="I10" s="5"/>
      <c r="J10" s="5"/>
      <c r="K10" s="5"/>
      <c r="L10" s="5"/>
    </row>
    <row r="11" spans="1:14" x14ac:dyDescent="0.45">
      <c r="A11" s="4" t="s">
        <v>3</v>
      </c>
      <c r="B11" s="3">
        <v>4</v>
      </c>
      <c r="C11" s="3">
        <v>7</v>
      </c>
      <c r="D11" s="3">
        <v>29</v>
      </c>
      <c r="E11" s="5"/>
      <c r="F11" s="5"/>
      <c r="G11" s="5"/>
      <c r="H11" s="5"/>
      <c r="I11" s="5"/>
      <c r="J11" s="5"/>
      <c r="K11" s="5"/>
      <c r="L11" s="5"/>
    </row>
    <row r="12" spans="1:14" x14ac:dyDescent="0.45">
      <c r="A12" s="4" t="s">
        <v>5</v>
      </c>
      <c r="B12" s="3">
        <v>8</v>
      </c>
      <c r="C12" s="3">
        <v>2</v>
      </c>
      <c r="D12" s="3">
        <v>30</v>
      </c>
      <c r="E12" s="5"/>
      <c r="F12" s="5"/>
      <c r="G12" s="5"/>
      <c r="H12" s="5"/>
      <c r="I12" s="5"/>
      <c r="J12" s="5"/>
      <c r="K12" s="5"/>
      <c r="L12" s="5"/>
    </row>
    <row r="21" spans="18:18" x14ac:dyDescent="0.45">
      <c r="R21" s="9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5</vt:i4>
      </vt:variant>
    </vt:vector>
  </HeadingPairs>
  <TitlesOfParts>
    <vt:vector size="8" baseType="lpstr">
      <vt:lpstr>Pics</vt:lpstr>
      <vt:lpstr>Bolhas</vt:lpstr>
      <vt:lpstr>Try it Yourself</vt:lpstr>
      <vt:lpstr>MyPic1</vt:lpstr>
      <vt:lpstr>MyPic2</vt:lpstr>
      <vt:lpstr>MyPic3</vt:lpstr>
      <vt:lpstr>MyPic4</vt:lpstr>
      <vt:lpstr>MyPicSelect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BW ADMIN</dc:creator>
  <cp:lastModifiedBy>mas</cp:lastModifiedBy>
  <dcterms:created xsi:type="dcterms:W3CDTF">2013-08-20T15:15:56Z</dcterms:created>
  <dcterms:modified xsi:type="dcterms:W3CDTF">2021-12-15T19:57:34Z</dcterms:modified>
</cp:coreProperties>
</file>