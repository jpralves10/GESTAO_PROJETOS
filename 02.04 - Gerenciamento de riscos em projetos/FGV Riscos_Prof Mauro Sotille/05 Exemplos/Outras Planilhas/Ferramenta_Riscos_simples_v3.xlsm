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Mac\Mauro\_Mauro\MEGAsync\FGV\FGV Riscos_Prof Mauro Sotille\05 Exemplos\Outras Planilhas\"/>
    </mc:Choice>
  </mc:AlternateContent>
  <xr:revisionPtr revIDLastSave="0" documentId="13_ncr:1_{E779C2CB-0366-4F41-9FC6-77A67F4353C7}" xr6:coauthVersionLast="47" xr6:coauthVersionMax="47" xr10:uidLastSave="{00000000-0000-0000-0000-000000000000}"/>
  <bookViews>
    <workbookView xWindow="-120" yWindow="-120" windowWidth="25440" windowHeight="15270" tabRatio="652" xr2:uid="{00000000-000D-0000-FFFF-FFFF00000000}"/>
  </bookViews>
  <sheets>
    <sheet name="Dados" sheetId="9" r:id="rId1"/>
    <sheet name="Escalas" sheetId="10" r:id="rId2"/>
    <sheet name="Ameaças" sheetId="1" r:id="rId3"/>
    <sheet name="Oportunidades" sheetId="6" r:id="rId4"/>
    <sheet name="VME" sheetId="7" r:id="rId5"/>
    <sheet name="Respostas - Ameaças" sheetId="11" r:id="rId6"/>
    <sheet name="Respostas - Oport" sheetId="12" r:id="rId7"/>
  </sheets>
  <externalReferences>
    <externalReference r:id="rId8"/>
  </externalReferences>
  <definedNames>
    <definedName name="_xlnm._FilterDatabase" localSheetId="5" hidden="1">'Respostas - Ameaças'!$A$6:$K$27</definedName>
    <definedName name="_xlnm._FilterDatabase" localSheetId="6" hidden="1">'Respostas - Oport'!$A$6:$K$27</definedName>
    <definedName name="grau_ameaca">Ameaças!$I$10:$I$29</definedName>
    <definedName name="grau_oport">Oportunidades!$I$10:$I$29</definedName>
    <definedName name="Sensib" localSheetId="1">'[1]Ameacas-PreReacao'!$M$3</definedName>
    <definedName name="Sensib" localSheetId="5">Ameaças!#REF!</definedName>
    <definedName name="Sensib" localSheetId="6">Ameaças!#REF!</definedName>
    <definedName name="Sensib">Ameaças!#REF!</definedName>
    <definedName name="SensibO" localSheetId="1">'[1]Oport-PreReacao'!$M$3</definedName>
    <definedName name="SensibO" localSheetId="5">Oportunidades!#REF!</definedName>
    <definedName name="SensibO" localSheetId="6">Oportunidades!#REF!</definedName>
    <definedName name="SensibO">Oportunidades!#REF!</definedName>
    <definedName name="yes" localSheetId="6">Ameaças!#REF!</definedName>
    <definedName name="yes">Ameaças!#REF!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4" i="6" l="1"/>
  <c r="O13" i="6"/>
  <c r="O12" i="6"/>
  <c r="O11" i="6"/>
  <c r="O10" i="6"/>
  <c r="O14" i="1"/>
  <c r="O13" i="1"/>
  <c r="O12" i="1"/>
  <c r="O11" i="1"/>
  <c r="O10" i="1"/>
  <c r="A26" i="10"/>
  <c r="A25" i="10"/>
  <c r="A24" i="10"/>
  <c r="A23" i="10"/>
  <c r="A22" i="10"/>
  <c r="F21" i="10"/>
  <c r="F23" i="10" s="1"/>
  <c r="E21" i="10"/>
  <c r="D21" i="10"/>
  <c r="D26" i="10" s="1"/>
  <c r="C21" i="10"/>
  <c r="C24" i="10" s="1"/>
  <c r="B21" i="10"/>
  <c r="B22" i="10" s="1"/>
  <c r="M14" i="12" s="1"/>
  <c r="A9" i="7"/>
  <c r="D10" i="9"/>
  <c r="K30" i="6"/>
  <c r="K30" i="1"/>
  <c r="D8" i="12"/>
  <c r="E8" i="12"/>
  <c r="D9" i="12"/>
  <c r="E9" i="12"/>
  <c r="D10" i="12"/>
  <c r="E10" i="12"/>
  <c r="D11" i="12"/>
  <c r="E11" i="12"/>
  <c r="D12" i="12"/>
  <c r="E12" i="12"/>
  <c r="D13" i="12"/>
  <c r="E13" i="12"/>
  <c r="D14" i="12"/>
  <c r="E14" i="12"/>
  <c r="D15" i="12"/>
  <c r="E15" i="12"/>
  <c r="D16" i="12"/>
  <c r="E16" i="12"/>
  <c r="D17" i="12"/>
  <c r="E17" i="12"/>
  <c r="D18" i="12"/>
  <c r="E18" i="12"/>
  <c r="D19" i="12"/>
  <c r="E19" i="12"/>
  <c r="D20" i="12"/>
  <c r="E20" i="12"/>
  <c r="D21" i="12"/>
  <c r="E21" i="12"/>
  <c r="D22" i="12"/>
  <c r="E22" i="12"/>
  <c r="D23" i="12"/>
  <c r="E23" i="12"/>
  <c r="D24" i="12"/>
  <c r="E24" i="12"/>
  <c r="D25" i="12"/>
  <c r="E25" i="12"/>
  <c r="D26" i="12"/>
  <c r="E26" i="12"/>
  <c r="E7" i="12"/>
  <c r="D7" i="12"/>
  <c r="A7" i="12"/>
  <c r="J27" i="12"/>
  <c r="D4" i="12"/>
  <c r="D3" i="12"/>
  <c r="D2" i="12"/>
  <c r="D7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E7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8" i="11"/>
  <c r="D8" i="11"/>
  <c r="A8" i="11"/>
  <c r="J27" i="11"/>
  <c r="D4" i="11"/>
  <c r="D3" i="11"/>
  <c r="D2" i="11"/>
  <c r="I10" i="1"/>
  <c r="B8" i="11" s="1"/>
  <c r="I12" i="6"/>
  <c r="B7" i="12" s="1"/>
  <c r="I13" i="6"/>
  <c r="I14" i="6"/>
  <c r="J14" i="6" s="1"/>
  <c r="C11" i="12" s="1"/>
  <c r="I15" i="6"/>
  <c r="I16" i="6"/>
  <c r="B13" i="12" s="1"/>
  <c r="I17" i="6"/>
  <c r="I18" i="6"/>
  <c r="J18" i="6" s="1"/>
  <c r="C15" i="12" s="1"/>
  <c r="I19" i="6"/>
  <c r="I20" i="6"/>
  <c r="B17" i="12" s="1"/>
  <c r="I21" i="6"/>
  <c r="I22" i="6"/>
  <c r="I23" i="6"/>
  <c r="J23" i="6" s="1"/>
  <c r="C20" i="12" s="1"/>
  <c r="I24" i="6"/>
  <c r="J24" i="6" s="1"/>
  <c r="C21" i="12" s="1"/>
  <c r="B21" i="12"/>
  <c r="I25" i="6"/>
  <c r="J25" i="6" s="1"/>
  <c r="C22" i="12" s="1"/>
  <c r="I26" i="6"/>
  <c r="J26" i="6" s="1"/>
  <c r="C23" i="12" s="1"/>
  <c r="I27" i="6"/>
  <c r="B24" i="12" s="1"/>
  <c r="I28" i="6"/>
  <c r="B25" i="12" s="1"/>
  <c r="I29" i="6"/>
  <c r="B26" i="12" s="1"/>
  <c r="I12" i="1"/>
  <c r="B9" i="11" s="1"/>
  <c r="I13" i="1"/>
  <c r="B10" i="11" s="1"/>
  <c r="I14" i="1"/>
  <c r="B11" i="11" s="1"/>
  <c r="I15" i="1"/>
  <c r="J15" i="1" s="1"/>
  <c r="C12" i="11" s="1"/>
  <c r="I16" i="1"/>
  <c r="J16" i="1" s="1"/>
  <c r="C13" i="11" s="1"/>
  <c r="I17" i="1"/>
  <c r="I18" i="1"/>
  <c r="J18" i="1" s="1"/>
  <c r="C15" i="11" s="1"/>
  <c r="I19" i="1"/>
  <c r="J19" i="1" s="1"/>
  <c r="C16" i="11" s="1"/>
  <c r="I20" i="1"/>
  <c r="J20" i="1" s="1"/>
  <c r="C17" i="11" s="1"/>
  <c r="I21" i="1"/>
  <c r="I22" i="1"/>
  <c r="J22" i="1" s="1"/>
  <c r="C19" i="11" s="1"/>
  <c r="I23" i="1"/>
  <c r="I24" i="1"/>
  <c r="B21" i="11" s="1"/>
  <c r="I25" i="1"/>
  <c r="J25" i="1" s="1"/>
  <c r="C22" i="11" s="1"/>
  <c r="I26" i="1"/>
  <c r="I27" i="1"/>
  <c r="J27" i="1" s="1"/>
  <c r="C24" i="11" s="1"/>
  <c r="I28" i="1"/>
  <c r="J28" i="1" s="1"/>
  <c r="C25" i="11" s="1"/>
  <c r="I29" i="1"/>
  <c r="B26" i="11" s="1"/>
  <c r="M12" i="6"/>
  <c r="F9" i="12"/>
  <c r="M13" i="6"/>
  <c r="F10" i="12" s="1"/>
  <c r="M14" i="6"/>
  <c r="F11" i="12"/>
  <c r="M15" i="6"/>
  <c r="F12" i="12"/>
  <c r="M16" i="6"/>
  <c r="F13" i="12"/>
  <c r="M17" i="6"/>
  <c r="F14" i="12"/>
  <c r="M18" i="6"/>
  <c r="F15" i="12"/>
  <c r="M19" i="6"/>
  <c r="F16" i="12"/>
  <c r="M20" i="6"/>
  <c r="F17" i="12"/>
  <c r="M21" i="6"/>
  <c r="F18" i="12"/>
  <c r="M22" i="6"/>
  <c r="F19" i="12"/>
  <c r="M23" i="6"/>
  <c r="F20" i="12"/>
  <c r="M24" i="6"/>
  <c r="F21" i="12"/>
  <c r="M25" i="6"/>
  <c r="F22" i="12"/>
  <c r="M26" i="6"/>
  <c r="F23" i="12"/>
  <c r="M27" i="6"/>
  <c r="F24" i="12"/>
  <c r="M28" i="6"/>
  <c r="F25" i="12"/>
  <c r="M29" i="6"/>
  <c r="F26" i="12"/>
  <c r="M11" i="6"/>
  <c r="F8" i="12"/>
  <c r="M10" i="6"/>
  <c r="F7" i="12" s="1"/>
  <c r="I11" i="6"/>
  <c r="J11" i="6" s="1"/>
  <c r="C8" i="12" s="1"/>
  <c r="I10" i="6"/>
  <c r="L10" i="6"/>
  <c r="L30" i="6" s="1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M12" i="1"/>
  <c r="F9" i="11" s="1"/>
  <c r="M13" i="1"/>
  <c r="F10" i="11" s="1"/>
  <c r="M14" i="1"/>
  <c r="F11" i="11" s="1"/>
  <c r="M15" i="1"/>
  <c r="F12" i="11" s="1"/>
  <c r="M16" i="1"/>
  <c r="F13" i="11"/>
  <c r="M17" i="1"/>
  <c r="F14" i="11" s="1"/>
  <c r="M18" i="1"/>
  <c r="F15" i="11"/>
  <c r="M19" i="1"/>
  <c r="F16" i="11" s="1"/>
  <c r="M20" i="1"/>
  <c r="F17" i="11"/>
  <c r="M21" i="1"/>
  <c r="F18" i="11" s="1"/>
  <c r="M22" i="1"/>
  <c r="F19" i="11"/>
  <c r="M23" i="1"/>
  <c r="F20" i="11" s="1"/>
  <c r="M24" i="1"/>
  <c r="F21" i="11"/>
  <c r="M25" i="1"/>
  <c r="F22" i="11" s="1"/>
  <c r="M26" i="1"/>
  <c r="F23" i="11"/>
  <c r="M27" i="1"/>
  <c r="F24" i="11" s="1"/>
  <c r="M28" i="1"/>
  <c r="F25" i="11"/>
  <c r="M11" i="1"/>
  <c r="F7" i="11" s="1"/>
  <c r="M29" i="1"/>
  <c r="F26" i="11"/>
  <c r="M10" i="1"/>
  <c r="F8" i="11" s="1"/>
  <c r="I11" i="1"/>
  <c r="B7" i="11" s="1"/>
  <c r="L10" i="1"/>
  <c r="L3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B4" i="1"/>
  <c r="B3" i="1"/>
  <c r="B2" i="1"/>
  <c r="A11" i="1"/>
  <c r="A8" i="12" s="1"/>
  <c r="B4" i="6"/>
  <c r="B3" i="6"/>
  <c r="B2" i="6"/>
  <c r="A11" i="6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B10" i="7"/>
  <c r="B14" i="7" s="1"/>
  <c r="B4" i="7"/>
  <c r="B3" i="7"/>
  <c r="B2" i="7"/>
  <c r="D7" i="7"/>
  <c r="D6" i="7"/>
  <c r="B10" i="12"/>
  <c r="J13" i="1"/>
  <c r="C10" i="11" s="1"/>
  <c r="J21" i="6"/>
  <c r="C18" i="12" s="1"/>
  <c r="B18" i="12"/>
  <c r="J17" i="6"/>
  <c r="C14" i="12" s="1"/>
  <c r="B14" i="12"/>
  <c r="J15" i="6"/>
  <c r="C12" i="12" s="1"/>
  <c r="B12" i="12"/>
  <c r="J13" i="6"/>
  <c r="C10" i="12" s="1"/>
  <c r="B8" i="12"/>
  <c r="J29" i="1"/>
  <c r="C26" i="11" s="1"/>
  <c r="B24" i="11"/>
  <c r="B22" i="11"/>
  <c r="J23" i="1"/>
  <c r="C20" i="11" s="1"/>
  <c r="B20" i="11"/>
  <c r="B16" i="11"/>
  <c r="J20" i="6"/>
  <c r="C17" i="12" s="1"/>
  <c r="B17" i="11"/>
  <c r="J12" i="6"/>
  <c r="C9" i="12" s="1"/>
  <c r="J27" i="6"/>
  <c r="C24" i="12" s="1"/>
  <c r="B11" i="12"/>
  <c r="B15" i="12"/>
  <c r="B23" i="12"/>
  <c r="B12" i="11"/>
  <c r="B19" i="11"/>
  <c r="B15" i="11"/>
  <c r="B13" i="11"/>
  <c r="J24" i="1"/>
  <c r="C21" i="11" s="1"/>
  <c r="D15" i="7"/>
  <c r="C26" i="10"/>
  <c r="E26" i="10"/>
  <c r="D14" i="7"/>
  <c r="M30" i="6"/>
  <c r="B12" i="7" s="1"/>
  <c r="E22" i="10"/>
  <c r="E23" i="10"/>
  <c r="E24" i="10"/>
  <c r="A12" i="1"/>
  <c r="A9" i="11" s="1"/>
  <c r="A7" i="11"/>
  <c r="A9" i="12"/>
  <c r="A13" i="1"/>
  <c r="A14" i="1" s="1"/>
  <c r="B22" i="12" l="1"/>
  <c r="B20" i="12"/>
  <c r="C22" i="10"/>
  <c r="M30" i="1"/>
  <c r="B11" i="7" s="1"/>
  <c r="B13" i="7" s="1"/>
  <c r="A11" i="12"/>
  <c r="A11" i="11"/>
  <c r="F27" i="12"/>
  <c r="B15" i="7"/>
  <c r="B26" i="10"/>
  <c r="D22" i="10"/>
  <c r="M15" i="12" s="1"/>
  <c r="B24" i="10"/>
  <c r="J10" i="1"/>
  <c r="C8" i="11" s="1"/>
  <c r="J12" i="1"/>
  <c r="C9" i="11" s="1"/>
  <c r="J11" i="1"/>
  <c r="C7" i="11" s="1"/>
  <c r="F27" i="11"/>
  <c r="O19" i="6"/>
  <c r="D23" i="10"/>
  <c r="D25" i="10"/>
  <c r="D24" i="10"/>
  <c r="C23" i="10"/>
  <c r="M14" i="11"/>
  <c r="O19" i="1"/>
  <c r="B9" i="12"/>
  <c r="J10" i="6"/>
  <c r="C7" i="12" s="1"/>
  <c r="J26" i="1"/>
  <c r="C23" i="11" s="1"/>
  <c r="B23" i="11"/>
  <c r="J22" i="6"/>
  <c r="C19" i="12" s="1"/>
  <c r="B19" i="12"/>
  <c r="J19" i="6"/>
  <c r="C16" i="12" s="1"/>
  <c r="B16" i="12"/>
  <c r="F26" i="10"/>
  <c r="F22" i="10"/>
  <c r="A15" i="1"/>
  <c r="A10" i="11"/>
  <c r="A10" i="12"/>
  <c r="F25" i="10"/>
  <c r="B23" i="10"/>
  <c r="J14" i="1"/>
  <c r="C11" i="11" s="1"/>
  <c r="J16" i="6"/>
  <c r="C13" i="12" s="1"/>
  <c r="B25" i="11"/>
  <c r="J21" i="1"/>
  <c r="C18" i="11" s="1"/>
  <c r="B18" i="11"/>
  <c r="J17" i="1"/>
  <c r="C14" i="11" s="1"/>
  <c r="B14" i="11"/>
  <c r="J29" i="6"/>
  <c r="C26" i="12" s="1"/>
  <c r="J28" i="6"/>
  <c r="C25" i="12" s="1"/>
  <c r="B25" i="10"/>
  <c r="C25" i="10"/>
  <c r="E25" i="10"/>
  <c r="F24" i="10"/>
  <c r="O20" i="6" l="1"/>
  <c r="O20" i="1"/>
  <c r="M15" i="11"/>
  <c r="A12" i="12"/>
  <c r="A12" i="11"/>
  <c r="A16" i="1"/>
  <c r="A17" i="1" l="1"/>
  <c r="A13" i="12"/>
  <c r="A13" i="11"/>
  <c r="A14" i="12" l="1"/>
  <c r="A18" i="1"/>
  <c r="A14" i="11"/>
  <c r="A15" i="12" l="1"/>
  <c r="A19" i="1"/>
  <c r="A15" i="11"/>
  <c r="A16" i="12" l="1"/>
  <c r="A20" i="1"/>
  <c r="A16" i="11"/>
  <c r="A21" i="1" l="1"/>
  <c r="A17" i="12"/>
  <c r="A17" i="11"/>
  <c r="A18" i="11" l="1"/>
  <c r="A18" i="12"/>
  <c r="A22" i="1"/>
  <c r="A23" i="1" l="1"/>
  <c r="A19" i="11"/>
  <c r="A19" i="12"/>
  <c r="A20" i="11" l="1"/>
  <c r="A20" i="12"/>
  <c r="A24" i="1"/>
  <c r="A25" i="1" l="1"/>
  <c r="A21" i="11"/>
  <c r="A21" i="12"/>
  <c r="A22" i="11" l="1"/>
  <c r="A22" i="12"/>
  <c r="A26" i="1"/>
  <c r="A23" i="12" l="1"/>
  <c r="A27" i="1"/>
  <c r="A23" i="11"/>
  <c r="A28" i="1" l="1"/>
  <c r="A24" i="12"/>
  <c r="A24" i="11"/>
  <c r="A25" i="11" l="1"/>
  <c r="A25" i="12"/>
  <c r="A29" i="1"/>
  <c r="A26" i="11" l="1"/>
  <c r="A26" i="12"/>
</calcChain>
</file>

<file path=xl/sharedStrings.xml><?xml version="1.0" encoding="utf-8"?>
<sst xmlns="http://schemas.openxmlformats.org/spreadsheetml/2006/main" count="261" uniqueCount="138">
  <si>
    <t>Projeto:</t>
  </si>
  <si>
    <t>No.</t>
  </si>
  <si>
    <t>Categoria</t>
  </si>
  <si>
    <t>A / O</t>
  </si>
  <si>
    <t>Impacto</t>
  </si>
  <si>
    <t>Priori-</t>
  </si>
  <si>
    <t>dade</t>
  </si>
  <si>
    <t>Probabi-</t>
  </si>
  <si>
    <t>lidade (%)</t>
  </si>
  <si>
    <t>Valor</t>
  </si>
  <si>
    <t>Esperado</t>
  </si>
  <si>
    <t>Sensibilidade:</t>
  </si>
  <si>
    <t xml:space="preserve"> </t>
  </si>
  <si>
    <t>Percentual de variação sobre a Quantificação (probabilidade e Impacto) do Risco - ferramenta de análise</t>
  </si>
  <si>
    <t>Chance de Ocorrência do Risco (%)</t>
  </si>
  <si>
    <t>Valor Esperado do Projeto</t>
  </si>
  <si>
    <t>A</t>
  </si>
  <si>
    <t>O</t>
  </si>
  <si>
    <t>Cliente:</t>
  </si>
  <si>
    <t>Resp:</t>
  </si>
  <si>
    <t xml:space="preserve">Percentual de variação sobre a Quantificação (probabilidade e Impacto) do Risco - ferramenta de análise </t>
  </si>
  <si>
    <t>Sensibilidade Ameaças:</t>
  </si>
  <si>
    <t>Sensibilidade Oport.:</t>
  </si>
  <si>
    <t>Observação</t>
  </si>
  <si>
    <t>Ajustado</t>
  </si>
  <si>
    <t>Responsável</t>
  </si>
  <si>
    <t>Data Análise</t>
  </si>
  <si>
    <t>Probabilidade:</t>
  </si>
  <si>
    <t>Informações do Projeto</t>
  </si>
  <si>
    <t>Projeto</t>
  </si>
  <si>
    <t>Cliente</t>
  </si>
  <si>
    <t>Observações</t>
  </si>
  <si>
    <t>Ameaças</t>
  </si>
  <si>
    <t>em R$</t>
  </si>
  <si>
    <t>Ajustado (R$)</t>
  </si>
  <si>
    <t>Valor Monetário</t>
  </si>
  <si>
    <t>Oportunidades</t>
  </si>
  <si>
    <t>Resp.</t>
  </si>
  <si>
    <t>Respostas - Ameaças</t>
  </si>
  <si>
    <t>Respostas</t>
  </si>
  <si>
    <t>VME - Valor Monetário Esperado do Projeto Completo</t>
  </si>
  <si>
    <t>Probabilidade</t>
  </si>
  <si>
    <t>Produto final do projeto inadequado.</t>
  </si>
  <si>
    <t>Muito Alto</t>
  </si>
  <si>
    <t>Redução do escopo inaceitável para o cliente</t>
  </si>
  <si>
    <t>Redução da qualidade inaceitável para o cliente.</t>
  </si>
  <si>
    <t>Alto</t>
  </si>
  <si>
    <t>Médio</t>
  </si>
  <si>
    <t>Áreas de pouca importância do escopo são afetadas</t>
  </si>
  <si>
    <t>Apenas aplicações mais exigentes são afetadas.</t>
  </si>
  <si>
    <t>Baixo</t>
  </si>
  <si>
    <t>Diminuição quase imperceptível do escopo.</t>
  </si>
  <si>
    <t>Degradação quase imperceptível da qualidade.</t>
  </si>
  <si>
    <t>Muito Baixo</t>
  </si>
  <si>
    <t>Escopo</t>
  </si>
  <si>
    <t>Cronograma</t>
  </si>
  <si>
    <t>Custo</t>
  </si>
  <si>
    <t>Qualidade</t>
  </si>
  <si>
    <t>Categoria de Objetivos do Projeto</t>
  </si>
  <si>
    <t>Matriz auxiliar na determinação do impacto (I) do risco sobre o projeto</t>
  </si>
  <si>
    <t>Muito Alta</t>
  </si>
  <si>
    <t>Alta</t>
  </si>
  <si>
    <r>
      <t>Possível</t>
    </r>
    <r>
      <rPr>
        <sz val="10"/>
        <rFont val="Calibri"/>
        <family val="2"/>
      </rPr>
      <t>. Deve ocorrer em algum momento.</t>
    </r>
  </si>
  <si>
    <t>Média</t>
  </si>
  <si>
    <t>Baixa</t>
  </si>
  <si>
    <t>Muito Baixa</t>
  </si>
  <si>
    <t>Descrição</t>
  </si>
  <si>
    <t>Ordinal</t>
  </si>
  <si>
    <t>Matriz auxiliar na determinação da probabilidade (P) de ocorrência do risco</t>
  </si>
  <si>
    <t>Qualitativo</t>
  </si>
  <si>
    <t>P x I</t>
  </si>
  <si>
    <t>Valor do Projeto</t>
  </si>
  <si>
    <t>Descrição do Evento de oportunidade</t>
  </si>
  <si>
    <t xml:space="preserve"> (com causa e consequência)</t>
  </si>
  <si>
    <t>Descrição do Evento de ameaça</t>
  </si>
  <si>
    <r>
      <t>Rara.</t>
    </r>
    <r>
      <rPr>
        <sz val="10"/>
        <rFont val="Calibri"/>
        <family val="2"/>
      </rPr>
      <t xml:space="preserve"> Ocorre somente em circunstâncias excepcionais.</t>
    </r>
  </si>
  <si>
    <r>
      <t xml:space="preserve">Improvável. </t>
    </r>
    <r>
      <rPr>
        <sz val="10"/>
        <rFont val="Calibri"/>
        <family val="2"/>
      </rPr>
      <t>Pode ocorre em algum momento.</t>
    </r>
  </si>
  <si>
    <r>
      <t xml:space="preserve">Provável. </t>
    </r>
    <r>
      <rPr>
        <sz val="10"/>
        <rFont val="Calibri"/>
        <family val="2"/>
      </rPr>
      <t>Vai ocorrer na maioria das circunstâncias.</t>
    </r>
  </si>
  <si>
    <r>
      <t xml:space="preserve">Quase certa. </t>
    </r>
    <r>
      <rPr>
        <sz val="10"/>
        <rFont val="Calibri"/>
        <family val="2"/>
      </rPr>
      <t>Ocorre em quase todas as circunstâncias.</t>
    </r>
  </si>
  <si>
    <t>Aumento de custo &lt;5 - 10%</t>
  </si>
  <si>
    <t>Aumento de custo &lt; 10 -20%</t>
  </si>
  <si>
    <t>Aumento de custo &gt; 20%</t>
  </si>
  <si>
    <t>Deslocamento insignificante no cronograma</t>
  </si>
  <si>
    <t>Deslocamento no cronograma &lt; 5%</t>
  </si>
  <si>
    <t>Deslocamento no cronograma &lt;5 - 10%</t>
  </si>
  <si>
    <t>Deslocamento no cronograma &lt; 10 - 20%</t>
  </si>
  <si>
    <t>Deslocamento no cronograma &gt; 20%</t>
  </si>
  <si>
    <t>Áreas importantes do escopo são afetadas</t>
  </si>
  <si>
    <t>Redução de qualidade requer a aprovação do cliente</t>
  </si>
  <si>
    <t>Produto final do projeto não utilizável.</t>
  </si>
  <si>
    <t>GERAL</t>
  </si>
  <si>
    <t xml:space="preserve">Consequências não ameaçam o projeto mas este vai sofrer alterações
</t>
  </si>
  <si>
    <t xml:space="preserve">Consequências ameaçam o projeto
</t>
  </si>
  <si>
    <t xml:space="preserve">Consequências ameaçam o projeto e a organização
</t>
  </si>
  <si>
    <t>Aumento de custo &lt; 5%</t>
  </si>
  <si>
    <t>Aumento insignificante de custo</t>
  </si>
  <si>
    <t xml:space="preserve">Conseqüências são tratadas com operações de rotina 
</t>
  </si>
  <si>
    <t xml:space="preserve">Consequências  não ameaçam  objetivos do projeto
</t>
  </si>
  <si>
    <t>Impactos</t>
  </si>
  <si>
    <t>Valores limite</t>
  </si>
  <si>
    <t>da matriz</t>
  </si>
  <si>
    <t>Priorid</t>
  </si>
  <si>
    <t>Valor Real</t>
  </si>
  <si>
    <t>Valor  Esperado</t>
  </si>
  <si>
    <t>Data  Ocorrência</t>
  </si>
  <si>
    <r>
      <t xml:space="preserve">Evento de Ameaça
</t>
    </r>
    <r>
      <rPr>
        <sz val="9"/>
        <rFont val="Arial"/>
        <family val="2"/>
      </rPr>
      <t>(descrição do risco)</t>
    </r>
  </si>
  <si>
    <t>No</t>
  </si>
  <si>
    <t>PxI</t>
  </si>
  <si>
    <t>Respostas - Oportunidades</t>
  </si>
  <si>
    <r>
      <t xml:space="preserve">Evento de Oportunidade
</t>
    </r>
    <r>
      <rPr>
        <sz val="9"/>
        <rFont val="Arial"/>
        <family val="2"/>
      </rPr>
      <t>(descrição do risco)</t>
    </r>
  </si>
  <si>
    <t>Acompanhamento</t>
  </si>
  <si>
    <t>Resposta(s)</t>
  </si>
  <si>
    <t>Análise de Custos</t>
  </si>
  <si>
    <t>Custo ou Resultado? (escolha)</t>
  </si>
  <si>
    <t>Sem Riscos</t>
  </si>
  <si>
    <t>Valor Base do Projeto</t>
  </si>
  <si>
    <t>Riscos - VME das Oportunidades</t>
  </si>
  <si>
    <t>Riscos - VME das Ameaças</t>
  </si>
  <si>
    <t>VME do Projeto com Riscos</t>
  </si>
  <si>
    <t>Matriz de vulnerabilidade auxiliar (P x I) para a determinação dos patamares de graduação dos riscos</t>
  </si>
  <si>
    <t>Ameaça</t>
  </si>
  <si>
    <t>Oportunidade</t>
  </si>
  <si>
    <t>Se Oportunidade, lançar impacto como positivo (descresce o custo / aumenta a receita)</t>
  </si>
  <si>
    <t>Registro dos Riscos do Projeto</t>
  </si>
  <si>
    <t>Lançar impacto da ameaça com sinal positivo (cresce o custo / reduz a receita)</t>
  </si>
  <si>
    <t>Melhor Caso (Somente Oportunidades)</t>
  </si>
  <si>
    <t>Pior Caso (Somente Ameaças)</t>
  </si>
  <si>
    <t>Total Oportunidades (100%)</t>
  </si>
  <si>
    <t>Total Ameaças (100%)</t>
  </si>
  <si>
    <t>Projeto AULA</t>
  </si>
  <si>
    <t>ALUNOS</t>
  </si>
  <si>
    <t>MAURO</t>
  </si>
  <si>
    <t>TÉCNICO</t>
  </si>
  <si>
    <t>SAÚDE</t>
  </si>
  <si>
    <t>SE OCORRER UMA EPIDEMIA, PODE HAVER OCORRÊNCIA DE CORONAVÍRUS ENTRE OS ALUNOS, LEVANDO A ATRASO DE 2 SEMANAS NO CURSO E AUMENTO NOS CUSTOS DEVIDO À REEMBOLSOS E DESPESAS</t>
  </si>
  <si>
    <t>REDUÇÃO NO CUSTO DO PROVEDOR DE INTERNET, DEVIDO À CONTRATAÇÃO FORNECEDOR NOVO NO MERCADO, REDUZINDO O CUSTO DO CURSO</t>
  </si>
  <si>
    <t>TECNO-LOGIA</t>
  </si>
  <si>
    <t>DEFEITO NO COMPUTADOR, DEVIDO FALTA DE MANUTENÇÃO, LEVANDO A CANCELAMENTO DA AULA (ATRASO DE x% E PREJUÍZO DE R$...)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</si>
</sst>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_);[Red]\(&quot;$&quot;#,##0\)"/>
    <numFmt numFmtId="165" formatCode="&quot;$&quot;#,##0"/>
    <numFmt numFmtId="166" formatCode="0.0%"/>
    <numFmt numFmtId="167" formatCode="0.0"/>
  </numFmts>
  <fonts count="34" x14ac:knownFonts="1">
    <font>
      <sz val="9"/>
      <name val="Arial"/>
    </font>
    <font>
      <b/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color indexed="57"/>
      <name val="Arial"/>
      <family val="2"/>
    </font>
    <font>
      <b/>
      <sz val="11"/>
      <color indexed="62"/>
      <name val="Arial"/>
      <family val="2"/>
    </font>
    <font>
      <b/>
      <sz val="10"/>
      <color indexed="57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9"/>
      <color indexed="18"/>
      <name val="Arial"/>
      <family val="2"/>
    </font>
    <font>
      <b/>
      <sz val="10"/>
      <color indexed="18"/>
      <name val="Arial"/>
      <family val="2"/>
    </font>
    <font>
      <b/>
      <sz val="9"/>
      <color indexed="62"/>
      <name val="Arial"/>
      <family val="2"/>
    </font>
    <font>
      <b/>
      <sz val="8"/>
      <color indexed="62"/>
      <name val="Arial"/>
      <family val="2"/>
    </font>
    <font>
      <sz val="11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indexed="18"/>
      <name val="Helvetica"/>
      <family val="2"/>
    </font>
    <font>
      <sz val="8"/>
      <name val="Helvetica"/>
      <family val="2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9"/>
      <color rgb="FFFF00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-0.2499465926084170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2" borderId="0" xfId="0" applyFill="1"/>
    <xf numFmtId="0" fontId="11" fillId="2" borderId="0" xfId="0" applyFont="1" applyFill="1"/>
    <xf numFmtId="0" fontId="9" fillId="2" borderId="0" xfId="0" applyFont="1" applyFill="1"/>
    <xf numFmtId="0" fontId="10" fillId="0" borderId="1" xfId="0" applyFont="1" applyFill="1" applyBorder="1" applyAlignment="1" applyProtection="1">
      <alignment horizontal="left" vertical="center"/>
      <protection locked="0"/>
    </xf>
    <xf numFmtId="14" fontId="10" fillId="0" borderId="1" xfId="0" applyNumberFormat="1" applyFont="1" applyFill="1" applyBorder="1" applyAlignment="1" applyProtection="1">
      <alignment horizontal="left" vertical="center"/>
      <protection locked="0"/>
    </xf>
    <xf numFmtId="40" fontId="10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13" fillId="2" borderId="0" xfId="0" applyFont="1" applyFill="1" applyAlignment="1">
      <alignment horizontal="center"/>
    </xf>
    <xf numFmtId="0" fontId="12" fillId="2" borderId="0" xfId="0" applyFont="1" applyFill="1"/>
    <xf numFmtId="0" fontId="12" fillId="2" borderId="1" xfId="0" applyFont="1" applyFill="1" applyBorder="1" applyAlignment="1">
      <alignment horizontal="left" vertical="center"/>
    </xf>
    <xf numFmtId="0" fontId="14" fillId="2" borderId="0" xfId="0" applyFont="1" applyFill="1"/>
    <xf numFmtId="0" fontId="12" fillId="2" borderId="0" xfId="0" applyFont="1" applyFill="1" applyAlignment="1">
      <alignment vertical="top"/>
    </xf>
    <xf numFmtId="0" fontId="2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0" fillId="2" borderId="0" xfId="0" applyFill="1" applyAlignment="1">
      <alignment horizontal="left" vertical="center"/>
    </xf>
    <xf numFmtId="14" fontId="3" fillId="2" borderId="0" xfId="0" applyNumberFormat="1" applyFont="1" applyFill="1" applyBorder="1" applyAlignment="1">
      <alignment horizontal="left" vertical="center"/>
    </xf>
    <xf numFmtId="9" fontId="4" fillId="2" borderId="0" xfId="0" applyNumberFormat="1" applyFont="1" applyFill="1" applyBorder="1" applyAlignment="1">
      <alignment horizontal="left" vertical="center"/>
    </xf>
    <xf numFmtId="0" fontId="0" fillId="2" borderId="0" xfId="0" applyFill="1" applyBorder="1"/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 vertical="center" wrapText="1"/>
    </xf>
    <xf numFmtId="9" fontId="4" fillId="2" borderId="0" xfId="0" applyNumberFormat="1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 wrapText="1"/>
    </xf>
    <xf numFmtId="38" fontId="0" fillId="3" borderId="10" xfId="0" applyNumberFormat="1" applyFill="1" applyBorder="1" applyAlignment="1">
      <alignment horizontal="right" vertical="center"/>
    </xf>
    <xf numFmtId="38" fontId="0" fillId="3" borderId="1" xfId="0" applyNumberFormat="1" applyFill="1" applyBorder="1" applyAlignment="1">
      <alignment horizontal="right" vertical="center"/>
    </xf>
    <xf numFmtId="38" fontId="2" fillId="3" borderId="1" xfId="0" applyNumberFormat="1" applyFont="1" applyFill="1" applyBorder="1" applyAlignment="1">
      <alignment horizontal="right" vertical="center"/>
    </xf>
    <xf numFmtId="0" fontId="0" fillId="3" borderId="11" xfId="0" applyFill="1" applyBorder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7" fillId="2" borderId="0" xfId="0" applyNumberFormat="1" applyFont="1" applyFill="1" applyAlignment="1">
      <alignment horizontal="right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15" fillId="0" borderId="4" xfId="0" applyNumberFormat="1" applyFont="1" applyFill="1" applyBorder="1" applyAlignment="1" applyProtection="1">
      <alignment horizontal="right" vertical="center"/>
      <protection locked="0"/>
    </xf>
    <xf numFmtId="9" fontId="15" fillId="0" borderId="9" xfId="0" applyNumberFormat="1" applyFont="1" applyFill="1" applyBorder="1" applyAlignment="1" applyProtection="1">
      <alignment horizontal="center" vertical="center"/>
      <protection locked="0"/>
    </xf>
    <xf numFmtId="164" fontId="15" fillId="0" borderId="9" xfId="0" applyNumberFormat="1" applyFont="1" applyFill="1" applyBorder="1" applyAlignment="1" applyProtection="1">
      <alignment horizontal="right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12" fillId="2" borderId="0" xfId="0" applyFont="1" applyFill="1" applyBorder="1" applyAlignment="1">
      <alignment horizontal="center" vertical="center"/>
    </xf>
    <xf numFmtId="9" fontId="16" fillId="0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 wrapText="1"/>
    </xf>
    <xf numFmtId="9" fontId="4" fillId="2" borderId="0" xfId="0" applyNumberFormat="1" applyFont="1" applyFill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right" vertical="center"/>
    </xf>
    <xf numFmtId="0" fontId="0" fillId="2" borderId="13" xfId="0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right" vertical="center"/>
    </xf>
    <xf numFmtId="0" fontId="0" fillId="2" borderId="6" xfId="0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 wrapText="1"/>
    </xf>
    <xf numFmtId="0" fontId="2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38" fontId="0" fillId="3" borderId="8" xfId="0" applyNumberFormat="1" applyFill="1" applyBorder="1" applyAlignment="1">
      <alignment horizontal="right" vertical="center"/>
    </xf>
    <xf numFmtId="164" fontId="17" fillId="0" borderId="4" xfId="0" applyNumberFormat="1" applyFont="1" applyFill="1" applyBorder="1" applyAlignment="1" applyProtection="1">
      <alignment horizontal="right" vertical="center"/>
      <protection locked="0"/>
    </xf>
    <xf numFmtId="9" fontId="17" fillId="0" borderId="9" xfId="0" applyNumberFormat="1" applyFont="1" applyFill="1" applyBorder="1" applyAlignment="1" applyProtection="1">
      <alignment horizontal="center" vertical="center"/>
      <protection locked="0"/>
    </xf>
    <xf numFmtId="164" fontId="17" fillId="0" borderId="9" xfId="0" applyNumberFormat="1" applyFont="1" applyFill="1" applyBorder="1" applyAlignment="1" applyProtection="1">
      <alignment horizontal="right" vertical="center"/>
      <protection locked="0"/>
    </xf>
    <xf numFmtId="9" fontId="17" fillId="0" borderId="7" xfId="0" applyNumberFormat="1" applyFont="1" applyFill="1" applyBorder="1" applyAlignment="1" applyProtection="1">
      <alignment horizontal="center" vertical="center"/>
      <protection locked="0"/>
    </xf>
    <xf numFmtId="164" fontId="17" fillId="0" borderId="7" xfId="0" applyNumberFormat="1" applyFont="1" applyFill="1" applyBorder="1" applyAlignment="1" applyProtection="1">
      <alignment horizontal="right" vertical="center"/>
      <protection locked="0"/>
    </xf>
    <xf numFmtId="0" fontId="12" fillId="2" borderId="1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9" fontId="4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9" fontId="3" fillId="2" borderId="0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right" vertical="center"/>
    </xf>
    <xf numFmtId="9" fontId="3" fillId="2" borderId="0" xfId="0" applyNumberFormat="1" applyFont="1" applyFill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0" fontId="2" fillId="2" borderId="0" xfId="0" applyFont="1" applyFill="1"/>
    <xf numFmtId="0" fontId="11" fillId="2" borderId="3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11" fillId="2" borderId="15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9" xfId="0" applyFont="1" applyFill="1" applyBorder="1" applyAlignment="1">
      <alignment horizontal="left" vertical="center"/>
    </xf>
    <xf numFmtId="0" fontId="11" fillId="2" borderId="13" xfId="0" applyFont="1" applyFill="1" applyBorder="1" applyAlignment="1">
      <alignment horizontal="left" vertical="center"/>
    </xf>
    <xf numFmtId="0" fontId="11" fillId="2" borderId="14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11" fillId="2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38" fontId="2" fillId="2" borderId="0" xfId="0" applyNumberFormat="1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right" vertical="center"/>
    </xf>
    <xf numFmtId="38" fontId="0" fillId="2" borderId="0" xfId="0" applyNumberForma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14" fontId="3" fillId="2" borderId="0" xfId="0" applyNumberFormat="1" applyFont="1" applyFill="1" applyBorder="1" applyAlignment="1">
      <alignment horizontal="center" vertical="center"/>
    </xf>
    <xf numFmtId="9" fontId="18" fillId="2" borderId="15" xfId="0" applyNumberFormat="1" applyFont="1" applyFill="1" applyBorder="1" applyAlignment="1">
      <alignment horizontal="center" vertical="center"/>
    </xf>
    <xf numFmtId="9" fontId="18" fillId="2" borderId="11" xfId="0" applyNumberFormat="1" applyFont="1" applyFill="1" applyBorder="1" applyAlignment="1">
      <alignment horizontal="center" vertical="center"/>
    </xf>
    <xf numFmtId="38" fontId="19" fillId="2" borderId="4" xfId="0" applyNumberFormat="1" applyFont="1" applyFill="1" applyBorder="1" applyAlignment="1">
      <alignment horizontal="right" vertical="center"/>
    </xf>
    <xf numFmtId="38" fontId="19" fillId="2" borderId="9" xfId="0" applyNumberFormat="1" applyFont="1" applyFill="1" applyBorder="1" applyAlignment="1">
      <alignment horizontal="right" vertical="center"/>
    </xf>
    <xf numFmtId="38" fontId="19" fillId="2" borderId="7" xfId="0" applyNumberFormat="1" applyFont="1" applyFill="1" applyBorder="1" applyAlignment="1">
      <alignment horizontal="right" vertical="center"/>
    </xf>
    <xf numFmtId="38" fontId="9" fillId="2" borderId="1" xfId="0" applyNumberFormat="1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38" fontId="2" fillId="2" borderId="10" xfId="0" applyNumberFormat="1" applyFont="1" applyFill="1" applyBorder="1" applyAlignment="1">
      <alignment horizontal="right"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164" fontId="0" fillId="2" borderId="9" xfId="0" applyNumberFormat="1" applyFill="1" applyBorder="1" applyAlignment="1">
      <alignment horizontal="right" vertical="center" wrapText="1"/>
    </xf>
    <xf numFmtId="164" fontId="0" fillId="2" borderId="7" xfId="0" applyNumberFormat="1" applyFill="1" applyBorder="1" applyAlignment="1">
      <alignment horizontal="right" vertical="center" wrapText="1"/>
    </xf>
    <xf numFmtId="14" fontId="0" fillId="2" borderId="2" xfId="0" applyNumberForma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right" vertical="center" wrapText="1"/>
    </xf>
    <xf numFmtId="14" fontId="0" fillId="2" borderId="0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right"/>
    </xf>
    <xf numFmtId="0" fontId="15" fillId="0" borderId="4" xfId="0" applyFont="1" applyFill="1" applyBorder="1" applyAlignment="1" applyProtection="1">
      <alignment horizontal="left" vertical="center" wrapText="1"/>
      <protection locked="0"/>
    </xf>
    <xf numFmtId="0" fontId="15" fillId="0" borderId="9" xfId="0" applyFont="1" applyFill="1" applyBorder="1" applyAlignment="1" applyProtection="1">
      <alignment horizontal="left" vertical="center" wrapText="1"/>
      <protection locked="0"/>
    </xf>
    <xf numFmtId="0" fontId="15" fillId="0" borderId="7" xfId="0" applyFont="1" applyFill="1" applyBorder="1" applyAlignment="1" applyProtection="1">
      <alignment horizontal="left" vertical="center" wrapText="1"/>
      <protection locked="0"/>
    </xf>
    <xf numFmtId="38" fontId="21" fillId="2" borderId="2" xfId="0" applyNumberFormat="1" applyFont="1" applyFill="1" applyBorder="1" applyAlignment="1">
      <alignment horizontal="right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38" fontId="20" fillId="0" borderId="9" xfId="0" applyNumberFormat="1" applyFont="1" applyFill="1" applyBorder="1" applyAlignment="1" applyProtection="1">
      <alignment horizontal="left" vertical="center" wrapText="1"/>
      <protection locked="0"/>
    </xf>
    <xf numFmtId="14" fontId="20" fillId="0" borderId="9" xfId="0" applyNumberFormat="1" applyFont="1" applyFill="1" applyBorder="1" applyAlignment="1" applyProtection="1">
      <alignment horizontal="center" vertical="center" wrapText="1"/>
      <protection locked="0"/>
    </xf>
    <xf numFmtId="164" fontId="20" fillId="0" borderId="9" xfId="0" applyNumberFormat="1" applyFont="1" applyFill="1" applyBorder="1" applyAlignment="1" applyProtection="1">
      <alignment horizontal="right" vertical="center" wrapText="1"/>
      <protection locked="0"/>
    </xf>
    <xf numFmtId="38" fontId="20" fillId="0" borderId="14" xfId="0" applyNumberFormat="1" applyFont="1" applyFill="1" applyBorder="1" applyAlignment="1" applyProtection="1">
      <alignment horizontal="left" vertical="center" wrapText="1"/>
      <protection locked="0"/>
    </xf>
    <xf numFmtId="38" fontId="20" fillId="0" borderId="11" xfId="0" applyNumberFormat="1" applyFont="1" applyFill="1" applyBorder="1" applyAlignment="1" applyProtection="1">
      <alignment horizontal="left" vertical="center" wrapText="1"/>
      <protection locked="0"/>
    </xf>
    <xf numFmtId="0" fontId="2" fillId="3" borderId="11" xfId="0" applyFont="1" applyFill="1" applyBorder="1" applyAlignment="1">
      <alignment horizontal="center" vertical="center"/>
    </xf>
    <xf numFmtId="0" fontId="26" fillId="4" borderId="1" xfId="0" applyFont="1" applyFill="1" applyBorder="1" applyAlignment="1" applyProtection="1">
      <alignment horizontal="left" vertical="center" wrapText="1"/>
      <protection locked="0"/>
    </xf>
    <xf numFmtId="0" fontId="26" fillId="4" borderId="1" xfId="0" applyFont="1" applyFill="1" applyBorder="1" applyAlignment="1">
      <alignment horizontal="left" vertical="center"/>
    </xf>
    <xf numFmtId="0" fontId="26" fillId="4" borderId="1" xfId="0" applyFont="1" applyFill="1" applyBorder="1" applyAlignment="1">
      <alignment horizontal="left" vertical="center" wrapText="1"/>
    </xf>
    <xf numFmtId="0" fontId="27" fillId="5" borderId="1" xfId="0" applyFont="1" applyFill="1" applyBorder="1" applyAlignment="1">
      <alignment horizontal="center"/>
    </xf>
    <xf numFmtId="0" fontId="27" fillId="5" borderId="1" xfId="0" applyFont="1" applyFill="1" applyBorder="1"/>
    <xf numFmtId="0" fontId="28" fillId="5" borderId="1" xfId="0" applyFont="1" applyFill="1" applyBorder="1"/>
    <xf numFmtId="0" fontId="26" fillId="0" borderId="2" xfId="0" applyFont="1" applyBorder="1"/>
    <xf numFmtId="0" fontId="26" fillId="4" borderId="1" xfId="0" applyFont="1" applyFill="1" applyBorder="1"/>
    <xf numFmtId="2" fontId="0" fillId="2" borderId="0" xfId="0" applyNumberFormat="1" applyFill="1"/>
    <xf numFmtId="2" fontId="24" fillId="6" borderId="9" xfId="0" applyNumberFormat="1" applyFont="1" applyFill="1" applyBorder="1" applyAlignment="1" applyProtection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2" fontId="15" fillId="0" borderId="4" xfId="0" applyNumberFormat="1" applyFont="1" applyFill="1" applyBorder="1" applyAlignment="1" applyProtection="1">
      <alignment horizontal="center" vertical="center"/>
      <protection locked="0"/>
    </xf>
    <xf numFmtId="2" fontId="15" fillId="0" borderId="9" xfId="0" applyNumberFormat="1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>
      <alignment horizontal="center" vertical="top" wrapText="1"/>
    </xf>
    <xf numFmtId="2" fontId="22" fillId="7" borderId="1" xfId="0" applyNumberFormat="1" applyFont="1" applyFill="1" applyBorder="1" applyAlignment="1">
      <alignment horizontal="center" vertical="top" wrapText="1"/>
    </xf>
    <xf numFmtId="2" fontId="22" fillId="8" borderId="1" xfId="0" applyNumberFormat="1" applyFont="1" applyFill="1" applyBorder="1" applyAlignment="1">
      <alignment horizontal="center" vertical="top" wrapText="1"/>
    </xf>
    <xf numFmtId="2" fontId="22" fillId="9" borderId="1" xfId="0" applyNumberFormat="1" applyFont="1" applyFill="1" applyBorder="1" applyAlignment="1">
      <alignment horizontal="center" vertical="top" wrapText="1"/>
    </xf>
    <xf numFmtId="0" fontId="7" fillId="3" borderId="0" xfId="0" applyFont="1" applyFill="1" applyAlignment="1">
      <alignment horizontal="right"/>
    </xf>
    <xf numFmtId="0" fontId="7" fillId="2" borderId="0" xfId="0" applyFont="1" applyFill="1"/>
    <xf numFmtId="0" fontId="0" fillId="2" borderId="9" xfId="0" applyFill="1" applyBorder="1" applyAlignment="1">
      <alignment horizontal="left" vertical="center" wrapText="1"/>
    </xf>
    <xf numFmtId="2" fontId="0" fillId="2" borderId="9" xfId="0" applyNumberForma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left" vertical="center" wrapText="1"/>
    </xf>
    <xf numFmtId="0" fontId="30" fillId="2" borderId="0" xfId="0" applyFont="1" applyFill="1" applyBorder="1" applyAlignment="1">
      <alignment horizontal="left" vertical="center"/>
    </xf>
    <xf numFmtId="2" fontId="24" fillId="6" borderId="7" xfId="0" applyNumberFormat="1" applyFont="1" applyFill="1" applyBorder="1" applyAlignment="1" applyProtection="1">
      <alignment horizontal="center" vertical="center"/>
    </xf>
    <xf numFmtId="0" fontId="27" fillId="5" borderId="1" xfId="0" applyFont="1" applyFill="1" applyBorder="1" applyAlignment="1">
      <alignment horizontal="center" vertical="top" wrapText="1"/>
    </xf>
    <xf numFmtId="0" fontId="29" fillId="5" borderId="1" xfId="0" applyFont="1" applyFill="1" applyBorder="1" applyAlignment="1">
      <alignment horizontal="center" vertical="top" wrapText="1"/>
    </xf>
    <xf numFmtId="0" fontId="2" fillId="10" borderId="2" xfId="0" applyFont="1" applyFill="1" applyBorder="1" applyAlignment="1">
      <alignment horizontal="left" vertical="center"/>
    </xf>
    <xf numFmtId="0" fontId="1" fillId="10" borderId="10" xfId="0" applyFont="1" applyFill="1" applyBorder="1" applyAlignment="1">
      <alignment horizontal="left" vertical="center"/>
    </xf>
    <xf numFmtId="0" fontId="0" fillId="11" borderId="0" xfId="0" applyFill="1"/>
    <xf numFmtId="0" fontId="2" fillId="12" borderId="12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12" borderId="10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right" vertical="center" wrapText="1"/>
    </xf>
    <xf numFmtId="0" fontId="25" fillId="0" borderId="0" xfId="0" applyFont="1" applyFill="1" applyAlignment="1" applyProtection="1">
      <alignment horizontal="center"/>
    </xf>
    <xf numFmtId="14" fontId="31" fillId="13" borderId="2" xfId="0" applyNumberFormat="1" applyFont="1" applyFill="1" applyBorder="1" applyAlignment="1" applyProtection="1">
      <alignment horizontal="left" vertical="center"/>
      <protection locked="0"/>
    </xf>
    <xf numFmtId="14" fontId="1" fillId="10" borderId="12" xfId="0" applyNumberFormat="1" applyFont="1" applyFill="1" applyBorder="1" applyAlignment="1">
      <alignment horizontal="left" vertical="center"/>
    </xf>
    <xf numFmtId="38" fontId="19" fillId="2" borderId="1" xfId="0" applyNumberFormat="1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26" fillId="11" borderId="0" xfId="0" applyFont="1" applyFill="1"/>
    <xf numFmtId="0" fontId="26" fillId="11" borderId="0" xfId="0" applyFont="1" applyFill="1" applyBorder="1"/>
    <xf numFmtId="166" fontId="26" fillId="11" borderId="0" xfId="0" applyNumberFormat="1" applyFont="1" applyFill="1" applyBorder="1" applyAlignment="1">
      <alignment horizontal="center"/>
    </xf>
    <xf numFmtId="0" fontId="33" fillId="11" borderId="0" xfId="0" applyFont="1" applyFill="1" applyBorder="1" applyAlignment="1">
      <alignment horizontal="justify" vertical="top" wrapText="1"/>
    </xf>
    <xf numFmtId="166" fontId="26" fillId="0" borderId="1" xfId="0" applyNumberFormat="1" applyFont="1" applyFill="1" applyBorder="1" applyAlignment="1">
      <alignment horizontal="center"/>
    </xf>
    <xf numFmtId="0" fontId="26" fillId="0" borderId="1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justify"/>
    </xf>
    <xf numFmtId="0" fontId="23" fillId="0" borderId="10" xfId="0" applyFont="1" applyBorder="1" applyAlignment="1">
      <alignment horizontal="justify"/>
    </xf>
    <xf numFmtId="0" fontId="33" fillId="4" borderId="12" xfId="0" applyFont="1" applyFill="1" applyBorder="1" applyAlignment="1">
      <alignment horizontal="justify" vertical="top" wrapText="1"/>
    </xf>
    <xf numFmtId="0" fontId="33" fillId="4" borderId="10" xfId="0" applyFont="1" applyFill="1" applyBorder="1" applyAlignment="1">
      <alignment horizontal="justify" vertical="top" wrapText="1"/>
    </xf>
    <xf numFmtId="0" fontId="33" fillId="4" borderId="2" xfId="0" applyFont="1" applyFill="1" applyBorder="1" applyAlignment="1">
      <alignment horizontal="justify" vertical="top" wrapText="1"/>
    </xf>
    <xf numFmtId="0" fontId="27" fillId="5" borderId="12" xfId="0" applyFont="1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27" fillId="5" borderId="1" xfId="0" applyFont="1" applyFill="1" applyBorder="1" applyAlignment="1">
      <alignment horizontal="center" vertical="top" wrapText="1"/>
    </xf>
    <xf numFmtId="0" fontId="29" fillId="5" borderId="1" xfId="0" applyFont="1" applyFill="1" applyBorder="1" applyAlignment="1">
      <alignment horizontal="center" vertical="top" wrapText="1"/>
    </xf>
    <xf numFmtId="0" fontId="33" fillId="0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5" fillId="0" borderId="13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15" fillId="0" borderId="6" xfId="0" applyFont="1" applyFill="1" applyBorder="1" applyAlignment="1" applyProtection="1">
      <alignment horizontal="left" vertical="center" wrapText="1"/>
      <protection locked="0"/>
    </xf>
    <xf numFmtId="0" fontId="0" fillId="0" borderId="8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32" fillId="13" borderId="12" xfId="0" applyFont="1" applyFill="1" applyBorder="1" applyAlignment="1">
      <alignment horizontal="center"/>
    </xf>
    <xf numFmtId="0" fontId="32" fillId="13" borderId="10" xfId="0" applyFont="1" applyFill="1" applyBorder="1" applyAlignment="1">
      <alignment horizontal="center"/>
    </xf>
    <xf numFmtId="0" fontId="32" fillId="13" borderId="2" xfId="0" applyFont="1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Mauro\_Mauro\Autoplay%20Media%20Studio%208.0\Curso%20PMP\CD_Root\&#193;reas%20de%20Conhecimento\11_Riscos\FerramentaDeRiscos-V5.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ertura"/>
      <sheetName val="Ameacas-PreReacao"/>
      <sheetName val="Oport-PreReacao"/>
      <sheetName val="VE-PreReacao"/>
      <sheetName val="Reacao-Ameacas"/>
      <sheetName val="Reacao-Oport"/>
      <sheetName val="ValorEsperado"/>
      <sheetName val="Ameacas"/>
      <sheetName val="Oportunidades"/>
      <sheetName val="ControleRiscos"/>
    </sheetNames>
    <sheetDataSet>
      <sheetData sheetId="0"/>
      <sheetData sheetId="1">
        <row r="3">
          <cell r="M3">
            <v>1</v>
          </cell>
        </row>
      </sheetData>
      <sheetData sheetId="2">
        <row r="3">
          <cell r="M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D18"/>
  <sheetViews>
    <sheetView tabSelected="1" zoomScale="140" zoomScaleNormal="140" workbookViewId="0">
      <selection activeCell="B5" sqref="B5"/>
    </sheetView>
  </sheetViews>
  <sheetFormatPr defaultRowHeight="12" x14ac:dyDescent="0.2"/>
  <cols>
    <col min="1" max="1" width="19.5703125" style="3" customWidth="1"/>
    <col min="2" max="2" width="97.42578125" style="3" customWidth="1"/>
    <col min="3" max="3" width="9.140625" style="3"/>
  </cols>
  <sheetData>
    <row r="1" spans="1:4" ht="15.75" x14ac:dyDescent="0.25">
      <c r="B1" s="10" t="s">
        <v>123</v>
      </c>
    </row>
    <row r="2" spans="1:4" ht="15" x14ac:dyDescent="0.25">
      <c r="A2" s="4"/>
      <c r="B2" s="5"/>
    </row>
    <row r="3" spans="1:4" ht="14.25" x14ac:dyDescent="0.2">
      <c r="A3" s="4"/>
    </row>
    <row r="4" spans="1:4" ht="12.75" x14ac:dyDescent="0.2">
      <c r="A4" s="11" t="s">
        <v>28</v>
      </c>
    </row>
    <row r="5" spans="1:4" ht="12.75" x14ac:dyDescent="0.2">
      <c r="A5" s="12" t="s">
        <v>29</v>
      </c>
      <c r="B5" s="6" t="s">
        <v>129</v>
      </c>
    </row>
    <row r="6" spans="1:4" ht="12.75" x14ac:dyDescent="0.2">
      <c r="A6" s="12" t="s">
        <v>30</v>
      </c>
      <c r="B6" s="6" t="s">
        <v>130</v>
      </c>
    </row>
    <row r="7" spans="1:4" ht="12.75" x14ac:dyDescent="0.2">
      <c r="A7" s="12" t="s">
        <v>25</v>
      </c>
      <c r="B7" s="6" t="s">
        <v>131</v>
      </c>
    </row>
    <row r="8" spans="1:4" ht="12.75" x14ac:dyDescent="0.2">
      <c r="A8" s="12" t="s">
        <v>26</v>
      </c>
      <c r="B8" s="7"/>
    </row>
    <row r="9" spans="1:4" ht="12.75" x14ac:dyDescent="0.2">
      <c r="A9" s="12" t="s">
        <v>71</v>
      </c>
      <c r="B9" s="8">
        <v>20000</v>
      </c>
    </row>
    <row r="10" spans="1:4" ht="12.75" x14ac:dyDescent="0.2">
      <c r="A10" s="12" t="s">
        <v>113</v>
      </c>
      <c r="B10" s="179" t="s">
        <v>112</v>
      </c>
      <c r="D10" s="178">
        <f>IF(B10="Análise de Custos",1,-1)</f>
        <v>1</v>
      </c>
    </row>
    <row r="11" spans="1:4" ht="12.75" x14ac:dyDescent="0.2">
      <c r="A11" s="13"/>
    </row>
    <row r="12" spans="1:4" ht="12.75" x14ac:dyDescent="0.2">
      <c r="A12" s="14" t="s">
        <v>31</v>
      </c>
      <c r="B12" s="9"/>
    </row>
    <row r="14" spans="1:4" x14ac:dyDescent="0.2">
      <c r="B14" s="3" t="s">
        <v>12</v>
      </c>
    </row>
    <row r="17" ht="14.25" customHeight="1" x14ac:dyDescent="0.2"/>
    <row r="18" ht="14.25" customHeight="1" x14ac:dyDescent="0.2"/>
  </sheetData>
  <phoneticPr fontId="0" type="noConversion"/>
  <dataValidations count="1">
    <dataValidation type="list" showInputMessage="1" showErrorMessage="1" promptTitle="Escolha:" prompt="Custos ou Resultado" sqref="B10" xr:uid="{00000000-0002-0000-0000-000000000000}">
      <formula1>"Análise de Custos,Análise de Resultado (custos+receita)"</formula1>
    </dataValidation>
  </dataValidations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G48"/>
  <sheetViews>
    <sheetView showGridLines="0" zoomScale="130" zoomScaleNormal="130" workbookViewId="0">
      <selection activeCell="F26" sqref="F26"/>
    </sheetView>
  </sheetViews>
  <sheetFormatPr defaultRowHeight="12" x14ac:dyDescent="0.2"/>
  <cols>
    <col min="1" max="1" width="16.42578125" customWidth="1"/>
    <col min="2" max="2" width="9.140625" customWidth="1"/>
    <col min="3" max="3" width="19.5703125" customWidth="1"/>
    <col min="4" max="4" width="15.28515625" customWidth="1"/>
    <col min="5" max="5" width="20.140625" customWidth="1"/>
    <col min="6" max="6" width="17.42578125" customWidth="1"/>
    <col min="7" max="7" width="18.28515625" customWidth="1"/>
    <col min="8" max="8" width="22.140625" customWidth="1"/>
    <col min="9" max="10" width="9.140625" customWidth="1"/>
  </cols>
  <sheetData>
    <row r="1" spans="1:7" s="172" customFormat="1" x14ac:dyDescent="0.2"/>
    <row r="2" spans="1:7" s="172" customFormat="1" ht="12" customHeight="1" x14ac:dyDescent="0.2">
      <c r="A2" s="190" t="s">
        <v>68</v>
      </c>
      <c r="B2" s="191"/>
      <c r="C2" s="191"/>
      <c r="D2" s="191"/>
      <c r="E2" s="191"/>
    </row>
    <row r="3" spans="1:7" s="172" customFormat="1" ht="12" customHeight="1" x14ac:dyDescent="0.2">
      <c r="A3" s="168" t="s">
        <v>67</v>
      </c>
      <c r="B3" s="168" t="s">
        <v>9</v>
      </c>
      <c r="C3" s="195" t="s">
        <v>66</v>
      </c>
      <c r="D3" s="196"/>
      <c r="E3" s="197"/>
      <c r="F3" s="184"/>
      <c r="G3" s="184"/>
    </row>
    <row r="4" spans="1:7" s="172" customFormat="1" ht="12" customHeight="1" x14ac:dyDescent="0.2">
      <c r="A4" s="151" t="s">
        <v>65</v>
      </c>
      <c r="B4" s="188">
        <v>0.1</v>
      </c>
      <c r="C4" s="192" t="s">
        <v>75</v>
      </c>
      <c r="D4" s="193"/>
      <c r="E4" s="194"/>
      <c r="F4" s="184"/>
      <c r="G4" s="184"/>
    </row>
    <row r="5" spans="1:7" s="172" customFormat="1" ht="12" customHeight="1" x14ac:dyDescent="0.2">
      <c r="A5" s="151" t="s">
        <v>64</v>
      </c>
      <c r="B5" s="188">
        <v>0.3</v>
      </c>
      <c r="C5" s="192" t="s">
        <v>76</v>
      </c>
      <c r="D5" s="193"/>
      <c r="E5" s="194"/>
      <c r="F5" s="184"/>
      <c r="G5" s="184"/>
    </row>
    <row r="6" spans="1:7" s="172" customFormat="1" ht="12.75" customHeight="1" x14ac:dyDescent="0.2">
      <c r="A6" s="151" t="s">
        <v>63</v>
      </c>
      <c r="B6" s="188">
        <v>0.5</v>
      </c>
      <c r="C6" s="192" t="s">
        <v>62</v>
      </c>
      <c r="D6" s="193"/>
      <c r="E6" s="194"/>
      <c r="F6" s="184"/>
      <c r="G6" s="184"/>
    </row>
    <row r="7" spans="1:7" s="172" customFormat="1" ht="12" customHeight="1" x14ac:dyDescent="0.2">
      <c r="A7" s="151" t="s">
        <v>61</v>
      </c>
      <c r="B7" s="188">
        <v>0.7</v>
      </c>
      <c r="C7" s="192" t="s">
        <v>77</v>
      </c>
      <c r="D7" s="193"/>
      <c r="E7" s="194"/>
      <c r="F7" s="184"/>
      <c r="G7" s="184"/>
    </row>
    <row r="8" spans="1:7" s="172" customFormat="1" ht="12.75" customHeight="1" x14ac:dyDescent="0.2">
      <c r="A8" s="151" t="s">
        <v>60</v>
      </c>
      <c r="B8" s="188">
        <v>0.9</v>
      </c>
      <c r="C8" s="192" t="s">
        <v>78</v>
      </c>
      <c r="D8" s="193"/>
      <c r="E8" s="194"/>
      <c r="F8" s="184"/>
      <c r="G8" s="184"/>
    </row>
    <row r="9" spans="1:7" s="172" customFormat="1" ht="12.75" x14ac:dyDescent="0.2">
      <c r="A9" s="185"/>
      <c r="B9" s="186"/>
      <c r="C9" s="187"/>
      <c r="D9" s="184"/>
      <c r="E9" s="184"/>
      <c r="F9" s="184"/>
      <c r="G9" s="184"/>
    </row>
    <row r="10" spans="1:7" s="172" customFormat="1" ht="12.75" customHeight="1" x14ac:dyDescent="0.2">
      <c r="A10" s="190" t="s">
        <v>59</v>
      </c>
      <c r="B10" s="191"/>
      <c r="C10" s="191"/>
      <c r="D10" s="191"/>
      <c r="E10" s="191"/>
      <c r="F10" s="191"/>
      <c r="G10" s="150"/>
    </row>
    <row r="11" spans="1:7" s="172" customFormat="1" ht="12" customHeight="1" x14ac:dyDescent="0.2">
      <c r="A11" s="149"/>
      <c r="B11" s="149"/>
      <c r="C11" s="198" t="s">
        <v>58</v>
      </c>
      <c r="D11" s="198"/>
      <c r="E11" s="198"/>
      <c r="F11" s="198"/>
      <c r="G11" s="198"/>
    </row>
    <row r="12" spans="1:7" s="172" customFormat="1" ht="12.75" customHeight="1" x14ac:dyDescent="0.2">
      <c r="A12" s="148" t="s">
        <v>4</v>
      </c>
      <c r="B12" s="147" t="s">
        <v>9</v>
      </c>
      <c r="C12" s="168" t="s">
        <v>57</v>
      </c>
      <c r="D12" s="168" t="s">
        <v>56</v>
      </c>
      <c r="E12" s="168" t="s">
        <v>55</v>
      </c>
      <c r="F12" s="168" t="s">
        <v>54</v>
      </c>
      <c r="G12" s="168" t="s">
        <v>90</v>
      </c>
    </row>
    <row r="13" spans="1:7" s="172" customFormat="1" ht="48" customHeight="1" x14ac:dyDescent="0.2">
      <c r="A13" s="145" t="s">
        <v>53</v>
      </c>
      <c r="B13" s="189">
        <v>0.5</v>
      </c>
      <c r="C13" s="144" t="s">
        <v>52</v>
      </c>
      <c r="D13" s="144" t="s">
        <v>95</v>
      </c>
      <c r="E13" s="144" t="s">
        <v>82</v>
      </c>
      <c r="F13" s="144" t="s">
        <v>51</v>
      </c>
      <c r="G13" s="144" t="s">
        <v>96</v>
      </c>
    </row>
    <row r="14" spans="1:7" s="172" customFormat="1" ht="47.25" customHeight="1" x14ac:dyDescent="0.2">
      <c r="A14" s="145" t="s">
        <v>50</v>
      </c>
      <c r="B14" s="189">
        <v>1</v>
      </c>
      <c r="C14" s="144" t="s">
        <v>49</v>
      </c>
      <c r="D14" s="144" t="s">
        <v>94</v>
      </c>
      <c r="E14" s="144" t="s">
        <v>83</v>
      </c>
      <c r="F14" s="144" t="s">
        <v>48</v>
      </c>
      <c r="G14" s="144" t="s">
        <v>97</v>
      </c>
    </row>
    <row r="15" spans="1:7" s="172" customFormat="1" ht="59.25" customHeight="1" x14ac:dyDescent="0.2">
      <c r="A15" s="145" t="s">
        <v>47</v>
      </c>
      <c r="B15" s="189">
        <v>2</v>
      </c>
      <c r="C15" s="144" t="s">
        <v>88</v>
      </c>
      <c r="D15" s="144" t="s">
        <v>79</v>
      </c>
      <c r="E15" s="144" t="s">
        <v>84</v>
      </c>
      <c r="F15" s="144" t="s">
        <v>87</v>
      </c>
      <c r="G15" s="144" t="s">
        <v>91</v>
      </c>
    </row>
    <row r="16" spans="1:7" s="172" customFormat="1" ht="39.75" customHeight="1" x14ac:dyDescent="0.2">
      <c r="A16" s="145" t="s">
        <v>46</v>
      </c>
      <c r="B16" s="189">
        <v>4</v>
      </c>
      <c r="C16" s="146" t="s">
        <v>45</v>
      </c>
      <c r="D16" s="146" t="s">
        <v>80</v>
      </c>
      <c r="E16" s="144" t="s">
        <v>85</v>
      </c>
      <c r="F16" s="146" t="s">
        <v>44</v>
      </c>
      <c r="G16" s="146" t="s">
        <v>92</v>
      </c>
    </row>
    <row r="17" spans="1:7" s="172" customFormat="1" ht="48" customHeight="1" x14ac:dyDescent="0.2">
      <c r="A17" s="145" t="s">
        <v>43</v>
      </c>
      <c r="B17" s="189">
        <v>8</v>
      </c>
      <c r="C17" s="144" t="s">
        <v>89</v>
      </c>
      <c r="D17" s="144" t="s">
        <v>81</v>
      </c>
      <c r="E17" s="144" t="s">
        <v>86</v>
      </c>
      <c r="F17" s="144" t="s">
        <v>42</v>
      </c>
      <c r="G17" s="144" t="s">
        <v>93</v>
      </c>
    </row>
    <row r="18" spans="1:7" s="172" customFormat="1" ht="12" customHeight="1" x14ac:dyDescent="0.2"/>
    <row r="19" spans="1:7" s="172" customFormat="1" ht="12" customHeight="1" x14ac:dyDescent="0.2">
      <c r="A19" s="200" t="s">
        <v>119</v>
      </c>
      <c r="B19" s="201"/>
      <c r="C19" s="201"/>
      <c r="D19" s="201"/>
      <c r="E19" s="201"/>
      <c r="F19" s="202"/>
    </row>
    <row r="20" spans="1:7" s="172" customFormat="1" ht="12.75" x14ac:dyDescent="0.2">
      <c r="A20" s="169"/>
      <c r="B20" s="199" t="s">
        <v>4</v>
      </c>
      <c r="C20" s="199"/>
      <c r="D20" s="199"/>
      <c r="E20" s="199"/>
      <c r="F20" s="199"/>
    </row>
    <row r="21" spans="1:7" s="172" customFormat="1" ht="12" customHeight="1" x14ac:dyDescent="0.2">
      <c r="A21" s="169" t="s">
        <v>41</v>
      </c>
      <c r="B21" s="169">
        <f>B13</f>
        <v>0.5</v>
      </c>
      <c r="C21" s="169">
        <f>B14</f>
        <v>1</v>
      </c>
      <c r="D21" s="169">
        <f>B15</f>
        <v>2</v>
      </c>
      <c r="E21" s="169">
        <f>B16</f>
        <v>4</v>
      </c>
      <c r="F21" s="169">
        <f>B17</f>
        <v>8</v>
      </c>
    </row>
    <row r="22" spans="1:7" s="172" customFormat="1" ht="12" customHeight="1" x14ac:dyDescent="0.2">
      <c r="A22" s="157">
        <f>B8</f>
        <v>0.9</v>
      </c>
      <c r="B22" s="158">
        <f>$A22*B$21</f>
        <v>0.45</v>
      </c>
      <c r="C22" s="158">
        <f>$A22*C$21</f>
        <v>0.9</v>
      </c>
      <c r="D22" s="159">
        <f>$A22*D$21</f>
        <v>1.8</v>
      </c>
      <c r="E22" s="159">
        <f>$A22*E$21</f>
        <v>3.6</v>
      </c>
      <c r="F22" s="159">
        <f>$A22*F$21</f>
        <v>7.2</v>
      </c>
    </row>
    <row r="23" spans="1:7" s="172" customFormat="1" ht="12" customHeight="1" x14ac:dyDescent="0.2">
      <c r="A23" s="157">
        <f>B7</f>
        <v>0.7</v>
      </c>
      <c r="B23" s="160">
        <f t="shared" ref="B23:F26" si="0">$A23*B$21</f>
        <v>0.35</v>
      </c>
      <c r="C23" s="158">
        <f t="shared" si="0"/>
        <v>0.7</v>
      </c>
      <c r="D23" s="158">
        <f t="shared" si="0"/>
        <v>1.4</v>
      </c>
      <c r="E23" s="159">
        <f t="shared" si="0"/>
        <v>2.8</v>
      </c>
      <c r="F23" s="159">
        <f t="shared" si="0"/>
        <v>5.6</v>
      </c>
    </row>
    <row r="24" spans="1:7" s="172" customFormat="1" ht="12" customHeight="1" x14ac:dyDescent="0.2">
      <c r="A24" s="157">
        <f>B6</f>
        <v>0.5</v>
      </c>
      <c r="B24" s="160">
        <f t="shared" si="0"/>
        <v>0.25</v>
      </c>
      <c r="C24" s="158">
        <f t="shared" si="0"/>
        <v>0.5</v>
      </c>
      <c r="D24" s="158">
        <f t="shared" si="0"/>
        <v>1</v>
      </c>
      <c r="E24" s="159">
        <f t="shared" si="0"/>
        <v>2</v>
      </c>
      <c r="F24" s="159">
        <f t="shared" si="0"/>
        <v>4</v>
      </c>
    </row>
    <row r="25" spans="1:7" s="172" customFormat="1" ht="12.75" x14ac:dyDescent="0.2">
      <c r="A25" s="157">
        <f>B5</f>
        <v>0.3</v>
      </c>
      <c r="B25" s="160">
        <f t="shared" si="0"/>
        <v>0.15</v>
      </c>
      <c r="C25" s="160">
        <f t="shared" si="0"/>
        <v>0.3</v>
      </c>
      <c r="D25" s="158">
        <f t="shared" si="0"/>
        <v>0.6</v>
      </c>
      <c r="E25" s="158">
        <f t="shared" si="0"/>
        <v>1.2</v>
      </c>
      <c r="F25" s="159">
        <f t="shared" si="0"/>
        <v>2.4</v>
      </c>
    </row>
    <row r="26" spans="1:7" s="172" customFormat="1" ht="12" customHeight="1" x14ac:dyDescent="0.2">
      <c r="A26" s="157">
        <f>B4</f>
        <v>0.1</v>
      </c>
      <c r="B26" s="160">
        <f t="shared" si="0"/>
        <v>0.05</v>
      </c>
      <c r="C26" s="160">
        <f t="shared" si="0"/>
        <v>0.1</v>
      </c>
      <c r="D26" s="160">
        <f t="shared" si="0"/>
        <v>0.2</v>
      </c>
      <c r="E26" s="160">
        <f t="shared" si="0"/>
        <v>0.4</v>
      </c>
      <c r="F26" s="158">
        <f t="shared" si="0"/>
        <v>0.8</v>
      </c>
    </row>
    <row r="27" spans="1:7" s="172" customFormat="1" x14ac:dyDescent="0.2"/>
    <row r="28" spans="1:7" s="172" customFormat="1" ht="12" customHeight="1" x14ac:dyDescent="0.2"/>
    <row r="29" spans="1:7" s="172" customFormat="1" x14ac:dyDescent="0.2"/>
    <row r="30" spans="1:7" s="172" customFormat="1" ht="12" customHeight="1" x14ac:dyDescent="0.2"/>
    <row r="31" spans="1:7" s="172" customFormat="1" x14ac:dyDescent="0.2"/>
    <row r="32" spans="1:7" s="172" customFormat="1" x14ac:dyDescent="0.2"/>
    <row r="33" s="172" customFormat="1" x14ac:dyDescent="0.2"/>
    <row r="34" s="172" customFormat="1" x14ac:dyDescent="0.2"/>
    <row r="35" s="172" customFormat="1" x14ac:dyDescent="0.2"/>
    <row r="36" s="172" customFormat="1" x14ac:dyDescent="0.2"/>
    <row r="37" s="172" customFormat="1" x14ac:dyDescent="0.2"/>
    <row r="38" s="172" customFormat="1" x14ac:dyDescent="0.2"/>
    <row r="39" s="172" customFormat="1" x14ac:dyDescent="0.2"/>
    <row r="40" s="172" customFormat="1" x14ac:dyDescent="0.2"/>
    <row r="41" s="172" customFormat="1" x14ac:dyDescent="0.2"/>
    <row r="42" s="172" customFormat="1" x14ac:dyDescent="0.2"/>
    <row r="43" s="172" customFormat="1" x14ac:dyDescent="0.2"/>
    <row r="44" s="172" customFormat="1" x14ac:dyDescent="0.2"/>
    <row r="45" s="172" customFormat="1" x14ac:dyDescent="0.2"/>
    <row r="46" s="172" customFormat="1" x14ac:dyDescent="0.2"/>
    <row r="47" s="172" customFormat="1" x14ac:dyDescent="0.2"/>
    <row r="48" s="172" customFormat="1" x14ac:dyDescent="0.2"/>
  </sheetData>
  <mergeCells count="11">
    <mergeCell ref="C8:E8"/>
    <mergeCell ref="C3:E3"/>
    <mergeCell ref="A10:F10"/>
    <mergeCell ref="C11:G11"/>
    <mergeCell ref="B20:F20"/>
    <mergeCell ref="A19:F19"/>
    <mergeCell ref="A2:E2"/>
    <mergeCell ref="C4:E4"/>
    <mergeCell ref="C5:E5"/>
    <mergeCell ref="C6:E6"/>
    <mergeCell ref="C7:E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O36"/>
  <sheetViews>
    <sheetView topLeftCell="A8" zoomScale="150" zoomScaleNormal="150" workbookViewId="0">
      <selection activeCell="H10" sqref="H10"/>
    </sheetView>
  </sheetViews>
  <sheetFormatPr defaultRowHeight="12" x14ac:dyDescent="0.2"/>
  <cols>
    <col min="1" max="1" width="7.85546875" style="1" customWidth="1"/>
    <col min="2" max="2" width="10.5703125" style="1" customWidth="1"/>
    <col min="3" max="3" width="21.85546875" style="2" customWidth="1"/>
    <col min="4" max="4" width="19" style="2" customWidth="1"/>
    <col min="5" max="5" width="26.85546875" style="2" customWidth="1"/>
    <col min="6" max="6" width="4.7109375" style="1" bestFit="1" customWidth="1"/>
    <col min="7" max="7" width="9.140625" style="1" customWidth="1"/>
    <col min="8" max="9" width="9.140625" style="1"/>
    <col min="10" max="10" width="8" customWidth="1"/>
    <col min="11" max="11" width="10.5703125" style="1" customWidth="1"/>
    <col min="12" max="12" width="15.5703125" style="1" hidden="1" customWidth="1"/>
    <col min="13" max="13" width="15.140625" customWidth="1"/>
    <col min="14" max="14" width="9.140625" customWidth="1"/>
    <col min="15" max="15" width="10.7109375" hidden="1" customWidth="1"/>
  </cols>
  <sheetData>
    <row r="1" spans="1:15" s="3" customFormat="1" ht="15" x14ac:dyDescent="0.2">
      <c r="A1" s="27" t="s">
        <v>32</v>
      </c>
      <c r="B1" s="17"/>
      <c r="C1" s="28"/>
      <c r="D1" s="28"/>
      <c r="E1" s="28"/>
      <c r="F1" s="17"/>
      <c r="G1" s="17"/>
      <c r="H1" s="17"/>
      <c r="I1" s="17"/>
      <c r="J1" s="22"/>
      <c r="K1" s="29" t="s">
        <v>12</v>
      </c>
      <c r="L1" s="15" t="s">
        <v>12</v>
      </c>
      <c r="M1" s="15"/>
    </row>
    <row r="2" spans="1:15" s="3" customFormat="1" x14ac:dyDescent="0.2">
      <c r="A2" s="30" t="s">
        <v>0</v>
      </c>
      <c r="B2" s="15" t="str">
        <f>Dados!B5</f>
        <v>Projeto AULA</v>
      </c>
      <c r="C2" s="16"/>
      <c r="D2" s="16"/>
      <c r="E2" s="16"/>
      <c r="F2" s="17"/>
      <c r="G2" s="18" t="s">
        <v>12</v>
      </c>
      <c r="H2" s="18"/>
      <c r="I2" s="18"/>
      <c r="J2" s="22"/>
      <c r="K2" s="17"/>
      <c r="L2" s="17"/>
      <c r="M2" s="20"/>
    </row>
    <row r="3" spans="1:15" s="3" customFormat="1" x14ac:dyDescent="0.2">
      <c r="A3" s="30" t="s">
        <v>18</v>
      </c>
      <c r="B3" s="15" t="str">
        <f>Dados!B6</f>
        <v>ALUNOS</v>
      </c>
      <c r="C3" s="16"/>
      <c r="D3" s="16"/>
      <c r="E3" s="16"/>
      <c r="F3" s="17"/>
      <c r="G3" s="17"/>
      <c r="H3" s="17"/>
      <c r="I3" s="17"/>
      <c r="J3" s="22"/>
      <c r="K3" s="17"/>
      <c r="L3" s="21"/>
      <c r="M3" s="22"/>
    </row>
    <row r="4" spans="1:15" s="3" customFormat="1" x14ac:dyDescent="0.2">
      <c r="A4" s="30" t="s">
        <v>37</v>
      </c>
      <c r="B4" s="15" t="str">
        <f>Dados!B7</f>
        <v>MAURO</v>
      </c>
      <c r="C4" s="16"/>
      <c r="D4" s="16"/>
      <c r="E4" s="16"/>
      <c r="F4" s="17"/>
      <c r="G4" s="17"/>
      <c r="H4" s="17"/>
      <c r="I4" s="17"/>
      <c r="J4" s="22"/>
      <c r="K4" s="17"/>
      <c r="L4" s="17"/>
      <c r="M4" s="22"/>
    </row>
    <row r="5" spans="1:15" s="3" customFormat="1" x14ac:dyDescent="0.2">
      <c r="A5" s="23"/>
      <c r="B5" s="24"/>
      <c r="C5" s="25"/>
      <c r="D5" s="25"/>
      <c r="E5" s="25"/>
      <c r="F5" s="19"/>
      <c r="G5" s="19"/>
      <c r="H5" s="19"/>
      <c r="I5" s="19"/>
      <c r="K5" s="19"/>
      <c r="L5" s="26"/>
    </row>
    <row r="6" spans="1:15" s="3" customFormat="1" ht="0.75" hidden="1" customHeight="1" x14ac:dyDescent="0.2">
      <c r="A6" s="23"/>
      <c r="B6" s="24"/>
      <c r="C6" s="25"/>
      <c r="D6" s="25"/>
      <c r="E6" s="25"/>
      <c r="F6" s="19"/>
      <c r="G6" s="19"/>
      <c r="H6" s="19"/>
      <c r="I6" s="19"/>
      <c r="J6" s="65">
        <v>1</v>
      </c>
      <c r="K6" s="19"/>
      <c r="L6" s="19"/>
      <c r="M6" s="64" t="s">
        <v>11</v>
      </c>
    </row>
    <row r="7" spans="1:15" s="3" customFormat="1" x14ac:dyDescent="0.2">
      <c r="A7" s="19"/>
      <c r="B7" s="19"/>
      <c r="C7" s="25"/>
      <c r="D7" s="25"/>
      <c r="E7" s="25"/>
      <c r="F7" s="19"/>
      <c r="G7" s="19"/>
      <c r="H7" s="19"/>
      <c r="I7" s="19"/>
      <c r="K7" s="19"/>
      <c r="L7" s="19"/>
    </row>
    <row r="8" spans="1:15" s="38" customFormat="1" ht="12" customHeight="1" x14ac:dyDescent="0.2">
      <c r="A8" s="33" t="s">
        <v>1</v>
      </c>
      <c r="B8" s="34" t="s">
        <v>2</v>
      </c>
      <c r="C8" s="212" t="s">
        <v>74</v>
      </c>
      <c r="D8" s="213"/>
      <c r="E8" s="214"/>
      <c r="F8" s="34" t="s">
        <v>3</v>
      </c>
      <c r="G8" s="35" t="s">
        <v>7</v>
      </c>
      <c r="H8" s="36" t="s">
        <v>4</v>
      </c>
      <c r="I8" s="35"/>
      <c r="J8" s="34" t="s">
        <v>5</v>
      </c>
      <c r="K8" s="36" t="s">
        <v>4</v>
      </c>
      <c r="L8" s="34" t="s">
        <v>4</v>
      </c>
      <c r="M8" s="34" t="s">
        <v>35</v>
      </c>
    </row>
    <row r="9" spans="1:15" s="38" customFormat="1" x14ac:dyDescent="0.2">
      <c r="A9" s="77"/>
      <c r="B9" s="41"/>
      <c r="C9" s="215" t="s">
        <v>73</v>
      </c>
      <c r="D9" s="216"/>
      <c r="E9" s="217"/>
      <c r="F9" s="143"/>
      <c r="G9" s="42" t="s">
        <v>8</v>
      </c>
      <c r="H9" s="43" t="s">
        <v>69</v>
      </c>
      <c r="I9" s="154" t="s">
        <v>70</v>
      </c>
      <c r="J9" s="44" t="s">
        <v>6</v>
      </c>
      <c r="K9" s="43" t="s">
        <v>33</v>
      </c>
      <c r="L9" s="41" t="s">
        <v>34</v>
      </c>
      <c r="M9" s="41" t="s">
        <v>10</v>
      </c>
      <c r="O9" s="161" t="s">
        <v>98</v>
      </c>
    </row>
    <row r="10" spans="1:15" s="3" customFormat="1" ht="29.25" customHeight="1" x14ac:dyDescent="0.2">
      <c r="A10" s="52">
        <v>1</v>
      </c>
      <c r="B10" s="131" t="s">
        <v>132</v>
      </c>
      <c r="C10" s="206" t="s">
        <v>137</v>
      </c>
      <c r="D10" s="207"/>
      <c r="E10" s="208"/>
      <c r="F10" s="53" t="s">
        <v>16</v>
      </c>
      <c r="G10" s="58">
        <v>0.1</v>
      </c>
      <c r="H10" s="155">
        <v>2</v>
      </c>
      <c r="I10" s="153">
        <f>G10*H10</f>
        <v>0.2</v>
      </c>
      <c r="J10" s="135">
        <f t="shared" ref="J10:J29" si="0">IF(I10&gt;0,RANK(I10,grau_ameaca,0),"")</f>
        <v>2</v>
      </c>
      <c r="K10" s="57">
        <v>0</v>
      </c>
      <c r="L10" s="54" t="e">
        <f>K10*Sensib</f>
        <v>#REF!</v>
      </c>
      <c r="M10" s="73">
        <f>G10*K10</f>
        <v>0</v>
      </c>
      <c r="O10" s="152">
        <f>Escalas!B13</f>
        <v>0.5</v>
      </c>
    </row>
    <row r="11" spans="1:15" s="3" customFormat="1" ht="49.5" customHeight="1" x14ac:dyDescent="0.2">
      <c r="A11" s="55">
        <f>A10+1</f>
        <v>2</v>
      </c>
      <c r="B11" s="132" t="s">
        <v>133</v>
      </c>
      <c r="C11" s="203" t="s">
        <v>134</v>
      </c>
      <c r="D11" s="204"/>
      <c r="E11" s="205"/>
      <c r="F11" s="53" t="s">
        <v>16</v>
      </c>
      <c r="G11" s="58">
        <v>0.1</v>
      </c>
      <c r="H11" s="156">
        <v>8</v>
      </c>
      <c r="I11" s="153">
        <f t="shared" ref="I11:I29" si="1">G11*H11</f>
        <v>0.8</v>
      </c>
      <c r="J11" s="136">
        <f t="shared" si="0"/>
        <v>1</v>
      </c>
      <c r="K11" s="59">
        <v>0</v>
      </c>
      <c r="L11" s="54" t="e">
        <f t="shared" ref="L11:L29" si="2">K11*Sensib</f>
        <v>#REF!</v>
      </c>
      <c r="M11" s="73">
        <f t="shared" ref="M11:M29" si="3">G11*K11</f>
        <v>0</v>
      </c>
      <c r="O11" s="152">
        <f>Escalas!B14</f>
        <v>1</v>
      </c>
    </row>
    <row r="12" spans="1:15" s="3" customFormat="1" ht="12.75" x14ac:dyDescent="0.2">
      <c r="A12" s="55">
        <f t="shared" ref="A12:A29" si="4">A11+1</f>
        <v>3</v>
      </c>
      <c r="B12" s="132"/>
      <c r="C12" s="203"/>
      <c r="D12" s="204"/>
      <c r="E12" s="205"/>
      <c r="F12" s="53" t="s">
        <v>16</v>
      </c>
      <c r="G12" s="58">
        <v>0</v>
      </c>
      <c r="H12" s="156"/>
      <c r="I12" s="153">
        <f t="shared" si="1"/>
        <v>0</v>
      </c>
      <c r="J12" s="136" t="str">
        <f t="shared" si="0"/>
        <v/>
      </c>
      <c r="K12" s="59">
        <v>0</v>
      </c>
      <c r="L12" s="54" t="e">
        <f t="shared" si="2"/>
        <v>#REF!</v>
      </c>
      <c r="M12" s="73">
        <f t="shared" si="3"/>
        <v>0</v>
      </c>
      <c r="O12" s="152">
        <f>Escalas!B15</f>
        <v>2</v>
      </c>
    </row>
    <row r="13" spans="1:15" s="3" customFormat="1" ht="12.75" x14ac:dyDescent="0.2">
      <c r="A13" s="55">
        <f t="shared" si="4"/>
        <v>4</v>
      </c>
      <c r="B13" s="132"/>
      <c r="C13" s="203"/>
      <c r="D13" s="204"/>
      <c r="E13" s="205"/>
      <c r="F13" s="53" t="s">
        <v>16</v>
      </c>
      <c r="G13" s="58">
        <v>0</v>
      </c>
      <c r="H13" s="156"/>
      <c r="I13" s="153">
        <f t="shared" si="1"/>
        <v>0</v>
      </c>
      <c r="J13" s="136" t="str">
        <f t="shared" si="0"/>
        <v/>
      </c>
      <c r="K13" s="59">
        <v>0</v>
      </c>
      <c r="L13" s="54" t="e">
        <f t="shared" si="2"/>
        <v>#REF!</v>
      </c>
      <c r="M13" s="73">
        <f t="shared" si="3"/>
        <v>0</v>
      </c>
      <c r="O13" s="152">
        <f>Escalas!B16</f>
        <v>4</v>
      </c>
    </row>
    <row r="14" spans="1:15" s="3" customFormat="1" ht="12.75" x14ac:dyDescent="0.2">
      <c r="A14" s="55">
        <f t="shared" si="4"/>
        <v>5</v>
      </c>
      <c r="B14" s="132"/>
      <c r="C14" s="203"/>
      <c r="D14" s="204"/>
      <c r="E14" s="205"/>
      <c r="F14" s="53" t="s">
        <v>16</v>
      </c>
      <c r="G14" s="58">
        <v>0</v>
      </c>
      <c r="H14" s="156"/>
      <c r="I14" s="153">
        <f t="shared" si="1"/>
        <v>0</v>
      </c>
      <c r="J14" s="136" t="str">
        <f t="shared" si="0"/>
        <v/>
      </c>
      <c r="K14" s="59">
        <v>0</v>
      </c>
      <c r="L14" s="54" t="e">
        <f t="shared" si="2"/>
        <v>#REF!</v>
      </c>
      <c r="M14" s="73">
        <f t="shared" si="3"/>
        <v>0</v>
      </c>
      <c r="O14" s="152">
        <f>Escalas!B17</f>
        <v>8</v>
      </c>
    </row>
    <row r="15" spans="1:15" s="3" customFormat="1" ht="12.75" x14ac:dyDescent="0.2">
      <c r="A15" s="55">
        <f t="shared" si="4"/>
        <v>6</v>
      </c>
      <c r="B15" s="132"/>
      <c r="C15" s="203"/>
      <c r="D15" s="204"/>
      <c r="E15" s="205"/>
      <c r="F15" s="53" t="s">
        <v>16</v>
      </c>
      <c r="G15" s="58">
        <v>0</v>
      </c>
      <c r="H15" s="156"/>
      <c r="I15" s="153">
        <f t="shared" si="1"/>
        <v>0</v>
      </c>
      <c r="J15" s="136" t="str">
        <f t="shared" si="0"/>
        <v/>
      </c>
      <c r="K15" s="59">
        <v>0</v>
      </c>
      <c r="L15" s="54" t="e">
        <f t="shared" si="2"/>
        <v>#REF!</v>
      </c>
      <c r="M15" s="73">
        <f t="shared" si="3"/>
        <v>0</v>
      </c>
    </row>
    <row r="16" spans="1:15" s="3" customFormat="1" ht="12.75" x14ac:dyDescent="0.2">
      <c r="A16" s="55">
        <f t="shared" si="4"/>
        <v>7</v>
      </c>
      <c r="B16" s="132"/>
      <c r="C16" s="203"/>
      <c r="D16" s="204"/>
      <c r="E16" s="205"/>
      <c r="F16" s="53" t="s">
        <v>16</v>
      </c>
      <c r="G16" s="58">
        <v>0</v>
      </c>
      <c r="H16" s="156"/>
      <c r="I16" s="153">
        <f t="shared" si="1"/>
        <v>0</v>
      </c>
      <c r="J16" s="136" t="str">
        <f t="shared" si="0"/>
        <v/>
      </c>
      <c r="K16" s="59">
        <v>0</v>
      </c>
      <c r="L16" s="54" t="e">
        <f t="shared" si="2"/>
        <v>#REF!</v>
      </c>
      <c r="M16" s="73">
        <f t="shared" si="3"/>
        <v>0</v>
      </c>
    </row>
    <row r="17" spans="1:15" s="3" customFormat="1" ht="12.75" x14ac:dyDescent="0.2">
      <c r="A17" s="55">
        <f t="shared" si="4"/>
        <v>8</v>
      </c>
      <c r="B17" s="132"/>
      <c r="C17" s="203"/>
      <c r="D17" s="204"/>
      <c r="E17" s="205"/>
      <c r="F17" s="53" t="s">
        <v>16</v>
      </c>
      <c r="G17" s="58">
        <v>0</v>
      </c>
      <c r="H17" s="156"/>
      <c r="I17" s="153">
        <f t="shared" si="1"/>
        <v>0</v>
      </c>
      <c r="J17" s="136" t="str">
        <f t="shared" si="0"/>
        <v/>
      </c>
      <c r="K17" s="59">
        <v>0</v>
      </c>
      <c r="L17" s="54" t="e">
        <f t="shared" si="2"/>
        <v>#REF!</v>
      </c>
      <c r="M17" s="73">
        <f t="shared" si="3"/>
        <v>0</v>
      </c>
      <c r="O17" s="162" t="s">
        <v>99</v>
      </c>
    </row>
    <row r="18" spans="1:15" s="3" customFormat="1" ht="12.75" x14ac:dyDescent="0.2">
      <c r="A18" s="55">
        <f t="shared" si="4"/>
        <v>9</v>
      </c>
      <c r="B18" s="132"/>
      <c r="C18" s="203"/>
      <c r="D18" s="204"/>
      <c r="E18" s="205"/>
      <c r="F18" s="53" t="s">
        <v>16</v>
      </c>
      <c r="G18" s="58">
        <v>0</v>
      </c>
      <c r="H18" s="156"/>
      <c r="I18" s="153">
        <f t="shared" si="1"/>
        <v>0</v>
      </c>
      <c r="J18" s="136" t="str">
        <f t="shared" si="0"/>
        <v/>
      </c>
      <c r="K18" s="59">
        <v>0</v>
      </c>
      <c r="L18" s="54" t="e">
        <f t="shared" si="2"/>
        <v>#REF!</v>
      </c>
      <c r="M18" s="73">
        <f t="shared" si="3"/>
        <v>0</v>
      </c>
      <c r="O18" s="162" t="s">
        <v>100</v>
      </c>
    </row>
    <row r="19" spans="1:15" s="3" customFormat="1" ht="12.75" x14ac:dyDescent="0.2">
      <c r="A19" s="55">
        <f t="shared" si="4"/>
        <v>10</v>
      </c>
      <c r="B19" s="132"/>
      <c r="C19" s="203"/>
      <c r="D19" s="204"/>
      <c r="E19" s="205"/>
      <c r="F19" s="53" t="s">
        <v>16</v>
      </c>
      <c r="G19" s="58">
        <v>0</v>
      </c>
      <c r="H19" s="156"/>
      <c r="I19" s="153">
        <f t="shared" si="1"/>
        <v>0</v>
      </c>
      <c r="J19" s="136" t="str">
        <f t="shared" si="0"/>
        <v/>
      </c>
      <c r="K19" s="59">
        <v>0</v>
      </c>
      <c r="L19" s="54" t="e">
        <f t="shared" si="2"/>
        <v>#REF!</v>
      </c>
      <c r="M19" s="73">
        <f t="shared" si="3"/>
        <v>0</v>
      </c>
      <c r="O19" s="152">
        <f>Escalas!B22+0.005</f>
        <v>0.45500000000000002</v>
      </c>
    </row>
    <row r="20" spans="1:15" s="3" customFormat="1" ht="12.75" x14ac:dyDescent="0.2">
      <c r="A20" s="55">
        <f t="shared" si="4"/>
        <v>11</v>
      </c>
      <c r="B20" s="132"/>
      <c r="C20" s="203"/>
      <c r="D20" s="204"/>
      <c r="E20" s="205"/>
      <c r="F20" s="53" t="s">
        <v>16</v>
      </c>
      <c r="G20" s="58">
        <v>0</v>
      </c>
      <c r="H20" s="156"/>
      <c r="I20" s="153">
        <f t="shared" si="1"/>
        <v>0</v>
      </c>
      <c r="J20" s="136" t="str">
        <f t="shared" si="0"/>
        <v/>
      </c>
      <c r="K20" s="59">
        <v>0</v>
      </c>
      <c r="L20" s="54" t="e">
        <f t="shared" si="2"/>
        <v>#REF!</v>
      </c>
      <c r="M20" s="73">
        <f t="shared" si="3"/>
        <v>0</v>
      </c>
      <c r="O20" s="152">
        <f>Escalas!D22-0.005</f>
        <v>1.7950000000000002</v>
      </c>
    </row>
    <row r="21" spans="1:15" s="3" customFormat="1" ht="12.75" x14ac:dyDescent="0.2">
      <c r="A21" s="55">
        <f t="shared" si="4"/>
        <v>12</v>
      </c>
      <c r="B21" s="132"/>
      <c r="C21" s="203"/>
      <c r="D21" s="204"/>
      <c r="E21" s="205"/>
      <c r="F21" s="53" t="s">
        <v>16</v>
      </c>
      <c r="G21" s="58">
        <v>0</v>
      </c>
      <c r="H21" s="156"/>
      <c r="I21" s="153">
        <f t="shared" si="1"/>
        <v>0</v>
      </c>
      <c r="J21" s="136" t="str">
        <f t="shared" si="0"/>
        <v/>
      </c>
      <c r="K21" s="59">
        <v>0</v>
      </c>
      <c r="L21" s="54" t="e">
        <f t="shared" si="2"/>
        <v>#REF!</v>
      </c>
      <c r="M21" s="73">
        <f t="shared" si="3"/>
        <v>0</v>
      </c>
    </row>
    <row r="22" spans="1:15" s="3" customFormat="1" ht="12.75" x14ac:dyDescent="0.2">
      <c r="A22" s="55">
        <f t="shared" si="4"/>
        <v>13</v>
      </c>
      <c r="B22" s="132"/>
      <c r="C22" s="203"/>
      <c r="D22" s="204"/>
      <c r="E22" s="205"/>
      <c r="F22" s="53" t="s">
        <v>16</v>
      </c>
      <c r="G22" s="58">
        <v>0</v>
      </c>
      <c r="H22" s="156"/>
      <c r="I22" s="153">
        <f t="shared" si="1"/>
        <v>0</v>
      </c>
      <c r="J22" s="136" t="str">
        <f t="shared" si="0"/>
        <v/>
      </c>
      <c r="K22" s="59">
        <v>0</v>
      </c>
      <c r="L22" s="54" t="e">
        <f t="shared" si="2"/>
        <v>#REF!</v>
      </c>
      <c r="M22" s="73">
        <f t="shared" si="3"/>
        <v>0</v>
      </c>
    </row>
    <row r="23" spans="1:15" s="3" customFormat="1" ht="12.75" x14ac:dyDescent="0.2">
      <c r="A23" s="55">
        <f t="shared" si="4"/>
        <v>14</v>
      </c>
      <c r="B23" s="132"/>
      <c r="C23" s="203"/>
      <c r="D23" s="204"/>
      <c r="E23" s="205"/>
      <c r="F23" s="53" t="s">
        <v>16</v>
      </c>
      <c r="G23" s="58">
        <v>0</v>
      </c>
      <c r="H23" s="156"/>
      <c r="I23" s="153">
        <f t="shared" si="1"/>
        <v>0</v>
      </c>
      <c r="J23" s="136" t="str">
        <f t="shared" si="0"/>
        <v/>
      </c>
      <c r="K23" s="59">
        <v>0</v>
      </c>
      <c r="L23" s="54" t="e">
        <f t="shared" si="2"/>
        <v>#REF!</v>
      </c>
      <c r="M23" s="73">
        <f t="shared" si="3"/>
        <v>0</v>
      </c>
    </row>
    <row r="24" spans="1:15" s="3" customFormat="1" ht="12.75" x14ac:dyDescent="0.2">
      <c r="A24" s="55">
        <f t="shared" si="4"/>
        <v>15</v>
      </c>
      <c r="B24" s="132"/>
      <c r="C24" s="203"/>
      <c r="D24" s="204"/>
      <c r="E24" s="205"/>
      <c r="F24" s="53" t="s">
        <v>16</v>
      </c>
      <c r="G24" s="58">
        <v>0</v>
      </c>
      <c r="H24" s="156"/>
      <c r="I24" s="153">
        <f t="shared" si="1"/>
        <v>0</v>
      </c>
      <c r="J24" s="136" t="str">
        <f t="shared" si="0"/>
        <v/>
      </c>
      <c r="K24" s="59">
        <v>0</v>
      </c>
      <c r="L24" s="54" t="e">
        <f t="shared" si="2"/>
        <v>#REF!</v>
      </c>
      <c r="M24" s="73">
        <f t="shared" si="3"/>
        <v>0</v>
      </c>
    </row>
    <row r="25" spans="1:15" s="3" customFormat="1" ht="12.75" x14ac:dyDescent="0.2">
      <c r="A25" s="55">
        <f t="shared" si="4"/>
        <v>16</v>
      </c>
      <c r="B25" s="132"/>
      <c r="C25" s="203"/>
      <c r="D25" s="204"/>
      <c r="E25" s="205"/>
      <c r="F25" s="53" t="s">
        <v>16</v>
      </c>
      <c r="G25" s="58">
        <v>0</v>
      </c>
      <c r="H25" s="156"/>
      <c r="I25" s="153">
        <f t="shared" si="1"/>
        <v>0</v>
      </c>
      <c r="J25" s="136" t="str">
        <f t="shared" si="0"/>
        <v/>
      </c>
      <c r="K25" s="59">
        <v>0</v>
      </c>
      <c r="L25" s="54" t="e">
        <f t="shared" si="2"/>
        <v>#REF!</v>
      </c>
      <c r="M25" s="73">
        <f t="shared" si="3"/>
        <v>0</v>
      </c>
    </row>
    <row r="26" spans="1:15" s="3" customFormat="1" ht="12.75" x14ac:dyDescent="0.2">
      <c r="A26" s="55">
        <f t="shared" si="4"/>
        <v>17</v>
      </c>
      <c r="B26" s="132"/>
      <c r="C26" s="203"/>
      <c r="D26" s="204"/>
      <c r="E26" s="205"/>
      <c r="F26" s="53" t="s">
        <v>16</v>
      </c>
      <c r="G26" s="58">
        <v>0</v>
      </c>
      <c r="H26" s="156"/>
      <c r="I26" s="153">
        <f t="shared" si="1"/>
        <v>0</v>
      </c>
      <c r="J26" s="136" t="str">
        <f t="shared" si="0"/>
        <v/>
      </c>
      <c r="K26" s="59">
        <v>0</v>
      </c>
      <c r="L26" s="54" t="e">
        <f t="shared" si="2"/>
        <v>#REF!</v>
      </c>
      <c r="M26" s="73">
        <f t="shared" si="3"/>
        <v>0</v>
      </c>
    </row>
    <row r="27" spans="1:15" s="3" customFormat="1" ht="12.75" x14ac:dyDescent="0.2">
      <c r="A27" s="55">
        <f t="shared" si="4"/>
        <v>18</v>
      </c>
      <c r="B27" s="132"/>
      <c r="C27" s="203"/>
      <c r="D27" s="204"/>
      <c r="E27" s="205"/>
      <c r="F27" s="53" t="s">
        <v>16</v>
      </c>
      <c r="G27" s="58">
        <v>0</v>
      </c>
      <c r="H27" s="156"/>
      <c r="I27" s="153">
        <f t="shared" si="1"/>
        <v>0</v>
      </c>
      <c r="J27" s="136" t="str">
        <f t="shared" si="0"/>
        <v/>
      </c>
      <c r="K27" s="59">
        <v>0</v>
      </c>
      <c r="L27" s="54" t="e">
        <f t="shared" si="2"/>
        <v>#REF!</v>
      </c>
      <c r="M27" s="73">
        <f t="shared" si="3"/>
        <v>0</v>
      </c>
    </row>
    <row r="28" spans="1:15" s="3" customFormat="1" ht="12.75" x14ac:dyDescent="0.2">
      <c r="A28" s="55">
        <f t="shared" si="4"/>
        <v>19</v>
      </c>
      <c r="B28" s="132"/>
      <c r="C28" s="203"/>
      <c r="D28" s="204"/>
      <c r="E28" s="205"/>
      <c r="F28" s="53" t="s">
        <v>16</v>
      </c>
      <c r="G28" s="58">
        <v>0</v>
      </c>
      <c r="H28" s="156"/>
      <c r="I28" s="153">
        <f t="shared" si="1"/>
        <v>0</v>
      </c>
      <c r="J28" s="136" t="str">
        <f t="shared" si="0"/>
        <v/>
      </c>
      <c r="K28" s="59">
        <v>0</v>
      </c>
      <c r="L28" s="54" t="e">
        <f t="shared" si="2"/>
        <v>#REF!</v>
      </c>
      <c r="M28" s="73">
        <f t="shared" si="3"/>
        <v>0</v>
      </c>
    </row>
    <row r="29" spans="1:15" s="3" customFormat="1" ht="12.75" x14ac:dyDescent="0.2">
      <c r="A29" s="56">
        <f t="shared" si="4"/>
        <v>20</v>
      </c>
      <c r="B29" s="133"/>
      <c r="C29" s="209"/>
      <c r="D29" s="210"/>
      <c r="E29" s="211"/>
      <c r="F29" s="53" t="s">
        <v>16</v>
      </c>
      <c r="G29" s="58">
        <v>0</v>
      </c>
      <c r="H29" s="156"/>
      <c r="I29" s="167">
        <f t="shared" si="1"/>
        <v>0</v>
      </c>
      <c r="J29" s="137" t="str">
        <f t="shared" si="0"/>
        <v/>
      </c>
      <c r="K29" s="59">
        <v>0</v>
      </c>
      <c r="L29" s="54" t="e">
        <f t="shared" si="2"/>
        <v>#REF!</v>
      </c>
      <c r="M29" s="73">
        <f t="shared" si="3"/>
        <v>0</v>
      </c>
    </row>
    <row r="30" spans="1:15" s="38" customFormat="1" x14ac:dyDescent="0.2">
      <c r="A30" s="45" t="s">
        <v>15</v>
      </c>
      <c r="B30" s="46"/>
      <c r="C30" s="47"/>
      <c r="D30" s="47"/>
      <c r="E30" s="47"/>
      <c r="F30" s="46" t="s">
        <v>12</v>
      </c>
      <c r="G30" s="45" t="s">
        <v>12</v>
      </c>
      <c r="H30" s="45"/>
      <c r="I30" s="78"/>
      <c r="J30" s="51"/>
      <c r="K30" s="48">
        <f>SUM(K10:K29)</f>
        <v>0</v>
      </c>
      <c r="L30" s="49" t="e">
        <f>SUM(L10:L29)</f>
        <v>#REF!</v>
      </c>
      <c r="M30" s="50">
        <f>SUM(M10:M29)</f>
        <v>0</v>
      </c>
    </row>
    <row r="31" spans="1:15" s="3" customFormat="1" x14ac:dyDescent="0.2">
      <c r="A31" s="19"/>
      <c r="B31" s="19"/>
      <c r="C31" s="25"/>
      <c r="D31" s="25"/>
      <c r="E31" s="25"/>
      <c r="F31" s="19"/>
      <c r="G31" s="19"/>
      <c r="H31" s="19"/>
      <c r="I31" s="19"/>
      <c r="K31" s="19"/>
      <c r="L31" s="19"/>
    </row>
    <row r="32" spans="1:15" s="3" customFormat="1" x14ac:dyDescent="0.2">
      <c r="A32" s="60" t="s">
        <v>16</v>
      </c>
      <c r="B32" s="23" t="s">
        <v>12</v>
      </c>
      <c r="C32" s="23" t="s">
        <v>120</v>
      </c>
      <c r="D32" s="23"/>
      <c r="E32" s="23"/>
      <c r="F32" s="31"/>
      <c r="G32" s="31"/>
      <c r="H32" s="31"/>
      <c r="I32" s="31"/>
      <c r="K32" s="31"/>
      <c r="L32" s="31"/>
    </row>
    <row r="33" spans="1:12" s="3" customFormat="1" x14ac:dyDescent="0.2">
      <c r="A33" s="31"/>
      <c r="B33" s="31" t="s">
        <v>12</v>
      </c>
      <c r="C33" s="31" t="s">
        <v>124</v>
      </c>
      <c r="D33" s="31"/>
      <c r="E33" s="31"/>
      <c r="F33" s="31"/>
      <c r="G33" s="31"/>
      <c r="H33" s="31"/>
      <c r="I33" s="31"/>
      <c r="K33" s="31"/>
      <c r="L33" s="31"/>
    </row>
    <row r="34" spans="1:12" s="3" customFormat="1" x14ac:dyDescent="0.2">
      <c r="A34" s="61" t="s">
        <v>27</v>
      </c>
      <c r="B34" s="62"/>
      <c r="C34" s="31" t="s">
        <v>14</v>
      </c>
      <c r="D34" s="31"/>
      <c r="E34" s="31"/>
      <c r="F34" s="31"/>
      <c r="G34" s="31"/>
      <c r="H34" s="31"/>
      <c r="I34" s="31"/>
      <c r="K34" s="31"/>
      <c r="L34" s="31"/>
    </row>
    <row r="35" spans="1:12" s="3" customFormat="1" x14ac:dyDescent="0.2">
      <c r="A35" s="63"/>
      <c r="B35" s="63"/>
      <c r="C35" s="19"/>
      <c r="D35" s="19"/>
      <c r="E35" s="19"/>
      <c r="F35" s="19"/>
      <c r="G35" s="19"/>
      <c r="H35" s="19"/>
      <c r="I35" s="19"/>
      <c r="K35" s="19"/>
      <c r="L35" s="19"/>
    </row>
    <row r="36" spans="1:12" s="3" customFormat="1" hidden="1" x14ac:dyDescent="0.2">
      <c r="A36" s="61" t="s">
        <v>11</v>
      </c>
      <c r="B36" s="62"/>
      <c r="C36" s="31" t="s">
        <v>13</v>
      </c>
      <c r="D36" s="31"/>
      <c r="E36" s="31"/>
      <c r="F36" s="19"/>
      <c r="G36" s="19"/>
      <c r="H36" s="19"/>
      <c r="I36" s="19"/>
      <c r="K36" s="19"/>
      <c r="L36" s="19"/>
    </row>
  </sheetData>
  <mergeCells count="22">
    <mergeCell ref="C29:E29"/>
    <mergeCell ref="C8:E8"/>
    <mergeCell ref="C9:E9"/>
    <mergeCell ref="C19:E19"/>
    <mergeCell ref="C20:E20"/>
    <mergeCell ref="C21:E21"/>
    <mergeCell ref="C15:E15"/>
    <mergeCell ref="C16:E16"/>
    <mergeCell ref="C25:E25"/>
    <mergeCell ref="C26:E26"/>
    <mergeCell ref="C28:E28"/>
    <mergeCell ref="C17:E17"/>
    <mergeCell ref="C18:E18"/>
    <mergeCell ref="C22:E22"/>
    <mergeCell ref="C23:E23"/>
    <mergeCell ref="C24:E24"/>
    <mergeCell ref="C27:E27"/>
    <mergeCell ref="C10:E10"/>
    <mergeCell ref="C11:E11"/>
    <mergeCell ref="C12:E12"/>
    <mergeCell ref="C13:E13"/>
    <mergeCell ref="C14:E14"/>
  </mergeCells>
  <phoneticPr fontId="0" type="noConversion"/>
  <conditionalFormatting sqref="I10:I29">
    <cfRule type="cellIs" dxfId="5" priority="1" stopIfTrue="1" operator="between">
      <formula>0.0001</formula>
      <formula>$O$19</formula>
    </cfRule>
    <cfRule type="cellIs" dxfId="4" priority="2" stopIfTrue="1" operator="between">
      <formula>$O$19</formula>
      <formula>$O$20</formula>
    </cfRule>
    <cfRule type="cellIs" dxfId="3" priority="3" stopIfTrue="1" operator="greaterThanOrEqual">
      <formula>$O$20</formula>
    </cfRule>
  </conditionalFormatting>
  <dataValidations count="1">
    <dataValidation type="list" allowBlank="1" showInputMessage="1" showErrorMessage="1" sqref="H10:H29" xr:uid="{00000000-0002-0000-0200-000000000000}">
      <formula1>$O$10:$O$14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O36"/>
  <sheetViews>
    <sheetView topLeftCell="A8" zoomScale="150" zoomScaleNormal="150" workbookViewId="0">
      <selection activeCell="I10" sqref="I10"/>
    </sheetView>
  </sheetViews>
  <sheetFormatPr defaultColWidth="9.140625" defaultRowHeight="12" x14ac:dyDescent="0.2"/>
  <cols>
    <col min="1" max="1" width="7.85546875" style="19" customWidth="1"/>
    <col min="2" max="2" width="10.42578125" style="19" customWidth="1"/>
    <col min="3" max="3" width="25" style="25" customWidth="1"/>
    <col min="4" max="4" width="18.7109375" style="25" customWidth="1"/>
    <col min="5" max="5" width="23" style="25" customWidth="1"/>
    <col min="6" max="6" width="4.7109375" style="19" customWidth="1"/>
    <col min="7" max="7" width="8.28515625" style="19" customWidth="1"/>
    <col min="8" max="9" width="9.140625" style="1"/>
    <col min="10" max="10" width="8" customWidth="1"/>
    <col min="11" max="11" width="11.42578125" style="19" customWidth="1"/>
    <col min="12" max="12" width="13" style="19" hidden="1" customWidth="1"/>
    <col min="13" max="13" width="13.5703125" style="19" customWidth="1"/>
    <col min="14" max="14" width="9.140625" style="3" customWidth="1"/>
    <col min="15" max="15" width="11" style="3" hidden="1" customWidth="1"/>
    <col min="16" max="16384" width="9.140625" style="3"/>
  </cols>
  <sheetData>
    <row r="1" spans="1:15" ht="15" x14ac:dyDescent="0.2">
      <c r="A1" s="27" t="s">
        <v>36</v>
      </c>
      <c r="B1" s="17"/>
      <c r="C1" s="28"/>
      <c r="D1" s="28"/>
      <c r="E1" s="28"/>
      <c r="F1" s="17"/>
      <c r="G1" s="17"/>
      <c r="H1" s="17"/>
      <c r="I1" s="17"/>
      <c r="J1" s="22"/>
      <c r="K1" s="29"/>
      <c r="L1" s="15" t="s">
        <v>12</v>
      </c>
      <c r="M1" s="15"/>
    </row>
    <row r="2" spans="1:15" x14ac:dyDescent="0.2">
      <c r="A2" s="30" t="s">
        <v>0</v>
      </c>
      <c r="B2" s="15" t="str">
        <f>Dados!B5</f>
        <v>Projeto AULA</v>
      </c>
      <c r="C2" s="16"/>
      <c r="D2" s="16"/>
      <c r="E2" s="16"/>
      <c r="F2" s="66"/>
      <c r="G2" s="18" t="s">
        <v>12</v>
      </c>
      <c r="H2" s="18"/>
      <c r="I2" s="18"/>
      <c r="J2" s="22"/>
      <c r="K2" s="66"/>
      <c r="L2" s="17"/>
      <c r="M2" s="20"/>
    </row>
    <row r="3" spans="1:15" x14ac:dyDescent="0.2">
      <c r="A3" s="30" t="s">
        <v>18</v>
      </c>
      <c r="B3" s="15" t="str">
        <f>Dados!B6</f>
        <v>ALUNOS</v>
      </c>
      <c r="C3" s="16"/>
      <c r="D3" s="16"/>
      <c r="E3" s="16"/>
      <c r="F3" s="66"/>
      <c r="G3" s="66"/>
      <c r="H3" s="17"/>
      <c r="I3" s="17"/>
      <c r="J3" s="22"/>
      <c r="K3" s="66"/>
      <c r="L3" s="30"/>
      <c r="M3" s="21"/>
    </row>
    <row r="4" spans="1:15" x14ac:dyDescent="0.2">
      <c r="A4" s="30" t="s">
        <v>19</v>
      </c>
      <c r="B4" s="15" t="str">
        <f>Dados!B7</f>
        <v>MAURO</v>
      </c>
      <c r="C4" s="28"/>
      <c r="D4" s="28"/>
      <c r="E4" s="28"/>
      <c r="F4" s="66"/>
      <c r="G4" s="66"/>
      <c r="H4" s="17"/>
      <c r="I4" s="17"/>
      <c r="J4" s="22"/>
      <c r="K4" s="66"/>
      <c r="L4" s="30"/>
      <c r="M4" s="21"/>
    </row>
    <row r="5" spans="1:15" ht="11.25" customHeight="1" x14ac:dyDescent="0.2">
      <c r="A5" s="23"/>
      <c r="B5" s="67"/>
      <c r="C5" s="68"/>
      <c r="D5" s="68"/>
      <c r="E5" s="68"/>
      <c r="F5" s="63"/>
      <c r="G5" s="63"/>
      <c r="H5" s="19"/>
      <c r="I5" s="19"/>
      <c r="J5" s="3"/>
      <c r="K5" s="63"/>
      <c r="L5" s="23"/>
      <c r="M5" s="69"/>
    </row>
    <row r="6" spans="1:15" ht="0.75" hidden="1" customHeight="1" x14ac:dyDescent="0.2">
      <c r="G6" s="3"/>
      <c r="H6" s="19"/>
      <c r="I6" s="19"/>
      <c r="J6" s="65">
        <v>1</v>
      </c>
      <c r="K6" s="3"/>
      <c r="M6" s="85" t="s">
        <v>11</v>
      </c>
    </row>
    <row r="7" spans="1:15" x14ac:dyDescent="0.2">
      <c r="H7" s="19"/>
      <c r="I7" s="19"/>
      <c r="J7" s="3"/>
    </row>
    <row r="8" spans="1:15" s="38" customFormat="1" ht="12" customHeight="1" x14ac:dyDescent="0.2">
      <c r="A8" s="33" t="s">
        <v>1</v>
      </c>
      <c r="B8" s="34" t="s">
        <v>2</v>
      </c>
      <c r="C8" s="212" t="s">
        <v>72</v>
      </c>
      <c r="D8" s="213"/>
      <c r="E8" s="214"/>
      <c r="F8" s="34" t="s">
        <v>3</v>
      </c>
      <c r="G8" s="37" t="s">
        <v>7</v>
      </c>
      <c r="H8" s="36" t="s">
        <v>4</v>
      </c>
      <c r="I8" s="35"/>
      <c r="J8" s="34" t="s">
        <v>5</v>
      </c>
      <c r="K8" s="34" t="s">
        <v>4</v>
      </c>
      <c r="L8" s="34" t="s">
        <v>4</v>
      </c>
      <c r="M8" s="34" t="s">
        <v>35</v>
      </c>
    </row>
    <row r="9" spans="1:15" s="38" customFormat="1" x14ac:dyDescent="0.2">
      <c r="A9" s="39"/>
      <c r="B9" s="40"/>
      <c r="C9" s="215" t="s">
        <v>73</v>
      </c>
      <c r="D9" s="216"/>
      <c r="E9" s="217"/>
      <c r="F9" s="41"/>
      <c r="G9" s="77" t="s">
        <v>8</v>
      </c>
      <c r="H9" s="43" t="s">
        <v>69</v>
      </c>
      <c r="I9" s="154" t="s">
        <v>70</v>
      </c>
      <c r="J9" s="44" t="s">
        <v>6</v>
      </c>
      <c r="K9" s="41" t="s">
        <v>33</v>
      </c>
      <c r="L9" s="41" t="s">
        <v>24</v>
      </c>
      <c r="M9" s="41" t="s">
        <v>10</v>
      </c>
      <c r="O9" s="161" t="s">
        <v>98</v>
      </c>
    </row>
    <row r="10" spans="1:15" ht="39.75" customHeight="1" x14ac:dyDescent="0.2">
      <c r="A10" s="53">
        <v>1</v>
      </c>
      <c r="B10" s="131" t="s">
        <v>136</v>
      </c>
      <c r="C10" s="206" t="s">
        <v>135</v>
      </c>
      <c r="D10" s="207"/>
      <c r="E10" s="208"/>
      <c r="F10" s="70" t="s">
        <v>17</v>
      </c>
      <c r="G10" s="81">
        <v>0.3</v>
      </c>
      <c r="H10" s="155">
        <v>4</v>
      </c>
      <c r="I10" s="153">
        <f>G10*H10</f>
        <v>1.2</v>
      </c>
      <c r="J10" s="135">
        <f t="shared" ref="J10:J29" si="0">IF(I10&gt;0,RANK(I10,grau_oport,0),"")</f>
        <v>1</v>
      </c>
      <c r="K10" s="80">
        <v>0</v>
      </c>
      <c r="L10" s="54" t="e">
        <f>K10*SensibO</f>
        <v>#REF!</v>
      </c>
      <c r="M10" s="71">
        <f>-G10*K10</f>
        <v>0</v>
      </c>
      <c r="O10" s="152">
        <f>Escalas!B13</f>
        <v>0.5</v>
      </c>
    </row>
    <row r="11" spans="1:15" ht="12.75" x14ac:dyDescent="0.2">
      <c r="A11" s="53">
        <f>A10+1</f>
        <v>2</v>
      </c>
      <c r="B11" s="132"/>
      <c r="C11" s="203"/>
      <c r="D11" s="204"/>
      <c r="E11" s="205"/>
      <c r="F11" s="72" t="s">
        <v>17</v>
      </c>
      <c r="G11" s="81">
        <v>0</v>
      </c>
      <c r="H11" s="156"/>
      <c r="I11" s="153">
        <f t="shared" ref="I11:I29" si="1">G11*H11</f>
        <v>0</v>
      </c>
      <c r="J11" s="136" t="str">
        <f t="shared" si="0"/>
        <v/>
      </c>
      <c r="K11" s="82">
        <v>0</v>
      </c>
      <c r="L11" s="54" t="e">
        <f t="shared" ref="L11:L29" si="2">K11*SensibO</f>
        <v>#REF!</v>
      </c>
      <c r="M11" s="73">
        <f>-G11*K11</f>
        <v>0</v>
      </c>
      <c r="O11" s="152">
        <f>Escalas!B14</f>
        <v>1</v>
      </c>
    </row>
    <row r="12" spans="1:15" ht="12.75" x14ac:dyDescent="0.2">
      <c r="A12" s="53">
        <f t="shared" ref="A12:A29" si="3">A11+1</f>
        <v>3</v>
      </c>
      <c r="B12" s="132"/>
      <c r="C12" s="203"/>
      <c r="D12" s="204"/>
      <c r="E12" s="205"/>
      <c r="F12" s="72" t="s">
        <v>17</v>
      </c>
      <c r="G12" s="81">
        <v>0</v>
      </c>
      <c r="H12" s="156"/>
      <c r="I12" s="153">
        <f t="shared" si="1"/>
        <v>0</v>
      </c>
      <c r="J12" s="136" t="str">
        <f t="shared" si="0"/>
        <v/>
      </c>
      <c r="K12" s="82">
        <v>0</v>
      </c>
      <c r="L12" s="54" t="e">
        <f t="shared" si="2"/>
        <v>#REF!</v>
      </c>
      <c r="M12" s="73">
        <f t="shared" ref="M12:M29" si="4">-G12*K12</f>
        <v>0</v>
      </c>
      <c r="O12" s="152">
        <f>Escalas!B15</f>
        <v>2</v>
      </c>
    </row>
    <row r="13" spans="1:15" ht="12.75" x14ac:dyDescent="0.2">
      <c r="A13" s="53">
        <f t="shared" si="3"/>
        <v>4</v>
      </c>
      <c r="B13" s="132"/>
      <c r="C13" s="203"/>
      <c r="D13" s="204"/>
      <c r="E13" s="205"/>
      <c r="F13" s="72" t="s">
        <v>17</v>
      </c>
      <c r="G13" s="81">
        <v>0</v>
      </c>
      <c r="H13" s="156"/>
      <c r="I13" s="153">
        <f t="shared" si="1"/>
        <v>0</v>
      </c>
      <c r="J13" s="136" t="str">
        <f t="shared" si="0"/>
        <v/>
      </c>
      <c r="K13" s="82">
        <v>0</v>
      </c>
      <c r="L13" s="54" t="e">
        <f t="shared" si="2"/>
        <v>#REF!</v>
      </c>
      <c r="M13" s="73">
        <f t="shared" si="4"/>
        <v>0</v>
      </c>
      <c r="O13" s="152">
        <f>Escalas!B16</f>
        <v>4</v>
      </c>
    </row>
    <row r="14" spans="1:15" ht="12.75" x14ac:dyDescent="0.2">
      <c r="A14" s="53">
        <f t="shared" si="3"/>
        <v>5</v>
      </c>
      <c r="B14" s="132"/>
      <c r="C14" s="203"/>
      <c r="D14" s="204"/>
      <c r="E14" s="205"/>
      <c r="F14" s="72" t="s">
        <v>17</v>
      </c>
      <c r="G14" s="81">
        <v>0</v>
      </c>
      <c r="H14" s="156"/>
      <c r="I14" s="153">
        <f t="shared" si="1"/>
        <v>0</v>
      </c>
      <c r="J14" s="136" t="str">
        <f t="shared" si="0"/>
        <v/>
      </c>
      <c r="K14" s="82">
        <v>0</v>
      </c>
      <c r="L14" s="54" t="e">
        <f t="shared" si="2"/>
        <v>#REF!</v>
      </c>
      <c r="M14" s="73">
        <f t="shared" si="4"/>
        <v>0</v>
      </c>
      <c r="O14" s="152">
        <f>Escalas!B17</f>
        <v>8</v>
      </c>
    </row>
    <row r="15" spans="1:15" ht="12.75" x14ac:dyDescent="0.2">
      <c r="A15" s="53">
        <f t="shared" si="3"/>
        <v>6</v>
      </c>
      <c r="B15" s="132"/>
      <c r="C15" s="203"/>
      <c r="D15" s="204"/>
      <c r="E15" s="205"/>
      <c r="F15" s="72" t="s">
        <v>17</v>
      </c>
      <c r="G15" s="81">
        <v>0</v>
      </c>
      <c r="H15" s="156"/>
      <c r="I15" s="153">
        <f t="shared" si="1"/>
        <v>0</v>
      </c>
      <c r="J15" s="136" t="str">
        <f t="shared" si="0"/>
        <v/>
      </c>
      <c r="K15" s="82">
        <v>0</v>
      </c>
      <c r="L15" s="54" t="e">
        <f t="shared" si="2"/>
        <v>#REF!</v>
      </c>
      <c r="M15" s="73">
        <f t="shared" si="4"/>
        <v>0</v>
      </c>
    </row>
    <row r="16" spans="1:15" ht="12.75" x14ac:dyDescent="0.2">
      <c r="A16" s="53">
        <f t="shared" si="3"/>
        <v>7</v>
      </c>
      <c r="B16" s="132"/>
      <c r="C16" s="203"/>
      <c r="D16" s="204"/>
      <c r="E16" s="205"/>
      <c r="F16" s="72" t="s">
        <v>17</v>
      </c>
      <c r="G16" s="81">
        <v>0</v>
      </c>
      <c r="H16" s="156"/>
      <c r="I16" s="153">
        <f t="shared" si="1"/>
        <v>0</v>
      </c>
      <c r="J16" s="136" t="str">
        <f t="shared" si="0"/>
        <v/>
      </c>
      <c r="K16" s="82">
        <v>0</v>
      </c>
      <c r="L16" s="54" t="e">
        <f t="shared" si="2"/>
        <v>#REF!</v>
      </c>
      <c r="M16" s="73">
        <f t="shared" si="4"/>
        <v>0</v>
      </c>
    </row>
    <row r="17" spans="1:15" ht="12.75" x14ac:dyDescent="0.2">
      <c r="A17" s="53">
        <f t="shared" si="3"/>
        <v>8</v>
      </c>
      <c r="B17" s="132"/>
      <c r="C17" s="203"/>
      <c r="D17" s="204"/>
      <c r="E17" s="205"/>
      <c r="F17" s="72" t="s">
        <v>17</v>
      </c>
      <c r="G17" s="81">
        <v>0</v>
      </c>
      <c r="H17" s="156"/>
      <c r="I17" s="153">
        <f t="shared" si="1"/>
        <v>0</v>
      </c>
      <c r="J17" s="136" t="str">
        <f t="shared" si="0"/>
        <v/>
      </c>
      <c r="K17" s="82">
        <v>0</v>
      </c>
      <c r="L17" s="54" t="e">
        <f t="shared" si="2"/>
        <v>#REF!</v>
      </c>
      <c r="M17" s="73">
        <f t="shared" si="4"/>
        <v>0</v>
      </c>
      <c r="O17" s="162" t="s">
        <v>99</v>
      </c>
    </row>
    <row r="18" spans="1:15" ht="12.75" x14ac:dyDescent="0.2">
      <c r="A18" s="53">
        <f t="shared" si="3"/>
        <v>9</v>
      </c>
      <c r="B18" s="132"/>
      <c r="C18" s="203"/>
      <c r="D18" s="204"/>
      <c r="E18" s="205"/>
      <c r="F18" s="72" t="s">
        <v>17</v>
      </c>
      <c r="G18" s="81">
        <v>0</v>
      </c>
      <c r="H18" s="156"/>
      <c r="I18" s="153">
        <f t="shared" si="1"/>
        <v>0</v>
      </c>
      <c r="J18" s="136" t="str">
        <f t="shared" si="0"/>
        <v/>
      </c>
      <c r="K18" s="82">
        <v>0</v>
      </c>
      <c r="L18" s="54" t="e">
        <f t="shared" si="2"/>
        <v>#REF!</v>
      </c>
      <c r="M18" s="73">
        <f t="shared" si="4"/>
        <v>0</v>
      </c>
      <c r="O18" s="162" t="s">
        <v>100</v>
      </c>
    </row>
    <row r="19" spans="1:15" ht="12.75" x14ac:dyDescent="0.2">
      <c r="A19" s="53">
        <f t="shared" si="3"/>
        <v>10</v>
      </c>
      <c r="B19" s="132"/>
      <c r="C19" s="203"/>
      <c r="D19" s="204"/>
      <c r="E19" s="205"/>
      <c r="F19" s="72" t="s">
        <v>17</v>
      </c>
      <c r="G19" s="81">
        <v>0</v>
      </c>
      <c r="H19" s="156"/>
      <c r="I19" s="153">
        <f t="shared" si="1"/>
        <v>0</v>
      </c>
      <c r="J19" s="136" t="str">
        <f t="shared" si="0"/>
        <v/>
      </c>
      <c r="K19" s="82">
        <v>0</v>
      </c>
      <c r="L19" s="54" t="e">
        <f t="shared" si="2"/>
        <v>#REF!</v>
      </c>
      <c r="M19" s="73">
        <f t="shared" si="4"/>
        <v>0</v>
      </c>
      <c r="O19" s="152">
        <f>Escalas!B22+0.005</f>
        <v>0.45500000000000002</v>
      </c>
    </row>
    <row r="20" spans="1:15" ht="12.75" x14ac:dyDescent="0.2">
      <c r="A20" s="53">
        <f t="shared" si="3"/>
        <v>11</v>
      </c>
      <c r="B20" s="132"/>
      <c r="C20" s="203"/>
      <c r="D20" s="204"/>
      <c r="E20" s="205"/>
      <c r="F20" s="72" t="s">
        <v>17</v>
      </c>
      <c r="G20" s="81">
        <v>0</v>
      </c>
      <c r="H20" s="156"/>
      <c r="I20" s="153">
        <f t="shared" si="1"/>
        <v>0</v>
      </c>
      <c r="J20" s="136" t="str">
        <f t="shared" si="0"/>
        <v/>
      </c>
      <c r="K20" s="82">
        <v>0</v>
      </c>
      <c r="L20" s="54" t="e">
        <f t="shared" si="2"/>
        <v>#REF!</v>
      </c>
      <c r="M20" s="73">
        <f t="shared" si="4"/>
        <v>0</v>
      </c>
      <c r="O20" s="152">
        <f>Escalas!D22-0.005</f>
        <v>1.7950000000000002</v>
      </c>
    </row>
    <row r="21" spans="1:15" ht="12.75" x14ac:dyDescent="0.2">
      <c r="A21" s="53">
        <f t="shared" si="3"/>
        <v>12</v>
      </c>
      <c r="B21" s="132"/>
      <c r="C21" s="203"/>
      <c r="D21" s="204"/>
      <c r="E21" s="205"/>
      <c r="F21" s="72" t="s">
        <v>17</v>
      </c>
      <c r="G21" s="81">
        <v>0</v>
      </c>
      <c r="H21" s="156"/>
      <c r="I21" s="153">
        <f t="shared" si="1"/>
        <v>0</v>
      </c>
      <c r="J21" s="136" t="str">
        <f t="shared" si="0"/>
        <v/>
      </c>
      <c r="K21" s="82">
        <v>0</v>
      </c>
      <c r="L21" s="54" t="e">
        <f t="shared" si="2"/>
        <v>#REF!</v>
      </c>
      <c r="M21" s="73">
        <f t="shared" si="4"/>
        <v>0</v>
      </c>
    </row>
    <row r="22" spans="1:15" ht="12.75" x14ac:dyDescent="0.2">
      <c r="A22" s="53">
        <f t="shared" si="3"/>
        <v>13</v>
      </c>
      <c r="B22" s="132"/>
      <c r="C22" s="203"/>
      <c r="D22" s="204"/>
      <c r="E22" s="205"/>
      <c r="F22" s="72" t="s">
        <v>17</v>
      </c>
      <c r="G22" s="81">
        <v>0</v>
      </c>
      <c r="H22" s="156"/>
      <c r="I22" s="153">
        <f t="shared" si="1"/>
        <v>0</v>
      </c>
      <c r="J22" s="136" t="str">
        <f t="shared" si="0"/>
        <v/>
      </c>
      <c r="K22" s="82">
        <v>0</v>
      </c>
      <c r="L22" s="54" t="e">
        <f t="shared" si="2"/>
        <v>#REF!</v>
      </c>
      <c r="M22" s="73">
        <f t="shared" si="4"/>
        <v>0</v>
      </c>
    </row>
    <row r="23" spans="1:15" ht="12.75" x14ac:dyDescent="0.2">
      <c r="A23" s="53">
        <f t="shared" si="3"/>
        <v>14</v>
      </c>
      <c r="B23" s="132"/>
      <c r="C23" s="203"/>
      <c r="D23" s="204"/>
      <c r="E23" s="205"/>
      <c r="F23" s="72" t="s">
        <v>17</v>
      </c>
      <c r="G23" s="81">
        <v>0</v>
      </c>
      <c r="H23" s="156"/>
      <c r="I23" s="153">
        <f t="shared" si="1"/>
        <v>0</v>
      </c>
      <c r="J23" s="136" t="str">
        <f t="shared" si="0"/>
        <v/>
      </c>
      <c r="K23" s="82">
        <v>0</v>
      </c>
      <c r="L23" s="54" t="e">
        <f t="shared" si="2"/>
        <v>#REF!</v>
      </c>
      <c r="M23" s="73">
        <f t="shared" si="4"/>
        <v>0</v>
      </c>
    </row>
    <row r="24" spans="1:15" ht="12.75" x14ac:dyDescent="0.2">
      <c r="A24" s="53">
        <f t="shared" si="3"/>
        <v>15</v>
      </c>
      <c r="B24" s="132"/>
      <c r="C24" s="203"/>
      <c r="D24" s="204"/>
      <c r="E24" s="205"/>
      <c r="F24" s="72" t="s">
        <v>17</v>
      </c>
      <c r="G24" s="81">
        <v>0</v>
      </c>
      <c r="H24" s="156"/>
      <c r="I24" s="153">
        <f t="shared" si="1"/>
        <v>0</v>
      </c>
      <c r="J24" s="136" t="str">
        <f t="shared" si="0"/>
        <v/>
      </c>
      <c r="K24" s="82">
        <v>0</v>
      </c>
      <c r="L24" s="54" t="e">
        <f t="shared" si="2"/>
        <v>#REF!</v>
      </c>
      <c r="M24" s="73">
        <f t="shared" si="4"/>
        <v>0</v>
      </c>
    </row>
    <row r="25" spans="1:15" ht="12.75" x14ac:dyDescent="0.2">
      <c r="A25" s="53">
        <f t="shared" si="3"/>
        <v>16</v>
      </c>
      <c r="B25" s="132"/>
      <c r="C25" s="203"/>
      <c r="D25" s="204"/>
      <c r="E25" s="205"/>
      <c r="F25" s="72" t="s">
        <v>17</v>
      </c>
      <c r="G25" s="81">
        <v>0</v>
      </c>
      <c r="H25" s="156"/>
      <c r="I25" s="153">
        <f t="shared" si="1"/>
        <v>0</v>
      </c>
      <c r="J25" s="136" t="str">
        <f t="shared" si="0"/>
        <v/>
      </c>
      <c r="K25" s="82">
        <v>0</v>
      </c>
      <c r="L25" s="54" t="e">
        <f t="shared" si="2"/>
        <v>#REF!</v>
      </c>
      <c r="M25" s="73">
        <f t="shared" si="4"/>
        <v>0</v>
      </c>
    </row>
    <row r="26" spans="1:15" ht="12.75" x14ac:dyDescent="0.2">
      <c r="A26" s="53">
        <f t="shared" si="3"/>
        <v>17</v>
      </c>
      <c r="B26" s="132"/>
      <c r="C26" s="203"/>
      <c r="D26" s="204"/>
      <c r="E26" s="205"/>
      <c r="F26" s="72" t="s">
        <v>17</v>
      </c>
      <c r="G26" s="81">
        <v>0</v>
      </c>
      <c r="H26" s="156"/>
      <c r="I26" s="153">
        <f t="shared" si="1"/>
        <v>0</v>
      </c>
      <c r="J26" s="136" t="str">
        <f t="shared" si="0"/>
        <v/>
      </c>
      <c r="K26" s="82">
        <v>0</v>
      </c>
      <c r="L26" s="54" t="e">
        <f t="shared" si="2"/>
        <v>#REF!</v>
      </c>
      <c r="M26" s="73">
        <f t="shared" si="4"/>
        <v>0</v>
      </c>
    </row>
    <row r="27" spans="1:15" ht="12.75" x14ac:dyDescent="0.2">
      <c r="A27" s="53">
        <f t="shared" si="3"/>
        <v>18</v>
      </c>
      <c r="B27" s="132"/>
      <c r="C27" s="203"/>
      <c r="D27" s="204"/>
      <c r="E27" s="205"/>
      <c r="F27" s="72" t="s">
        <v>17</v>
      </c>
      <c r="G27" s="81">
        <v>0</v>
      </c>
      <c r="H27" s="156"/>
      <c r="I27" s="153">
        <f t="shared" si="1"/>
        <v>0</v>
      </c>
      <c r="J27" s="136" t="str">
        <f t="shared" si="0"/>
        <v/>
      </c>
      <c r="K27" s="82">
        <v>0</v>
      </c>
      <c r="L27" s="54" t="e">
        <f t="shared" si="2"/>
        <v>#REF!</v>
      </c>
      <c r="M27" s="73">
        <f t="shared" si="4"/>
        <v>0</v>
      </c>
    </row>
    <row r="28" spans="1:15" ht="12.75" x14ac:dyDescent="0.2">
      <c r="A28" s="53">
        <f t="shared" si="3"/>
        <v>19</v>
      </c>
      <c r="B28" s="132"/>
      <c r="C28" s="203"/>
      <c r="D28" s="204"/>
      <c r="E28" s="205"/>
      <c r="F28" s="72" t="s">
        <v>17</v>
      </c>
      <c r="G28" s="81">
        <v>0</v>
      </c>
      <c r="H28" s="156"/>
      <c r="I28" s="153">
        <f t="shared" si="1"/>
        <v>0</v>
      </c>
      <c r="J28" s="136" t="str">
        <f t="shared" si="0"/>
        <v/>
      </c>
      <c r="K28" s="82">
        <v>0</v>
      </c>
      <c r="L28" s="54" t="e">
        <f t="shared" si="2"/>
        <v>#REF!</v>
      </c>
      <c r="M28" s="73">
        <f t="shared" si="4"/>
        <v>0</v>
      </c>
    </row>
    <row r="29" spans="1:15" ht="12.75" x14ac:dyDescent="0.2">
      <c r="A29" s="53">
        <f t="shared" si="3"/>
        <v>20</v>
      </c>
      <c r="B29" s="133"/>
      <c r="C29" s="209"/>
      <c r="D29" s="210"/>
      <c r="E29" s="211"/>
      <c r="F29" s="74" t="s">
        <v>17</v>
      </c>
      <c r="G29" s="83">
        <v>0</v>
      </c>
      <c r="H29" s="156"/>
      <c r="I29" s="167">
        <f t="shared" si="1"/>
        <v>0</v>
      </c>
      <c r="J29" s="137" t="str">
        <f t="shared" si="0"/>
        <v/>
      </c>
      <c r="K29" s="84">
        <v>0</v>
      </c>
      <c r="L29" s="54" t="e">
        <f t="shared" si="2"/>
        <v>#REF!</v>
      </c>
      <c r="M29" s="73">
        <f t="shared" si="4"/>
        <v>0</v>
      </c>
    </row>
    <row r="30" spans="1:15" s="38" customFormat="1" x14ac:dyDescent="0.2">
      <c r="A30" s="45" t="s">
        <v>15</v>
      </c>
      <c r="B30" s="46"/>
      <c r="C30" s="47"/>
      <c r="D30" s="47"/>
      <c r="E30" s="47"/>
      <c r="F30" s="46" t="s">
        <v>12</v>
      </c>
      <c r="G30" s="78" t="s">
        <v>12</v>
      </c>
      <c r="H30" s="45"/>
      <c r="I30" s="78"/>
      <c r="J30" s="51"/>
      <c r="K30" s="79">
        <f>SUM(K10:K29)</f>
        <v>0</v>
      </c>
      <c r="L30" s="49" t="e">
        <f>SUM(L10:L29)</f>
        <v>#REF!</v>
      </c>
      <c r="M30" s="50">
        <f>SUM(M10:M29)</f>
        <v>0</v>
      </c>
    </row>
    <row r="31" spans="1:15" x14ac:dyDescent="0.2">
      <c r="A31" s="63"/>
      <c r="B31" s="63"/>
      <c r="H31" s="19"/>
      <c r="I31" s="19"/>
      <c r="J31" s="3"/>
    </row>
    <row r="32" spans="1:15" x14ac:dyDescent="0.2">
      <c r="A32" s="60" t="s">
        <v>17</v>
      </c>
      <c r="B32" s="23" t="s">
        <v>12</v>
      </c>
      <c r="C32" s="23" t="s">
        <v>121</v>
      </c>
      <c r="D32" s="23"/>
      <c r="E32" s="23"/>
      <c r="F32" s="31"/>
      <c r="G32" s="31"/>
      <c r="H32" s="31"/>
      <c r="I32" s="31"/>
      <c r="J32" s="3"/>
      <c r="K32" s="31"/>
      <c r="L32" s="31"/>
      <c r="M32" s="31"/>
    </row>
    <row r="33" spans="1:13" x14ac:dyDescent="0.2">
      <c r="A33" s="31"/>
      <c r="B33" s="31" t="s">
        <v>12</v>
      </c>
      <c r="C33" s="31" t="s">
        <v>122</v>
      </c>
      <c r="D33" s="31"/>
      <c r="E33" s="31"/>
      <c r="F33" s="31"/>
      <c r="G33" s="31"/>
      <c r="H33" s="31"/>
      <c r="I33" s="31"/>
      <c r="J33" s="3"/>
      <c r="K33" s="31"/>
      <c r="L33" s="31"/>
      <c r="M33" s="31"/>
    </row>
    <row r="34" spans="1:13" x14ac:dyDescent="0.2">
      <c r="A34" s="61" t="s">
        <v>27</v>
      </c>
      <c r="B34" s="62"/>
      <c r="C34" s="31" t="s">
        <v>14</v>
      </c>
      <c r="D34" s="31"/>
      <c r="E34" s="31"/>
      <c r="F34" s="31"/>
      <c r="G34" s="31"/>
      <c r="H34" s="31"/>
      <c r="I34" s="31"/>
      <c r="J34" s="3"/>
      <c r="K34" s="31"/>
      <c r="L34" s="31"/>
      <c r="M34" s="31"/>
    </row>
    <row r="35" spans="1:13" x14ac:dyDescent="0.2">
      <c r="A35" s="63"/>
      <c r="B35" s="63"/>
      <c r="C35" s="19"/>
      <c r="D35" s="19"/>
      <c r="E35" s="19"/>
      <c r="H35" s="19"/>
      <c r="I35" s="19"/>
      <c r="J35" s="3"/>
    </row>
    <row r="36" spans="1:13" hidden="1" x14ac:dyDescent="0.2">
      <c r="A36" s="61" t="s">
        <v>11</v>
      </c>
      <c r="B36" s="62"/>
      <c r="C36" s="31" t="s">
        <v>20</v>
      </c>
      <c r="D36" s="31"/>
      <c r="E36" s="31"/>
      <c r="H36" s="19"/>
      <c r="I36" s="19"/>
      <c r="J36" s="3"/>
    </row>
  </sheetData>
  <mergeCells count="22">
    <mergeCell ref="C27:E27"/>
    <mergeCell ref="C28:E28"/>
    <mergeCell ref="C14:E14"/>
    <mergeCell ref="C26:E26"/>
    <mergeCell ref="C15:E15"/>
    <mergeCell ref="C16:E16"/>
    <mergeCell ref="C29:E29"/>
    <mergeCell ref="C8:E8"/>
    <mergeCell ref="C9:E9"/>
    <mergeCell ref="C21:E21"/>
    <mergeCell ref="C22:E22"/>
    <mergeCell ref="C23:E23"/>
    <mergeCell ref="C19:E19"/>
    <mergeCell ref="C20:E20"/>
    <mergeCell ref="C12:E12"/>
    <mergeCell ref="C13:E13"/>
    <mergeCell ref="C10:E10"/>
    <mergeCell ref="C11:E11"/>
    <mergeCell ref="C24:E24"/>
    <mergeCell ref="C25:E25"/>
    <mergeCell ref="C17:E17"/>
    <mergeCell ref="C18:E18"/>
  </mergeCells>
  <phoneticPr fontId="0" type="noConversion"/>
  <conditionalFormatting sqref="I10:I29">
    <cfRule type="cellIs" dxfId="2" priority="1" stopIfTrue="1" operator="between">
      <formula>0.0001</formula>
      <formula>$O$19</formula>
    </cfRule>
    <cfRule type="cellIs" dxfId="1" priority="2" stopIfTrue="1" operator="between">
      <formula>$O$19</formula>
      <formula>$O$20</formula>
    </cfRule>
    <cfRule type="cellIs" dxfId="0" priority="3" stopIfTrue="1" operator="greaterThan">
      <formula>$O$21</formula>
    </cfRule>
  </conditionalFormatting>
  <dataValidations count="1">
    <dataValidation type="list" allowBlank="1" showInputMessage="1" showErrorMessage="1" sqref="H10:H29" xr:uid="{00000000-0002-0000-0300-000000000000}">
      <formula1>$O$10:$O$14</formula1>
    </dataValidation>
  </dataValidations>
  <pageMargins left="0.78740157499999996" right="0.78740157499999996" top="0.984251969" bottom="0.984251969" header="0.49212598499999999" footer="0.49212598499999999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E17"/>
  <sheetViews>
    <sheetView workbookViewId="0">
      <selection activeCell="B13" sqref="B13"/>
    </sheetView>
  </sheetViews>
  <sheetFormatPr defaultColWidth="9.140625" defaultRowHeight="12" x14ac:dyDescent="0.2"/>
  <cols>
    <col min="1" max="1" width="41.5703125" style="19" bestFit="1" customWidth="1"/>
    <col min="2" max="2" width="15.7109375" style="19" customWidth="1"/>
    <col min="3" max="3" width="30.42578125" style="19" customWidth="1"/>
    <col min="4" max="4" width="14.140625" style="19" customWidth="1"/>
    <col min="5" max="5" width="6" style="19" customWidth="1"/>
    <col min="6" max="16384" width="9.140625" style="3"/>
  </cols>
  <sheetData>
    <row r="1" spans="1:5" ht="15" x14ac:dyDescent="0.2">
      <c r="A1" s="27" t="s">
        <v>40</v>
      </c>
      <c r="B1" s="17"/>
      <c r="C1" s="17"/>
      <c r="D1" s="15"/>
    </row>
    <row r="2" spans="1:5" x14ac:dyDescent="0.2">
      <c r="A2" s="18" t="s">
        <v>0</v>
      </c>
      <c r="B2" s="15" t="str">
        <f>Dados!B5</f>
        <v>Projeto AULA</v>
      </c>
      <c r="C2" s="17"/>
      <c r="D2" s="110"/>
    </row>
    <row r="3" spans="1:5" x14ac:dyDescent="0.2">
      <c r="A3" s="18" t="s">
        <v>18</v>
      </c>
      <c r="B3" s="15" t="str">
        <f>Dados!B6</f>
        <v>ALUNOS</v>
      </c>
      <c r="C3" s="66"/>
      <c r="D3" s="30"/>
      <c r="E3" s="69"/>
    </row>
    <row r="4" spans="1:5" x14ac:dyDescent="0.2">
      <c r="A4" s="18" t="s">
        <v>19</v>
      </c>
      <c r="B4" s="15" t="str">
        <f>Dados!B7</f>
        <v>MAURO</v>
      </c>
      <c r="C4" s="17"/>
      <c r="D4" s="17"/>
      <c r="E4" s="87"/>
    </row>
    <row r="5" spans="1:5" x14ac:dyDescent="0.2">
      <c r="A5" s="23"/>
      <c r="B5" s="67"/>
      <c r="C5" s="88"/>
      <c r="D5" s="89"/>
      <c r="E5" s="87"/>
    </row>
    <row r="6" spans="1:5" hidden="1" x14ac:dyDescent="0.2">
      <c r="A6" s="23"/>
      <c r="B6" s="67"/>
      <c r="C6" s="90" t="s">
        <v>21</v>
      </c>
      <c r="D6" s="111" t="e">
        <f>Sensib</f>
        <v>#REF!</v>
      </c>
      <c r="E6" s="87"/>
    </row>
    <row r="7" spans="1:5" hidden="1" x14ac:dyDescent="0.2">
      <c r="C7" s="86" t="s">
        <v>22</v>
      </c>
      <c r="D7" s="112" t="e">
        <f>SensibO</f>
        <v>#REF!</v>
      </c>
    </row>
    <row r="8" spans="1:5" x14ac:dyDescent="0.2">
      <c r="C8" s="88"/>
      <c r="D8" s="91"/>
    </row>
    <row r="9" spans="1:5" s="93" customFormat="1" ht="15" x14ac:dyDescent="0.2">
      <c r="A9" s="180" t="str">
        <f>Dados!$B$10</f>
        <v>Análise de Custos</v>
      </c>
      <c r="B9" s="170"/>
      <c r="C9" s="171" t="s">
        <v>23</v>
      </c>
      <c r="D9" s="170"/>
      <c r="E9" s="67"/>
    </row>
    <row r="10" spans="1:5" s="4" customFormat="1" ht="14.25" x14ac:dyDescent="0.2">
      <c r="A10" s="94" t="s">
        <v>115</v>
      </c>
      <c r="B10" s="113">
        <f>Dados!B9</f>
        <v>20000</v>
      </c>
      <c r="C10" s="95" t="s">
        <v>114</v>
      </c>
      <c r="D10" s="96"/>
      <c r="E10" s="97"/>
    </row>
    <row r="11" spans="1:5" s="4" customFormat="1" ht="14.25" x14ac:dyDescent="0.2">
      <c r="A11" s="98" t="s">
        <v>117</v>
      </c>
      <c r="B11" s="114">
        <f>Ameaças!M30*Dados!$D$10</f>
        <v>0</v>
      </c>
      <c r="C11" s="99" t="s">
        <v>70</v>
      </c>
      <c r="D11" s="100"/>
      <c r="E11" s="97"/>
    </row>
    <row r="12" spans="1:5" s="4" customFormat="1" ht="14.25" x14ac:dyDescent="0.2">
      <c r="A12" s="101" t="s">
        <v>116</v>
      </c>
      <c r="B12" s="115">
        <f>Oportunidades!M30*Dados!$D$10</f>
        <v>0</v>
      </c>
      <c r="C12" s="102" t="s">
        <v>70</v>
      </c>
      <c r="D12" s="103"/>
      <c r="E12" s="97"/>
    </row>
    <row r="13" spans="1:5" ht="15" x14ac:dyDescent="0.2">
      <c r="A13" s="92" t="s">
        <v>118</v>
      </c>
      <c r="B13" s="116">
        <f>SUM(B10:B12)</f>
        <v>20000</v>
      </c>
      <c r="C13" s="104"/>
      <c r="D13" s="105"/>
    </row>
    <row r="14" spans="1:5" ht="15" x14ac:dyDescent="0.2">
      <c r="A14" s="92" t="s">
        <v>125</v>
      </c>
      <c r="B14" s="181">
        <f>B10+D14</f>
        <v>20000</v>
      </c>
      <c r="C14" s="104" t="s">
        <v>127</v>
      </c>
      <c r="D14" s="134">
        <f>-Oportunidades!K30*Dados!$D$10</f>
        <v>0</v>
      </c>
    </row>
    <row r="15" spans="1:5" ht="15" x14ac:dyDescent="0.2">
      <c r="A15" s="92" t="s">
        <v>126</v>
      </c>
      <c r="B15" s="181">
        <f>B10+D15</f>
        <v>20000</v>
      </c>
      <c r="C15" s="104" t="s">
        <v>128</v>
      </c>
      <c r="D15" s="134">
        <f>Ameaças!K30*Dados!$D$10</f>
        <v>0</v>
      </c>
    </row>
    <row r="16" spans="1:5" ht="15" x14ac:dyDescent="0.2">
      <c r="A16" s="15"/>
      <c r="B16" s="106"/>
      <c r="C16" s="27"/>
      <c r="D16" s="107"/>
    </row>
    <row r="17" spans="2:4" ht="14.25" x14ac:dyDescent="0.2">
      <c r="B17" s="108"/>
      <c r="C17" s="97"/>
      <c r="D17" s="109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/>
  <dimension ref="A1:M28"/>
  <sheetViews>
    <sheetView zoomScale="110" zoomScaleNormal="110" workbookViewId="0">
      <selection activeCell="G7" sqref="G7"/>
    </sheetView>
  </sheetViews>
  <sheetFormatPr defaultColWidth="9.140625" defaultRowHeight="12" x14ac:dyDescent="0.2"/>
  <cols>
    <col min="1" max="1" width="2.85546875" style="19" customWidth="1"/>
    <col min="2" max="2" width="0.140625" style="19" hidden="1" customWidth="1"/>
    <col min="3" max="3" width="6.42578125" style="19" customWidth="1"/>
    <col min="4" max="4" width="10.5703125" style="19" customWidth="1"/>
    <col min="5" max="5" width="30.85546875" style="25" customWidth="1"/>
    <col min="6" max="6" width="13.42578125" style="25" customWidth="1"/>
    <col min="7" max="7" width="30" style="19" customWidth="1"/>
    <col min="8" max="8" width="13.28515625" style="3" customWidth="1"/>
    <col min="9" max="9" width="11.42578125" style="123" customWidth="1"/>
    <col min="10" max="10" width="12.85546875" style="124" customWidth="1"/>
    <col min="11" max="11" width="23.85546875" style="3" customWidth="1"/>
    <col min="12" max="12" width="9.140625" style="3"/>
    <col min="13" max="13" width="9.140625" style="3" hidden="1" customWidth="1"/>
    <col min="14" max="16384" width="9.140625" style="3"/>
  </cols>
  <sheetData>
    <row r="1" spans="1:13" ht="15" x14ac:dyDescent="0.2">
      <c r="A1" s="27" t="s">
        <v>38</v>
      </c>
      <c r="B1" s="27"/>
      <c r="C1" s="27"/>
      <c r="D1" s="17"/>
      <c r="E1" s="28"/>
      <c r="F1" s="166"/>
      <c r="G1" s="15"/>
      <c r="H1" s="29"/>
      <c r="I1" s="120" t="s">
        <v>12</v>
      </c>
      <c r="J1" s="29" t="s">
        <v>12</v>
      </c>
      <c r="K1" s="29" t="s">
        <v>12</v>
      </c>
    </row>
    <row r="2" spans="1:13" x14ac:dyDescent="0.2">
      <c r="A2" s="30" t="s">
        <v>0</v>
      </c>
      <c r="B2" s="30"/>
      <c r="C2" s="30"/>
      <c r="D2" s="15" t="str">
        <f>Dados!B5</f>
        <v>Projeto AULA</v>
      </c>
      <c r="E2" s="16"/>
      <c r="F2" s="165"/>
      <c r="G2" s="20"/>
      <c r="H2" s="22"/>
      <c r="I2" s="121"/>
      <c r="J2" s="122"/>
      <c r="K2" s="22"/>
    </row>
    <row r="3" spans="1:13" x14ac:dyDescent="0.2">
      <c r="A3" s="30" t="s">
        <v>18</v>
      </c>
      <c r="B3" s="30"/>
      <c r="C3" s="30"/>
      <c r="D3" s="15" t="str">
        <f>Dados!B6</f>
        <v>ALUNOS</v>
      </c>
      <c r="E3" s="16"/>
      <c r="F3" s="16"/>
      <c r="G3" s="30"/>
      <c r="H3" s="30"/>
      <c r="I3" s="117"/>
      <c r="J3" s="18"/>
      <c r="K3" s="30"/>
    </row>
    <row r="4" spans="1:13" x14ac:dyDescent="0.2">
      <c r="A4" s="30" t="s">
        <v>19</v>
      </c>
      <c r="B4" s="30"/>
      <c r="C4" s="30"/>
      <c r="D4" s="15" t="str">
        <f>Dados!B7</f>
        <v>MAURO</v>
      </c>
      <c r="E4" s="16"/>
      <c r="F4" s="16"/>
      <c r="G4" s="117"/>
      <c r="H4" s="117"/>
      <c r="I4" s="117"/>
      <c r="J4" s="18"/>
      <c r="K4" s="117"/>
    </row>
    <row r="5" spans="1:13" x14ac:dyDescent="0.2">
      <c r="D5" s="63"/>
      <c r="E5" s="68"/>
      <c r="F5" s="68"/>
      <c r="G5" s="63"/>
      <c r="I5" s="218" t="s">
        <v>110</v>
      </c>
      <c r="J5" s="219"/>
      <c r="K5" s="220"/>
    </row>
    <row r="6" spans="1:13" s="172" customFormat="1" ht="24" customHeight="1" x14ac:dyDescent="0.2">
      <c r="A6" s="173" t="s">
        <v>106</v>
      </c>
      <c r="B6" s="173" t="s">
        <v>107</v>
      </c>
      <c r="C6" s="174" t="s">
        <v>101</v>
      </c>
      <c r="D6" s="175" t="s">
        <v>2</v>
      </c>
      <c r="E6" s="176" t="s">
        <v>105</v>
      </c>
      <c r="F6" s="174" t="s">
        <v>103</v>
      </c>
      <c r="G6" s="174" t="s">
        <v>111</v>
      </c>
      <c r="H6" s="174" t="s">
        <v>25</v>
      </c>
      <c r="I6" s="182" t="s">
        <v>104</v>
      </c>
      <c r="J6" s="183" t="s">
        <v>102</v>
      </c>
      <c r="K6" s="183" t="s">
        <v>31</v>
      </c>
    </row>
    <row r="7" spans="1:13" ht="84" x14ac:dyDescent="0.2">
      <c r="A7" s="55">
        <f>Ameaças!A11</f>
        <v>2</v>
      </c>
      <c r="B7" s="164">
        <f>Ameaças!I11</f>
        <v>0.8</v>
      </c>
      <c r="C7" s="55">
        <f>Ameaças!J11</f>
        <v>1</v>
      </c>
      <c r="D7" s="19" t="str">
        <f>IF((Ameaças!B11)&gt;0,Ameaças!B11,"")</f>
        <v>SAÚDE</v>
      </c>
      <c r="E7" s="163" t="str">
        <f>IF((Ameaças!C11)&gt;0,Ameaças!C11,"")</f>
        <v>SE OCORRER UMA EPIDEMIA, PODE HAVER OCORRÊNCIA DE CORONAVÍRUS ENTRE OS ALUNOS, LEVANDO A ATRASO DE 2 SEMANAS NO CURSO E AUMENTO NOS CUSTOS DEVIDO À REEMBOLSOS E DESPESAS</v>
      </c>
      <c r="F7" s="125" t="str">
        <f>IF((Ameaças!M11)&gt;0,Ameaças!M11,"")</f>
        <v/>
      </c>
      <c r="G7" s="141"/>
      <c r="H7" s="138"/>
      <c r="I7" s="139"/>
      <c r="J7" s="140"/>
      <c r="K7" s="138"/>
    </row>
    <row r="8" spans="1:13" ht="60" x14ac:dyDescent="0.2">
      <c r="A8" s="55">
        <f>Ameaças!A10</f>
        <v>1</v>
      </c>
      <c r="B8" s="164">
        <f>Ameaças!I10</f>
        <v>0.2</v>
      </c>
      <c r="C8" s="55">
        <f>Ameaças!J10</f>
        <v>2</v>
      </c>
      <c r="D8" s="19" t="str">
        <f>IF((Ameaças!B10)&gt;0,Ameaças!B10,"")</f>
        <v>TÉCNICO</v>
      </c>
      <c r="E8" s="163" t="str">
        <f>IF((Ameaças!C10)&gt;0,Ameaças!C10,"")</f>
        <v>DEFEITO NO COMPUTADOR, DEVIDO FALTA DE MANUTENÇÃO, LEVANDO A CANCELAMENTO DA AULA (ATRASO DE x% E PREJUÍZO DE R$...)</v>
      </c>
      <c r="F8" s="125" t="str">
        <f>IF((Ameaças!M10)&gt;0,Ameaças!M10,"")</f>
        <v/>
      </c>
      <c r="G8" s="141"/>
      <c r="H8" s="138"/>
      <c r="I8" s="139"/>
      <c r="J8" s="140"/>
      <c r="K8" s="138"/>
    </row>
    <row r="9" spans="1:13" x14ac:dyDescent="0.2">
      <c r="A9" s="55">
        <f>Ameaças!A12</f>
        <v>3</v>
      </c>
      <c r="B9" s="164">
        <f>Ameaças!I12</f>
        <v>0</v>
      </c>
      <c r="C9" s="55" t="str">
        <f>Ameaças!J12</f>
        <v/>
      </c>
      <c r="D9" s="19" t="str">
        <f>IF((Ameaças!B12)&gt;0,Ameaças!B12,"")</f>
        <v/>
      </c>
      <c r="E9" s="163" t="str">
        <f>IF((Ameaças!C12)&gt;0,Ameaças!C12,"")</f>
        <v/>
      </c>
      <c r="F9" s="125" t="str">
        <f>IF((Ameaças!M12)&gt;0,Ameaças!M12,"")</f>
        <v/>
      </c>
      <c r="G9" s="141"/>
      <c r="H9" s="138"/>
      <c r="I9" s="139"/>
      <c r="J9" s="140"/>
      <c r="K9" s="138"/>
    </row>
    <row r="10" spans="1:13" x14ac:dyDescent="0.2">
      <c r="A10" s="55">
        <f>Ameaças!A13</f>
        <v>4</v>
      </c>
      <c r="B10" s="164">
        <f>Ameaças!I13</f>
        <v>0</v>
      </c>
      <c r="C10" s="55" t="str">
        <f>Ameaças!J13</f>
        <v/>
      </c>
      <c r="D10" s="19" t="str">
        <f>IF((Ameaças!B13)&gt;0,Ameaças!B13,"")</f>
        <v/>
      </c>
      <c r="E10" s="163" t="str">
        <f>IF((Ameaças!C13)&gt;0,Ameaças!C13,"")</f>
        <v/>
      </c>
      <c r="F10" s="125" t="str">
        <f>IF((Ameaças!M13)&gt;0,Ameaças!M13,"")</f>
        <v/>
      </c>
      <c r="G10" s="141" t="s">
        <v>12</v>
      </c>
      <c r="H10" s="138"/>
      <c r="I10" s="139"/>
      <c r="J10" s="140"/>
      <c r="K10" s="138"/>
    </row>
    <row r="11" spans="1:13" x14ac:dyDescent="0.2">
      <c r="A11" s="55">
        <f>Ameaças!A14</f>
        <v>5</v>
      </c>
      <c r="B11" s="164">
        <f>Ameaças!I14</f>
        <v>0</v>
      </c>
      <c r="C11" s="55" t="str">
        <f>Ameaças!J14</f>
        <v/>
      </c>
      <c r="D11" s="19" t="str">
        <f>IF((Ameaças!B14)&gt;0,Ameaças!B14,"")</f>
        <v/>
      </c>
      <c r="E11" s="163" t="str">
        <f>IF((Ameaças!C14)&gt;0,Ameaças!C14,"")</f>
        <v/>
      </c>
      <c r="F11" s="125" t="str">
        <f>IF((Ameaças!M14)&gt;0,Ameaças!M14,"")</f>
        <v/>
      </c>
      <c r="G11" s="141"/>
      <c r="H11" s="138"/>
      <c r="I11" s="139"/>
      <c r="J11" s="140"/>
      <c r="K11" s="138"/>
    </row>
    <row r="12" spans="1:13" x14ac:dyDescent="0.2">
      <c r="A12" s="55">
        <f>Ameaças!A15</f>
        <v>6</v>
      </c>
      <c r="B12" s="164">
        <f>Ameaças!I15</f>
        <v>0</v>
      </c>
      <c r="C12" s="55" t="str">
        <f>Ameaças!J15</f>
        <v/>
      </c>
      <c r="D12" s="19" t="str">
        <f>IF((Ameaças!B15)&gt;0,Ameaças!B15,"")</f>
        <v/>
      </c>
      <c r="E12" s="163" t="str">
        <f>IF((Ameaças!C15)&gt;0,Ameaças!C15,"")</f>
        <v/>
      </c>
      <c r="F12" s="125" t="str">
        <f>IF((Ameaças!M15)&gt;0,Ameaças!M15,"")</f>
        <v/>
      </c>
      <c r="G12" s="141"/>
      <c r="H12" s="138"/>
      <c r="I12" s="139"/>
      <c r="J12" s="140"/>
      <c r="K12" s="138"/>
      <c r="M12" s="162" t="s">
        <v>99</v>
      </c>
    </row>
    <row r="13" spans="1:13" x14ac:dyDescent="0.2">
      <c r="A13" s="55">
        <f>Ameaças!A16</f>
        <v>7</v>
      </c>
      <c r="B13" s="164">
        <f>Ameaças!I16</f>
        <v>0</v>
      </c>
      <c r="C13" s="55" t="str">
        <f>Ameaças!J16</f>
        <v/>
      </c>
      <c r="D13" s="19" t="str">
        <f>IF((Ameaças!B16)&gt;0,Ameaças!B16,"")</f>
        <v/>
      </c>
      <c r="E13" s="163" t="str">
        <f>IF((Ameaças!C16)&gt;0,Ameaças!C16,"")</f>
        <v/>
      </c>
      <c r="F13" s="125" t="str">
        <f>IF((Ameaças!M16)&gt;0,Ameaças!M16,"")</f>
        <v/>
      </c>
      <c r="G13" s="141"/>
      <c r="H13" s="138"/>
      <c r="I13" s="139"/>
      <c r="J13" s="140"/>
      <c r="K13" s="138"/>
      <c r="M13" s="162" t="s">
        <v>100</v>
      </c>
    </row>
    <row r="14" spans="1:13" x14ac:dyDescent="0.2">
      <c r="A14" s="55">
        <f>Ameaças!A17</f>
        <v>8</v>
      </c>
      <c r="B14" s="164">
        <f>Ameaças!I17</f>
        <v>0</v>
      </c>
      <c r="C14" s="55" t="str">
        <f>Ameaças!J17</f>
        <v/>
      </c>
      <c r="D14" s="19" t="str">
        <f>IF((Ameaças!B17)&gt;0,Ameaças!B17,"")</f>
        <v/>
      </c>
      <c r="E14" s="163" t="str">
        <f>IF((Ameaças!C17)&gt;0,Ameaças!C17,"")</f>
        <v/>
      </c>
      <c r="F14" s="125" t="str">
        <f>IF((Ameaças!M17)&gt;0,Ameaças!M17,"")</f>
        <v/>
      </c>
      <c r="G14" s="141"/>
      <c r="H14" s="138"/>
      <c r="I14" s="139"/>
      <c r="J14" s="140"/>
      <c r="K14" s="138"/>
      <c r="M14" s="152">
        <f>Escalas!B22+0.005</f>
        <v>0.45500000000000002</v>
      </c>
    </row>
    <row r="15" spans="1:13" x14ac:dyDescent="0.2">
      <c r="A15" s="55">
        <f>Ameaças!A18</f>
        <v>9</v>
      </c>
      <c r="B15" s="164">
        <f>Ameaças!I18</f>
        <v>0</v>
      </c>
      <c r="C15" s="55" t="str">
        <f>Ameaças!J18</f>
        <v/>
      </c>
      <c r="D15" s="19" t="str">
        <f>IF((Ameaças!B18)&gt;0,Ameaças!B18,"")</f>
        <v/>
      </c>
      <c r="E15" s="163" t="str">
        <f>IF((Ameaças!C18)&gt;0,Ameaças!C18,"")</f>
        <v/>
      </c>
      <c r="F15" s="125" t="str">
        <f>IF((Ameaças!M18)&gt;0,Ameaças!M18,"")</f>
        <v/>
      </c>
      <c r="G15" s="141"/>
      <c r="H15" s="138"/>
      <c r="I15" s="139"/>
      <c r="J15" s="140"/>
      <c r="K15" s="138"/>
      <c r="M15" s="152">
        <f>Escalas!D22-0.005</f>
        <v>1.7950000000000002</v>
      </c>
    </row>
    <row r="16" spans="1:13" x14ac:dyDescent="0.2">
      <c r="A16" s="55">
        <f>Ameaças!A19</f>
        <v>10</v>
      </c>
      <c r="B16" s="164">
        <f>Ameaças!I19</f>
        <v>0</v>
      </c>
      <c r="C16" s="55" t="str">
        <f>Ameaças!J19</f>
        <v/>
      </c>
      <c r="D16" s="19" t="str">
        <f>IF((Ameaças!B19)&gt;0,Ameaças!B19,"")</f>
        <v/>
      </c>
      <c r="E16" s="163" t="str">
        <f>IF((Ameaças!C19)&gt;0,Ameaças!C19,"")</f>
        <v/>
      </c>
      <c r="F16" s="125" t="str">
        <f>IF((Ameaças!M19)&gt;0,Ameaças!M19,"")</f>
        <v/>
      </c>
      <c r="G16" s="141"/>
      <c r="H16" s="138"/>
      <c r="I16" s="139"/>
      <c r="J16" s="140"/>
      <c r="K16" s="138"/>
    </row>
    <row r="17" spans="1:11" x14ac:dyDescent="0.2">
      <c r="A17" s="55">
        <f>Ameaças!A20</f>
        <v>11</v>
      </c>
      <c r="B17" s="164">
        <f>Ameaças!I20</f>
        <v>0</v>
      </c>
      <c r="C17" s="55" t="str">
        <f>Ameaças!J20</f>
        <v/>
      </c>
      <c r="D17" s="19" t="str">
        <f>IF((Ameaças!B20)&gt;0,Ameaças!B20,"")</f>
        <v/>
      </c>
      <c r="E17" s="163" t="str">
        <f>IF((Ameaças!C20)&gt;0,Ameaças!C20,"")</f>
        <v/>
      </c>
      <c r="F17" s="125" t="str">
        <f>IF((Ameaças!M20)&gt;0,Ameaças!M20,"")</f>
        <v/>
      </c>
      <c r="G17" s="141" t="s">
        <v>12</v>
      </c>
      <c r="H17" s="138"/>
      <c r="I17" s="139"/>
      <c r="J17" s="140"/>
      <c r="K17" s="138"/>
    </row>
    <row r="18" spans="1:11" x14ac:dyDescent="0.2">
      <c r="A18" s="55">
        <f>Ameaças!A21</f>
        <v>12</v>
      </c>
      <c r="B18" s="164">
        <f>Ameaças!I21</f>
        <v>0</v>
      </c>
      <c r="C18" s="55" t="str">
        <f>Ameaças!J21</f>
        <v/>
      </c>
      <c r="D18" s="19" t="str">
        <f>IF((Ameaças!B21)&gt;0,Ameaças!B21,"")</f>
        <v/>
      </c>
      <c r="E18" s="163" t="str">
        <f>IF((Ameaças!C21)&gt;0,Ameaças!C21,"")</f>
        <v/>
      </c>
      <c r="F18" s="125" t="str">
        <f>IF((Ameaças!M21)&gt;0,Ameaças!M21,"")</f>
        <v/>
      </c>
      <c r="G18" s="141"/>
      <c r="H18" s="138"/>
      <c r="I18" s="139"/>
      <c r="J18" s="140"/>
      <c r="K18" s="138"/>
    </row>
    <row r="19" spans="1:11" x14ac:dyDescent="0.2">
      <c r="A19" s="55">
        <f>Ameaças!A22</f>
        <v>13</v>
      </c>
      <c r="B19" s="164">
        <f>Ameaças!I22</f>
        <v>0</v>
      </c>
      <c r="C19" s="55" t="str">
        <f>Ameaças!J22</f>
        <v/>
      </c>
      <c r="D19" s="19" t="str">
        <f>IF((Ameaças!B22)&gt;0,Ameaças!B22,"")</f>
        <v/>
      </c>
      <c r="E19" s="163" t="str">
        <f>IF((Ameaças!C22)&gt;0,Ameaças!C22,"")</f>
        <v/>
      </c>
      <c r="F19" s="125" t="str">
        <f>IF((Ameaças!M22)&gt;0,Ameaças!M22,"")</f>
        <v/>
      </c>
      <c r="G19" s="141"/>
      <c r="H19" s="138"/>
      <c r="I19" s="139"/>
      <c r="J19" s="140"/>
      <c r="K19" s="138"/>
    </row>
    <row r="20" spans="1:11" x14ac:dyDescent="0.2">
      <c r="A20" s="55">
        <f>Ameaças!A23</f>
        <v>14</v>
      </c>
      <c r="B20" s="164">
        <f>Ameaças!I23</f>
        <v>0</v>
      </c>
      <c r="C20" s="55" t="str">
        <f>Ameaças!J23</f>
        <v/>
      </c>
      <c r="D20" s="19" t="str">
        <f>IF((Ameaças!B23)&gt;0,Ameaças!B23,"")</f>
        <v/>
      </c>
      <c r="E20" s="163" t="str">
        <f>IF((Ameaças!C23)&gt;0,Ameaças!C23,"")</f>
        <v/>
      </c>
      <c r="F20" s="125" t="str">
        <f>IF((Ameaças!M23)&gt;0,Ameaças!M23,"")</f>
        <v/>
      </c>
      <c r="G20" s="141"/>
      <c r="H20" s="138"/>
      <c r="I20" s="139"/>
      <c r="J20" s="140"/>
      <c r="K20" s="138"/>
    </row>
    <row r="21" spans="1:11" x14ac:dyDescent="0.2">
      <c r="A21" s="55">
        <f>Ameaças!A24</f>
        <v>15</v>
      </c>
      <c r="B21" s="164">
        <f>Ameaças!I24</f>
        <v>0</v>
      </c>
      <c r="C21" s="55" t="str">
        <f>Ameaças!J24</f>
        <v/>
      </c>
      <c r="D21" s="19" t="str">
        <f>IF((Ameaças!B24)&gt;0,Ameaças!B24,"")</f>
        <v/>
      </c>
      <c r="E21" s="163" t="str">
        <f>IF((Ameaças!C24)&gt;0,Ameaças!C24,"")</f>
        <v/>
      </c>
      <c r="F21" s="125" t="str">
        <f>IF((Ameaças!M24)&gt;0,Ameaças!M24,"")</f>
        <v/>
      </c>
      <c r="G21" s="141"/>
      <c r="H21" s="138"/>
      <c r="I21" s="139"/>
      <c r="J21" s="140"/>
      <c r="K21" s="138"/>
    </row>
    <row r="22" spans="1:11" x14ac:dyDescent="0.2">
      <c r="A22" s="55">
        <f>Ameaças!A25</f>
        <v>16</v>
      </c>
      <c r="B22" s="164">
        <f>Ameaças!I25</f>
        <v>0</v>
      </c>
      <c r="C22" s="55" t="str">
        <f>Ameaças!J25</f>
        <v/>
      </c>
      <c r="D22" s="19" t="str">
        <f>IF((Ameaças!B25)&gt;0,Ameaças!B25,"")</f>
        <v/>
      </c>
      <c r="E22" s="163" t="str">
        <f>IF((Ameaças!C25)&gt;0,Ameaças!C25,"")</f>
        <v/>
      </c>
      <c r="F22" s="125" t="str">
        <f>IF((Ameaças!M25)&gt;0,Ameaças!M25,"")</f>
        <v/>
      </c>
      <c r="G22" s="141"/>
      <c r="H22" s="138"/>
      <c r="I22" s="139"/>
      <c r="J22" s="140"/>
      <c r="K22" s="138"/>
    </row>
    <row r="23" spans="1:11" x14ac:dyDescent="0.2">
      <c r="A23" s="55">
        <f>Ameaças!A26</f>
        <v>17</v>
      </c>
      <c r="B23" s="164">
        <f>Ameaças!I26</f>
        <v>0</v>
      </c>
      <c r="C23" s="55" t="str">
        <f>Ameaças!J26</f>
        <v/>
      </c>
      <c r="D23" s="19" t="str">
        <f>IF((Ameaças!B26)&gt;0,Ameaças!B26,"")</f>
        <v/>
      </c>
      <c r="E23" s="163" t="str">
        <f>IF((Ameaças!C26)&gt;0,Ameaças!C26,"")</f>
        <v/>
      </c>
      <c r="F23" s="125" t="str">
        <f>IF((Ameaças!M26)&gt;0,Ameaças!M26,"")</f>
        <v/>
      </c>
      <c r="G23" s="141"/>
      <c r="H23" s="138"/>
      <c r="I23" s="139"/>
      <c r="J23" s="140"/>
      <c r="K23" s="138"/>
    </row>
    <row r="24" spans="1:11" x14ac:dyDescent="0.2">
      <c r="A24" s="55">
        <f>Ameaças!A27</f>
        <v>18</v>
      </c>
      <c r="B24" s="164">
        <f>Ameaças!I27</f>
        <v>0</v>
      </c>
      <c r="C24" s="55" t="str">
        <f>Ameaças!J27</f>
        <v/>
      </c>
      <c r="D24" s="19" t="str">
        <f>IF((Ameaças!B27)&gt;0,Ameaças!B27,"")</f>
        <v/>
      </c>
      <c r="E24" s="163" t="str">
        <f>IF((Ameaças!C27)&gt;0,Ameaças!C27,"")</f>
        <v/>
      </c>
      <c r="F24" s="125" t="str">
        <f>IF((Ameaças!M27)&gt;0,Ameaças!M27,"")</f>
        <v/>
      </c>
      <c r="G24" s="141"/>
      <c r="H24" s="138"/>
      <c r="I24" s="139"/>
      <c r="J24" s="140"/>
      <c r="K24" s="138"/>
    </row>
    <row r="25" spans="1:11" x14ac:dyDescent="0.2">
      <c r="A25" s="55">
        <f>Ameaças!A28</f>
        <v>19</v>
      </c>
      <c r="B25" s="164">
        <f>Ameaças!I28</f>
        <v>0</v>
      </c>
      <c r="C25" s="55" t="str">
        <f>Ameaças!J28</f>
        <v/>
      </c>
      <c r="D25" s="19" t="str">
        <f>IF((Ameaças!B28)&gt;0,Ameaças!B28,"")</f>
        <v/>
      </c>
      <c r="E25" s="163" t="str">
        <f>IF((Ameaças!C28)&gt;0,Ameaças!C28,"")</f>
        <v/>
      </c>
      <c r="F25" s="125" t="str">
        <f>IF((Ameaças!M28)&gt;0,Ameaças!M28,"")</f>
        <v/>
      </c>
      <c r="G25" s="141"/>
      <c r="H25" s="138"/>
      <c r="I25" s="139"/>
      <c r="J25" s="140"/>
      <c r="K25" s="138"/>
    </row>
    <row r="26" spans="1:11" x14ac:dyDescent="0.2">
      <c r="A26" s="55">
        <f>Ameaças!A29</f>
        <v>20</v>
      </c>
      <c r="B26" s="164">
        <f>Ameaças!I29</f>
        <v>0</v>
      </c>
      <c r="C26" s="55" t="str">
        <f>Ameaças!J29</f>
        <v/>
      </c>
      <c r="D26" s="19" t="str">
        <f>IF((Ameaças!B29)&gt;0,Ameaças!B29,"")</f>
        <v/>
      </c>
      <c r="E26" s="163" t="str">
        <f>IF((Ameaças!C29)&gt;0,Ameaças!C29,"")</f>
        <v/>
      </c>
      <c r="F26" s="126" t="str">
        <f>IF((Ameaças!M29)&gt;0,Ameaças!M29,"")</f>
        <v/>
      </c>
      <c r="G26" s="142"/>
      <c r="H26" s="138"/>
      <c r="I26" s="139"/>
      <c r="J26" s="140"/>
      <c r="K26" s="138"/>
    </row>
    <row r="27" spans="1:11" x14ac:dyDescent="0.2">
      <c r="A27" s="118"/>
      <c r="B27" s="75"/>
      <c r="C27" s="75"/>
      <c r="D27" s="75"/>
      <c r="E27" s="76"/>
      <c r="F27" s="126">
        <f>SUM(F7:F26)</f>
        <v>0</v>
      </c>
      <c r="G27" s="119"/>
      <c r="H27" s="32"/>
      <c r="I27" s="127"/>
      <c r="J27" s="128">
        <f>SUM(J7:J26)</f>
        <v>0</v>
      </c>
      <c r="K27" s="32"/>
    </row>
    <row r="28" spans="1:11" s="22" customFormat="1" x14ac:dyDescent="0.2">
      <c r="A28" s="17"/>
      <c r="B28" s="17"/>
      <c r="C28" s="17"/>
      <c r="D28" s="17"/>
      <c r="E28" s="28"/>
      <c r="F28" s="28"/>
      <c r="G28" s="106"/>
      <c r="I28" s="129"/>
      <c r="J28" s="130"/>
    </row>
  </sheetData>
  <sortState xmlns:xlrd2="http://schemas.microsoft.com/office/spreadsheetml/2017/richdata2" ref="A7:K26">
    <sortCondition ref="C7:C26"/>
    <sortCondition ref="A7:A26"/>
  </sortState>
  <mergeCells count="1">
    <mergeCell ref="I5:K5"/>
  </mergeCells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M28"/>
  <sheetViews>
    <sheetView zoomScale="110" zoomScaleNormal="110" workbookViewId="0">
      <selection activeCell="G7" sqref="G7"/>
    </sheetView>
  </sheetViews>
  <sheetFormatPr defaultColWidth="9.140625" defaultRowHeight="12" x14ac:dyDescent="0.2"/>
  <cols>
    <col min="1" max="1" width="2.85546875" style="19" customWidth="1"/>
    <col min="2" max="2" width="0.140625" style="19" hidden="1" customWidth="1"/>
    <col min="3" max="3" width="6.42578125" style="19" customWidth="1"/>
    <col min="4" max="4" width="10.5703125" style="19" customWidth="1"/>
    <col min="5" max="5" width="30.85546875" style="25" customWidth="1"/>
    <col min="6" max="6" width="13.42578125" style="25" customWidth="1"/>
    <col min="7" max="7" width="30.28515625" style="19" customWidth="1"/>
    <col min="8" max="8" width="13.28515625" style="3" customWidth="1"/>
    <col min="9" max="9" width="11.42578125" style="123" customWidth="1"/>
    <col min="10" max="10" width="12.85546875" style="124" customWidth="1"/>
    <col min="11" max="11" width="23.85546875" style="3" customWidth="1"/>
    <col min="12" max="12" width="9.140625" style="3" customWidth="1"/>
    <col min="13" max="13" width="9.140625" style="3" hidden="1" customWidth="1"/>
    <col min="14" max="16384" width="9.140625" style="3"/>
  </cols>
  <sheetData>
    <row r="1" spans="1:13" ht="15" x14ac:dyDescent="0.2">
      <c r="A1" s="27" t="s">
        <v>108</v>
      </c>
      <c r="B1" s="27"/>
      <c r="C1" s="27"/>
      <c r="D1" s="17"/>
      <c r="E1" s="28"/>
      <c r="F1" s="166"/>
      <c r="G1" s="15"/>
      <c r="H1" s="29"/>
      <c r="I1" s="120" t="s">
        <v>12</v>
      </c>
      <c r="J1" s="29" t="s">
        <v>12</v>
      </c>
      <c r="K1" s="29" t="s">
        <v>12</v>
      </c>
    </row>
    <row r="2" spans="1:13" x14ac:dyDescent="0.2">
      <c r="A2" s="30" t="s">
        <v>0</v>
      </c>
      <c r="B2" s="30"/>
      <c r="C2" s="30"/>
      <c r="D2" s="15" t="str">
        <f>Dados!B5</f>
        <v>Projeto AULA</v>
      </c>
      <c r="E2" s="16"/>
      <c r="F2" s="165"/>
      <c r="G2" s="20"/>
      <c r="H2" s="22"/>
      <c r="I2" s="121"/>
      <c r="J2" s="122"/>
      <c r="K2" s="22"/>
    </row>
    <row r="3" spans="1:13" x14ac:dyDescent="0.2">
      <c r="A3" s="30" t="s">
        <v>18</v>
      </c>
      <c r="B3" s="30"/>
      <c r="C3" s="30"/>
      <c r="D3" s="15" t="str">
        <f>Dados!B6</f>
        <v>ALUNOS</v>
      </c>
      <c r="E3" s="16"/>
      <c r="F3" s="16"/>
      <c r="G3" s="30"/>
      <c r="H3" s="30"/>
      <c r="I3" s="117"/>
      <c r="J3" s="18"/>
      <c r="K3" s="30"/>
    </row>
    <row r="4" spans="1:13" x14ac:dyDescent="0.2">
      <c r="A4" s="30" t="s">
        <v>19</v>
      </c>
      <c r="B4" s="30"/>
      <c r="C4" s="30"/>
      <c r="D4" s="15" t="str">
        <f>Dados!B7</f>
        <v>MAURO</v>
      </c>
      <c r="E4" s="16"/>
      <c r="F4" s="16"/>
      <c r="G4" s="117"/>
      <c r="H4" s="117"/>
      <c r="I4" s="117"/>
      <c r="J4" s="18"/>
      <c r="K4" s="117"/>
    </row>
    <row r="5" spans="1:13" x14ac:dyDescent="0.2">
      <c r="D5" s="63"/>
      <c r="E5" s="68"/>
      <c r="F5" s="68"/>
      <c r="G5" s="63"/>
      <c r="I5" s="218" t="s">
        <v>110</v>
      </c>
      <c r="J5" s="219"/>
      <c r="K5" s="220"/>
    </row>
    <row r="6" spans="1:13" s="172" customFormat="1" ht="24" customHeight="1" x14ac:dyDescent="0.2">
      <c r="A6" s="173" t="s">
        <v>106</v>
      </c>
      <c r="B6" s="173" t="s">
        <v>107</v>
      </c>
      <c r="C6" s="174" t="s">
        <v>101</v>
      </c>
      <c r="D6" s="175" t="s">
        <v>2</v>
      </c>
      <c r="E6" s="176" t="s">
        <v>109</v>
      </c>
      <c r="F6" s="174" t="s">
        <v>103</v>
      </c>
      <c r="G6" s="174" t="s">
        <v>39</v>
      </c>
      <c r="H6" s="174" t="s">
        <v>25</v>
      </c>
      <c r="I6" s="182" t="s">
        <v>104</v>
      </c>
      <c r="J6" s="183" t="s">
        <v>102</v>
      </c>
      <c r="K6" s="183" t="s">
        <v>31</v>
      </c>
    </row>
    <row r="7" spans="1:13" ht="21.75" customHeight="1" x14ac:dyDescent="0.2">
      <c r="A7" s="55">
        <f>Ameaças!A10</f>
        <v>1</v>
      </c>
      <c r="B7" s="164">
        <f>Oportunidades!I12</f>
        <v>0</v>
      </c>
      <c r="C7" s="55">
        <f>Oportunidades!J10</f>
        <v>1</v>
      </c>
      <c r="D7" s="19" t="str">
        <f>IF((Oportunidades!B10)&gt;0,Oportunidades!B10,"")</f>
        <v>TECNO-LOGIA</v>
      </c>
      <c r="E7" s="163" t="str">
        <f>IF((Oportunidades!C10)&gt;0,Oportunidades!C10,"")</f>
        <v>REDUÇÃO NO CUSTO DO PROVEDOR DE INTERNET, DEVIDO À CONTRATAÇÃO FORNECEDOR NOVO NO MERCADO, REDUZINDO O CUSTO DO CURSO</v>
      </c>
      <c r="F7" s="125" t="str">
        <f>IF((Oportunidades!M10)&gt;0,Oportunidades!M10,"")</f>
        <v/>
      </c>
      <c r="G7" s="141"/>
      <c r="H7" s="138"/>
      <c r="I7" s="139"/>
      <c r="J7" s="140"/>
      <c r="K7" s="138"/>
    </row>
    <row r="8" spans="1:13" ht="24" customHeight="1" x14ac:dyDescent="0.2">
      <c r="A8" s="55">
        <f>Ameaças!A11</f>
        <v>2</v>
      </c>
      <c r="B8" s="164">
        <f>Oportunidades!I13</f>
        <v>0</v>
      </c>
      <c r="C8" s="55" t="str">
        <f>Oportunidades!J11</f>
        <v/>
      </c>
      <c r="D8" s="19" t="str">
        <f>IF((Oportunidades!B11)&gt;0,Oportunidades!B11,"")</f>
        <v/>
      </c>
      <c r="E8" s="163" t="str">
        <f>IF((Oportunidades!C11)&gt;0,Oportunidades!C11,"")</f>
        <v/>
      </c>
      <c r="F8" s="125" t="str">
        <f>IF((Oportunidades!M11)&gt;0,Oportunidades!M11,"")</f>
        <v/>
      </c>
      <c r="G8" s="141" t="s">
        <v>12</v>
      </c>
      <c r="H8" s="138"/>
      <c r="I8" s="139"/>
      <c r="J8" s="140"/>
      <c r="K8" s="138"/>
    </row>
    <row r="9" spans="1:13" x14ac:dyDescent="0.2">
      <c r="A9" s="55">
        <f>Ameaças!A12</f>
        <v>3</v>
      </c>
      <c r="B9" s="164">
        <f>Oportunidades!I10</f>
        <v>1.2</v>
      </c>
      <c r="C9" s="55" t="str">
        <f>Oportunidades!J12</f>
        <v/>
      </c>
      <c r="D9" s="19" t="str">
        <f>IF((Oportunidades!B12)&gt;0,Oportunidades!B12,"")</f>
        <v/>
      </c>
      <c r="E9" s="163" t="str">
        <f>IF((Oportunidades!C12)&gt;0,Oportunidades!C12,"")</f>
        <v/>
      </c>
      <c r="F9" s="125" t="str">
        <f>IF((Oportunidades!M12)&gt;0,Oportunidades!M12,"")</f>
        <v/>
      </c>
      <c r="G9" s="141"/>
      <c r="H9" s="138"/>
      <c r="I9" s="139"/>
      <c r="J9" s="140"/>
      <c r="K9" s="138"/>
    </row>
    <row r="10" spans="1:13" x14ac:dyDescent="0.2">
      <c r="A10" s="55">
        <f>Ameaças!A13</f>
        <v>4</v>
      </c>
      <c r="B10" s="164">
        <f>Oportunidades!I11</f>
        <v>0</v>
      </c>
      <c r="C10" s="55" t="str">
        <f>Oportunidades!J13</f>
        <v/>
      </c>
      <c r="D10" s="19" t="str">
        <f>IF((Oportunidades!B13)&gt;0,Oportunidades!B13,"")</f>
        <v/>
      </c>
      <c r="E10" s="163" t="str">
        <f>IF((Oportunidades!C13)&gt;0,Oportunidades!C13,"")</f>
        <v/>
      </c>
      <c r="F10" s="125" t="str">
        <f>IF((Oportunidades!M13)&gt;0,Oportunidades!M13,"")</f>
        <v/>
      </c>
      <c r="G10" s="141"/>
      <c r="H10" s="138"/>
      <c r="I10" s="139"/>
      <c r="J10" s="140"/>
      <c r="K10" s="138"/>
    </row>
    <row r="11" spans="1:13" x14ac:dyDescent="0.2">
      <c r="A11" s="55">
        <f>Ameaças!A14</f>
        <v>5</v>
      </c>
      <c r="B11" s="164">
        <f>Oportunidades!I14</f>
        <v>0</v>
      </c>
      <c r="C11" s="55" t="str">
        <f>Oportunidades!J14</f>
        <v/>
      </c>
      <c r="D11" s="19" t="str">
        <f>IF((Oportunidades!B14)&gt;0,Oportunidades!B14,"")</f>
        <v/>
      </c>
      <c r="E11" s="163" t="str">
        <f>IF((Oportunidades!C14)&gt;0,Oportunidades!C14,"")</f>
        <v/>
      </c>
      <c r="F11" s="125" t="str">
        <f>IF((Oportunidades!M14)&gt;0,Oportunidades!M14,"")</f>
        <v/>
      </c>
      <c r="G11" s="141"/>
      <c r="H11" s="138"/>
      <c r="I11" s="139"/>
      <c r="J11" s="140"/>
      <c r="K11" s="138"/>
    </row>
    <row r="12" spans="1:13" x14ac:dyDescent="0.2">
      <c r="A12" s="55">
        <f>Ameaças!A15</f>
        <v>6</v>
      </c>
      <c r="B12" s="164">
        <f>Oportunidades!I15</f>
        <v>0</v>
      </c>
      <c r="C12" s="55" t="str">
        <f>Oportunidades!J15</f>
        <v/>
      </c>
      <c r="D12" s="19" t="str">
        <f>IF((Oportunidades!B15)&gt;0,Oportunidades!B15,"")</f>
        <v/>
      </c>
      <c r="E12" s="163" t="str">
        <f>IF((Oportunidades!C15)&gt;0,Oportunidades!C15,"")</f>
        <v/>
      </c>
      <c r="F12" s="125" t="str">
        <f>IF((Oportunidades!M15)&gt;0,Oportunidades!M15,"")</f>
        <v/>
      </c>
      <c r="G12" s="141"/>
      <c r="H12" s="138"/>
      <c r="I12" s="139"/>
      <c r="J12" s="140"/>
      <c r="K12" s="138"/>
      <c r="M12" s="162" t="s">
        <v>99</v>
      </c>
    </row>
    <row r="13" spans="1:13" x14ac:dyDescent="0.2">
      <c r="A13" s="55">
        <f>Ameaças!A16</f>
        <v>7</v>
      </c>
      <c r="B13" s="164">
        <f>Oportunidades!I16</f>
        <v>0</v>
      </c>
      <c r="C13" s="55" t="str">
        <f>Oportunidades!J16</f>
        <v/>
      </c>
      <c r="D13" s="19" t="str">
        <f>IF((Oportunidades!B16)&gt;0,Oportunidades!B16,"")</f>
        <v/>
      </c>
      <c r="E13" s="163" t="str">
        <f>IF((Oportunidades!C16)&gt;0,Oportunidades!C16,"")</f>
        <v/>
      </c>
      <c r="F13" s="125" t="str">
        <f>IF((Oportunidades!M16)&gt;0,Oportunidades!M16,"")</f>
        <v/>
      </c>
      <c r="G13" s="141"/>
      <c r="H13" s="138"/>
      <c r="I13" s="139"/>
      <c r="J13" s="140"/>
      <c r="K13" s="138"/>
      <c r="M13" s="162" t="s">
        <v>100</v>
      </c>
    </row>
    <row r="14" spans="1:13" x14ac:dyDescent="0.2">
      <c r="A14" s="55">
        <f>Ameaças!A17</f>
        <v>8</v>
      </c>
      <c r="B14" s="164">
        <f>Oportunidades!I17</f>
        <v>0</v>
      </c>
      <c r="C14" s="55" t="str">
        <f>Oportunidades!J17</f>
        <v/>
      </c>
      <c r="D14" s="19" t="str">
        <f>IF((Oportunidades!B17)&gt;0,Oportunidades!B17,"")</f>
        <v/>
      </c>
      <c r="E14" s="163" t="str">
        <f>IF((Oportunidades!C17)&gt;0,Oportunidades!C17,"")</f>
        <v/>
      </c>
      <c r="F14" s="125" t="str">
        <f>IF((Oportunidades!M17)&gt;0,Oportunidades!M17,"")</f>
        <v/>
      </c>
      <c r="G14" s="141"/>
      <c r="H14" s="138"/>
      <c r="I14" s="139"/>
      <c r="J14" s="140"/>
      <c r="K14" s="138"/>
      <c r="M14" s="152">
        <f>Escalas!B22+0.005</f>
        <v>0.45500000000000002</v>
      </c>
    </row>
    <row r="15" spans="1:13" x14ac:dyDescent="0.2">
      <c r="A15" s="55">
        <f>Ameaças!A18</f>
        <v>9</v>
      </c>
      <c r="B15" s="164">
        <f>Oportunidades!I18</f>
        <v>0</v>
      </c>
      <c r="C15" s="55" t="str">
        <f>Oportunidades!J18</f>
        <v/>
      </c>
      <c r="D15" s="19" t="str">
        <f>IF((Oportunidades!B18)&gt;0,Oportunidades!B18,"")</f>
        <v/>
      </c>
      <c r="E15" s="163" t="str">
        <f>IF((Oportunidades!C18)&gt;0,Oportunidades!C18,"")</f>
        <v/>
      </c>
      <c r="F15" s="125" t="str">
        <f>IF((Oportunidades!M18)&gt;0,Oportunidades!M18,"")</f>
        <v/>
      </c>
      <c r="G15" s="141"/>
      <c r="H15" s="138"/>
      <c r="I15" s="139"/>
      <c r="J15" s="140"/>
      <c r="K15" s="138"/>
      <c r="M15" s="152">
        <f>Escalas!D22-0.005</f>
        <v>1.7950000000000002</v>
      </c>
    </row>
    <row r="16" spans="1:13" x14ac:dyDescent="0.2">
      <c r="A16" s="55">
        <f>Ameaças!A19</f>
        <v>10</v>
      </c>
      <c r="B16" s="164">
        <f>Oportunidades!I19</f>
        <v>0</v>
      </c>
      <c r="C16" s="55" t="str">
        <f>Oportunidades!J19</f>
        <v/>
      </c>
      <c r="D16" s="19" t="str">
        <f>IF((Oportunidades!B19)&gt;0,Oportunidades!B19,"")</f>
        <v/>
      </c>
      <c r="E16" s="163" t="str">
        <f>IF((Oportunidades!C19)&gt;0,Oportunidades!C19,"")</f>
        <v/>
      </c>
      <c r="F16" s="125" t="str">
        <f>IF((Oportunidades!M19)&gt;0,Oportunidades!M19,"")</f>
        <v/>
      </c>
      <c r="G16" s="141"/>
      <c r="H16" s="138"/>
      <c r="I16" s="139"/>
      <c r="J16" s="140"/>
      <c r="K16" s="138"/>
    </row>
    <row r="17" spans="1:11" x14ac:dyDescent="0.2">
      <c r="A17" s="55">
        <f>Ameaças!A20</f>
        <v>11</v>
      </c>
      <c r="B17" s="164">
        <f>Oportunidades!I20</f>
        <v>0</v>
      </c>
      <c r="C17" s="55" t="str">
        <f>Oportunidades!J20</f>
        <v/>
      </c>
      <c r="D17" s="19" t="str">
        <f>IF((Oportunidades!B20)&gt;0,Oportunidades!B20,"")</f>
        <v/>
      </c>
      <c r="E17" s="163" t="str">
        <f>IF((Oportunidades!C20)&gt;0,Oportunidades!C20,"")</f>
        <v/>
      </c>
      <c r="F17" s="125" t="str">
        <f>IF((Oportunidades!M20)&gt;0,Oportunidades!M20,"")</f>
        <v/>
      </c>
      <c r="G17" s="141" t="s">
        <v>12</v>
      </c>
      <c r="H17" s="138"/>
      <c r="I17" s="139"/>
      <c r="J17" s="140"/>
      <c r="K17" s="138"/>
    </row>
    <row r="18" spans="1:11" x14ac:dyDescent="0.2">
      <c r="A18" s="55">
        <f>Ameaças!A21</f>
        <v>12</v>
      </c>
      <c r="B18" s="164">
        <f>Oportunidades!I21</f>
        <v>0</v>
      </c>
      <c r="C18" s="55" t="str">
        <f>Oportunidades!J21</f>
        <v/>
      </c>
      <c r="D18" s="19" t="str">
        <f>IF((Oportunidades!B21)&gt;0,Oportunidades!B21,"")</f>
        <v/>
      </c>
      <c r="E18" s="163" t="str">
        <f>IF((Oportunidades!C21)&gt;0,Oportunidades!C21,"")</f>
        <v/>
      </c>
      <c r="F18" s="125" t="str">
        <f>IF((Oportunidades!M21)&gt;0,Oportunidades!M21,"")</f>
        <v/>
      </c>
      <c r="G18" s="141"/>
      <c r="H18" s="138"/>
      <c r="I18" s="139"/>
      <c r="J18" s="140"/>
      <c r="K18" s="138"/>
    </row>
    <row r="19" spans="1:11" x14ac:dyDescent="0.2">
      <c r="A19" s="55">
        <f>Ameaças!A22</f>
        <v>13</v>
      </c>
      <c r="B19" s="164">
        <f>Oportunidades!I22</f>
        <v>0</v>
      </c>
      <c r="C19" s="55" t="str">
        <f>Oportunidades!J22</f>
        <v/>
      </c>
      <c r="D19" s="19" t="str">
        <f>IF((Oportunidades!B22)&gt;0,Oportunidades!B22,"")</f>
        <v/>
      </c>
      <c r="E19" s="163" t="str">
        <f>IF((Oportunidades!C22)&gt;0,Oportunidades!C22,"")</f>
        <v/>
      </c>
      <c r="F19" s="125" t="str">
        <f>IF((Oportunidades!M22)&gt;0,Oportunidades!M22,"")</f>
        <v/>
      </c>
      <c r="G19" s="141"/>
      <c r="H19" s="138"/>
      <c r="I19" s="139"/>
      <c r="J19" s="140"/>
      <c r="K19" s="138"/>
    </row>
    <row r="20" spans="1:11" x14ac:dyDescent="0.2">
      <c r="A20" s="55">
        <f>Ameaças!A23</f>
        <v>14</v>
      </c>
      <c r="B20" s="164">
        <f>Oportunidades!I23</f>
        <v>0</v>
      </c>
      <c r="C20" s="55" t="str">
        <f>Oportunidades!J23</f>
        <v/>
      </c>
      <c r="D20" s="19" t="str">
        <f>IF((Oportunidades!B23)&gt;0,Oportunidades!B23,"")</f>
        <v/>
      </c>
      <c r="E20" s="163" t="str">
        <f>IF((Oportunidades!C23)&gt;0,Oportunidades!C23,"")</f>
        <v/>
      </c>
      <c r="F20" s="125" t="str">
        <f>IF((Oportunidades!M23)&gt;0,Oportunidades!M23,"")</f>
        <v/>
      </c>
      <c r="G20" s="141"/>
      <c r="H20" s="138"/>
      <c r="I20" s="139"/>
      <c r="J20" s="140"/>
      <c r="K20" s="138"/>
    </row>
    <row r="21" spans="1:11" x14ac:dyDescent="0.2">
      <c r="A21" s="55">
        <f>Ameaças!A24</f>
        <v>15</v>
      </c>
      <c r="B21" s="164">
        <f>Oportunidades!I24</f>
        <v>0</v>
      </c>
      <c r="C21" s="55" t="str">
        <f>Oportunidades!J24</f>
        <v/>
      </c>
      <c r="D21" s="19" t="str">
        <f>IF((Oportunidades!B24)&gt;0,Oportunidades!B24,"")</f>
        <v/>
      </c>
      <c r="E21" s="163" t="str">
        <f>IF((Oportunidades!C24)&gt;0,Oportunidades!C24,"")</f>
        <v/>
      </c>
      <c r="F21" s="125" t="str">
        <f>IF((Oportunidades!M24)&gt;0,Oportunidades!M24,"")</f>
        <v/>
      </c>
      <c r="G21" s="141"/>
      <c r="H21" s="138"/>
      <c r="I21" s="139"/>
      <c r="J21" s="140"/>
      <c r="K21" s="138"/>
    </row>
    <row r="22" spans="1:11" x14ac:dyDescent="0.2">
      <c r="A22" s="55">
        <f>Ameaças!A25</f>
        <v>16</v>
      </c>
      <c r="B22" s="164">
        <f>Oportunidades!I25</f>
        <v>0</v>
      </c>
      <c r="C22" s="55" t="str">
        <f>Oportunidades!J25</f>
        <v/>
      </c>
      <c r="D22" s="19" t="str">
        <f>IF((Oportunidades!B25)&gt;0,Oportunidades!B25,"")</f>
        <v/>
      </c>
      <c r="E22" s="163" t="str">
        <f>IF((Oportunidades!C25)&gt;0,Oportunidades!C25,"")</f>
        <v/>
      </c>
      <c r="F22" s="125" t="str">
        <f>IF((Oportunidades!M25)&gt;0,Oportunidades!M25,"")</f>
        <v/>
      </c>
      <c r="G22" s="141"/>
      <c r="H22" s="138"/>
      <c r="I22" s="139"/>
      <c r="J22" s="140"/>
      <c r="K22" s="138"/>
    </row>
    <row r="23" spans="1:11" x14ac:dyDescent="0.2">
      <c r="A23" s="55">
        <f>Ameaças!A26</f>
        <v>17</v>
      </c>
      <c r="B23" s="164">
        <f>Oportunidades!I26</f>
        <v>0</v>
      </c>
      <c r="C23" s="55" t="str">
        <f>Oportunidades!J26</f>
        <v/>
      </c>
      <c r="D23" s="19" t="str">
        <f>IF((Oportunidades!B26)&gt;0,Oportunidades!B26,"")</f>
        <v/>
      </c>
      <c r="E23" s="163" t="str">
        <f>IF((Oportunidades!C26)&gt;0,Oportunidades!C26,"")</f>
        <v/>
      </c>
      <c r="F23" s="125" t="str">
        <f>IF((Oportunidades!M26)&gt;0,Oportunidades!M26,"")</f>
        <v/>
      </c>
      <c r="G23" s="141"/>
      <c r="H23" s="138"/>
      <c r="I23" s="139"/>
      <c r="J23" s="140"/>
      <c r="K23" s="138"/>
    </row>
    <row r="24" spans="1:11" x14ac:dyDescent="0.2">
      <c r="A24" s="55">
        <f>Ameaças!A27</f>
        <v>18</v>
      </c>
      <c r="B24" s="164">
        <f>Oportunidades!I27</f>
        <v>0</v>
      </c>
      <c r="C24" s="55" t="str">
        <f>Oportunidades!J27</f>
        <v/>
      </c>
      <c r="D24" s="19" t="str">
        <f>IF((Oportunidades!B27)&gt;0,Oportunidades!B27,"")</f>
        <v/>
      </c>
      <c r="E24" s="163" t="str">
        <f>IF((Oportunidades!C27)&gt;0,Oportunidades!C27,"")</f>
        <v/>
      </c>
      <c r="F24" s="125" t="str">
        <f>IF((Oportunidades!M27)&gt;0,Oportunidades!M27,"")</f>
        <v/>
      </c>
      <c r="G24" s="141"/>
      <c r="H24" s="138"/>
      <c r="I24" s="139"/>
      <c r="J24" s="140"/>
      <c r="K24" s="138"/>
    </row>
    <row r="25" spans="1:11" x14ac:dyDescent="0.2">
      <c r="A25" s="55">
        <f>Ameaças!A28</f>
        <v>19</v>
      </c>
      <c r="B25" s="164">
        <f>Oportunidades!I28</f>
        <v>0</v>
      </c>
      <c r="C25" s="55" t="str">
        <f>Oportunidades!J28</f>
        <v/>
      </c>
      <c r="D25" s="19" t="str">
        <f>IF((Oportunidades!B28)&gt;0,Oportunidades!B28,"")</f>
        <v/>
      </c>
      <c r="E25" s="163" t="str">
        <f>IF((Oportunidades!C28)&gt;0,Oportunidades!C28,"")</f>
        <v/>
      </c>
      <c r="F25" s="125" t="str">
        <f>IF((Oportunidades!M28)&gt;0,Oportunidades!M28,"")</f>
        <v/>
      </c>
      <c r="G25" s="141"/>
      <c r="H25" s="138"/>
      <c r="I25" s="139"/>
      <c r="J25" s="140"/>
      <c r="K25" s="138"/>
    </row>
    <row r="26" spans="1:11" x14ac:dyDescent="0.2">
      <c r="A26" s="55">
        <f>Ameaças!A29</f>
        <v>20</v>
      </c>
      <c r="B26" s="164">
        <f>Oportunidades!I29</f>
        <v>0</v>
      </c>
      <c r="C26" s="55" t="str">
        <f>Oportunidades!J29</f>
        <v/>
      </c>
      <c r="D26" s="19" t="str">
        <f>IF((Oportunidades!B29)&gt;0,Oportunidades!B29,"")</f>
        <v/>
      </c>
      <c r="E26" s="163" t="str">
        <f>IF((Oportunidades!C29)&gt;0,Oportunidades!C29,"")</f>
        <v/>
      </c>
      <c r="F26" s="125" t="str">
        <f>IF((Oportunidades!M29)&gt;0,Oportunidades!M29,"")</f>
        <v/>
      </c>
      <c r="G26" s="142"/>
      <c r="H26" s="138"/>
      <c r="I26" s="139"/>
      <c r="J26" s="140"/>
      <c r="K26" s="138"/>
    </row>
    <row r="27" spans="1:11" x14ac:dyDescent="0.2">
      <c r="A27" s="118"/>
      <c r="B27" s="75"/>
      <c r="C27" s="75"/>
      <c r="D27" s="75"/>
      <c r="E27" s="76"/>
      <c r="F27" s="177">
        <f>SUM(F7:F26)</f>
        <v>0</v>
      </c>
      <c r="G27" s="119"/>
      <c r="H27" s="32"/>
      <c r="I27" s="127"/>
      <c r="J27" s="128">
        <f>SUM(J7:J26)</f>
        <v>0</v>
      </c>
      <c r="K27" s="32"/>
    </row>
    <row r="28" spans="1:11" s="22" customFormat="1" x14ac:dyDescent="0.2">
      <c r="A28" s="17"/>
      <c r="B28" s="17"/>
      <c r="C28" s="17"/>
      <c r="D28" s="17"/>
      <c r="E28" s="28"/>
      <c r="F28" s="28"/>
      <c r="G28" s="106"/>
      <c r="I28" s="129"/>
      <c r="J28" s="130"/>
    </row>
  </sheetData>
  <mergeCells count="1">
    <mergeCell ref="I5:K5"/>
  </mergeCells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Dados</vt:lpstr>
      <vt:lpstr>Escalas</vt:lpstr>
      <vt:lpstr>Ameaças</vt:lpstr>
      <vt:lpstr>Oportunidades</vt:lpstr>
      <vt:lpstr>VME</vt:lpstr>
      <vt:lpstr>Respostas - Ameaças</vt:lpstr>
      <vt:lpstr>Respostas - Oport</vt:lpstr>
      <vt:lpstr>grau_ameaca</vt:lpstr>
      <vt:lpstr>grau_oport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Afonso</dc:creator>
  <cp:lastModifiedBy>mas</cp:lastModifiedBy>
  <cp:lastPrinted>2003-02-14T16:56:21Z</cp:lastPrinted>
  <dcterms:created xsi:type="dcterms:W3CDTF">2002-09-10T19:20:24Z</dcterms:created>
  <dcterms:modified xsi:type="dcterms:W3CDTF">2023-12-16T16:50:54Z</dcterms:modified>
</cp:coreProperties>
</file>