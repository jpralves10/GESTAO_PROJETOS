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Mauro\_Mauro\MEGAsync\Material para os alunos\Curso PMI-RMP\07 Softwares\Monte Carlito\"/>
    </mc:Choice>
  </mc:AlternateContent>
  <xr:revisionPtr revIDLastSave="0" documentId="13_ncr:1_{C02C588C-0C44-4900-8FC3-99F2A071F468}" xr6:coauthVersionLast="41" xr6:coauthVersionMax="41" xr10:uidLastSave="{00000000-0000-0000-0000-000000000000}"/>
  <bookViews>
    <workbookView xWindow="-98" yWindow="-98" windowWidth="19396" windowHeight="11746" xr2:uid="{00000000-000D-0000-FFFF-FFFF00000000}"/>
  </bookViews>
  <sheets>
    <sheet name="Instruções" sheetId="1" r:id="rId1"/>
    <sheet name="Tutorial 1 - Basico" sheetId="2" r:id="rId2"/>
    <sheet name="CB_DATA_" sheetId="5" state="veryHidden" r:id="rId3"/>
    <sheet name="Tutorial 2 - Projetos" sheetId="4" r:id="rId4"/>
    <sheet name="Sobre" sheetId="6" r:id="rId5"/>
  </sheets>
  <functionGroups builtInGroupCount="19"/>
  <definedNames>
    <definedName name="CBWorkbookPriority" localSheetId="2" hidden="1">-2147746789563070</definedName>
    <definedName name="Pal_Workbook_GUID" hidden="1">"BY1H9YACYSURFVMHWJCFN8EG"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4" l="1"/>
  <c r="I31" i="4" s="1"/>
  <c r="I32" i="4" s="1"/>
  <c r="G27" i="4"/>
  <c r="G31" i="4" s="1"/>
  <c r="G15" i="4"/>
  <c r="G16" i="4"/>
  <c r="D18" i="2"/>
  <c r="D23" i="2" s="1"/>
  <c r="D27" i="2" s="1"/>
  <c r="D30" i="2" s="1"/>
  <c r="D39" i="2" s="1"/>
  <c r="J26" i="1"/>
  <c r="K20" i="1"/>
  <c r="J20" i="1"/>
  <c r="F21" i="1"/>
  <c r="E21" i="1"/>
  <c r="D21" i="1"/>
  <c r="G18" i="4" l="1"/>
  <c r="G32" i="4"/>
  <c r="K32" i="4" s="1"/>
  <c r="K31" i="4"/>
</calcChain>
</file>

<file path=xl/sharedStrings.xml><?xml version="1.0" encoding="utf-8"?>
<sst xmlns="http://schemas.openxmlformats.org/spreadsheetml/2006/main" count="102" uniqueCount="95">
  <si>
    <t>Duração Total:</t>
  </si>
  <si>
    <t>Selecione a área azul e pressione Ctrl+W.</t>
  </si>
  <si>
    <t>A duração total esperada é:</t>
  </si>
  <si>
    <t>e</t>
  </si>
  <si>
    <t>mais</t>
  </si>
  <si>
    <t>menos</t>
  </si>
  <si>
    <t>Computando o valor em risco:</t>
  </si>
  <si>
    <t>Exemplo:  Gerenciamento de Projetos</t>
  </si>
  <si>
    <t>Média</t>
  </si>
  <si>
    <t>Desvio Padrão</t>
  </si>
  <si>
    <t>Mediana</t>
  </si>
  <si>
    <t>Cerca de 96% dos resultados estão em 2 desvios padrão (2 sigma) :</t>
  </si>
  <si>
    <t xml:space="preserve">=&gt; desvio padrão*1.96 </t>
  </si>
  <si>
    <t>Em aproximadamente 96% de todos os projetos, a duração é entre</t>
  </si>
  <si>
    <t>Simulações:</t>
  </si>
  <si>
    <t>=</t>
  </si>
  <si>
    <t>Como funciona?</t>
  </si>
  <si>
    <t>Como criar histogramas?</t>
  </si>
  <si>
    <t>Como acelerá-lo?</t>
  </si>
  <si>
    <t>É uma macro VBA; basta abrir o arquivo Excel junto com suas planilhas reais para usá-lo.</t>
  </si>
  <si>
    <t>Como iniciar o simulador de Monte Carlo?</t>
  </si>
  <si>
    <t>Instruções:</t>
  </si>
  <si>
    <t xml:space="preserve">Suplemento (add-in) do Excel para fazer simulações de Monte Carlo. </t>
  </si>
  <si>
    <t>Calcula estatísticas como mediana e erro padrão, gera-as diretamente em células do Excel e mostra histogramas</t>
  </si>
  <si>
    <t>1. Coloque todas as N fórmulas que deseja simular próximas umas das outras,</t>
  </si>
  <si>
    <t xml:space="preserve">    precedidas pelo número de tentativas que deseja executar.</t>
  </si>
  <si>
    <t>2. Selecione N+1 colunas e as 7x(N+1) células abaixo (indicadas pelo quadro).</t>
  </si>
  <si>
    <t>3. Execute a macro "simular" ou pressione Ctrl+W para executar a simulação.</t>
  </si>
  <si>
    <t>Variância</t>
  </si>
  <si>
    <t>Distorção</t>
  </si>
  <si>
    <t>Curtose</t>
  </si>
  <si>
    <t>Notas:</t>
  </si>
  <si>
    <t>- Se o número de tentativas for negativo, a simulação é executada em modo de alta velocidade com janelas minimizadas.</t>
  </si>
  <si>
    <t>Insira um número negativo de simulações. Isso minimiza o Excel durante as simulações e evita atualizações das janelas.</t>
  </si>
  <si>
    <t>1. Coloque o número de simulações de Monte Carlo desejados ao lado de uma célula contendo uma fórmula de flutuação aleatória
2. Selecione as duas células, juntamente com algumas células abaixo
3. Pressione [Ctrl+W]</t>
  </si>
  <si>
    <r>
      <t xml:space="preserve">Coloque a célula que contém o número de caminhos em </t>
    </r>
    <r>
      <rPr>
        <b/>
        <sz val="10"/>
        <rFont val="Arial"/>
        <family val="2"/>
      </rPr>
      <t>negrito</t>
    </r>
    <r>
      <rPr>
        <sz val="10"/>
        <rFont val="Arial"/>
      </rPr>
      <t xml:space="preserve"> antes de iniciar a simulação.</t>
    </r>
  </si>
  <si>
    <t>- Se você selecionar menos de 7 linhas de células abaixo das fórmulas, obterá menos resultados.</t>
  </si>
  <si>
    <t>Exemplos:</t>
  </si>
  <si>
    <t xml:space="preserve">    Inverso da distribuição cumulativa normal padrão, com uma probabilidade aleatória</t>
  </si>
  <si>
    <t>a) Número aleatório entre 0 e 1 +</t>
  </si>
  <si>
    <t xml:space="preserve">   (uma nova pasta de trabalho será criada com histogramas).</t>
  </si>
  <si>
    <t>Definições:</t>
  </si>
  <si>
    <t xml:space="preserve">- Se o valor da curtose for = 0 (ou 3, pela segunda definição), então tem o mesmo achatamento que a distribuição normal. </t>
  </si>
  <si>
    <t>- Se o valor é &gt; 0 (ou &gt; 3), então a distribuição em questão é mais alta (afunilada) e concentrada que a distribuição normal.</t>
  </si>
  <si>
    <t xml:space="preserve">- Se o valor é &lt; 0 (ou &lt; 3), então a função de distribuição é mais "achatada" que a distribuição normal. </t>
  </si>
  <si>
    <t xml:space="preserve">- A distorção positiva indica uma distribuição com uma extremidade assimétrica se estendendo a valores mais positivos. </t>
  </si>
  <si>
    <t>- A distorção negativa indica uma distribuição com uma extremidade assimétrica que se estende a valores mais negativos.</t>
  </si>
  <si>
    <t>- O desvio-padrão demonstra a distância dos valores em relação à média, quanto mais próximo de 0 for o desvio-padrão, menos dispersos são os dados.</t>
  </si>
  <si>
    <r>
      <rPr>
        <b/>
        <sz val="10"/>
        <rFont val="Arial"/>
        <family val="2"/>
      </rPr>
      <t>Média</t>
    </r>
    <r>
      <rPr>
        <sz val="10"/>
        <rFont val="Arial"/>
        <family val="2"/>
      </rPr>
      <t xml:space="preserve"> é a soma de todos os resultados dividida pela quantidade de tentativas.</t>
    </r>
  </si>
  <si>
    <r>
      <rPr>
        <b/>
        <sz val="10"/>
        <rFont val="Arial"/>
        <family val="2"/>
      </rPr>
      <t>Mediana</t>
    </r>
    <r>
      <rPr>
        <sz val="10"/>
        <rFont val="Arial"/>
        <family val="2"/>
      </rPr>
      <t xml:space="preserve"> é o valor que ocupa a posição central dos valores quando organizamos os resultados em ordem.</t>
    </r>
  </si>
  <si>
    <r>
      <rPr>
        <b/>
        <sz val="10"/>
        <rFont val="Arial"/>
        <family val="2"/>
      </rPr>
      <t>Desvio-padrão</t>
    </r>
    <r>
      <rPr>
        <sz val="10"/>
        <rFont val="Arial"/>
        <family val="2"/>
      </rPr>
      <t xml:space="preserve"> é uma medida de dispersão, ou seja, uma medida que indica quão uniformes são os dados. </t>
    </r>
  </si>
  <si>
    <r>
      <rPr>
        <b/>
        <sz val="10"/>
        <rFont val="Arial"/>
        <family val="2"/>
      </rPr>
      <t>Distorção</t>
    </r>
    <r>
      <rPr>
        <sz val="10"/>
        <rFont val="Arial"/>
        <family val="2"/>
      </rPr>
      <t xml:space="preserve"> caracteriza o grau de assimetria de uma distribuição em torno de sua média. </t>
    </r>
  </si>
  <si>
    <r>
      <rPr>
        <b/>
        <sz val="10"/>
        <rFont val="Arial"/>
        <family val="2"/>
      </rPr>
      <t>Curtose</t>
    </r>
    <r>
      <rPr>
        <sz val="10"/>
        <rFont val="Arial"/>
        <family val="2"/>
      </rPr>
      <t xml:space="preserve"> é uma medida de forma que caracteriza o achatamento da curva da função de distribuição de probabilidade.</t>
    </r>
  </si>
  <si>
    <r>
      <t xml:space="preserve">- Se a célula com o número de tentativas estiver em </t>
    </r>
    <r>
      <rPr>
        <b/>
        <sz val="10"/>
        <color rgb="FF0070C0"/>
        <rFont val="Arial"/>
        <family val="2"/>
      </rPr>
      <t>negrito</t>
    </r>
    <r>
      <rPr>
        <sz val="10"/>
        <color rgb="FF0070C0"/>
        <rFont val="Arial"/>
        <family val="2"/>
      </rPr>
      <t>, histogramas serão criados ao final da execução da simulação.</t>
    </r>
  </si>
  <si>
    <t>Exemplo 1: Noções básicas</t>
  </si>
  <si>
    <t>Para simular isso no Excel, primeiro você precisa criar um número aleatório de 0-1 com RAND():</t>
  </si>
  <si>
    <t>Mas você também tem que pagar R$14 adiantado para participar. Você jogaria esse jogo?</t>
  </si>
  <si>
    <t>Número aleatório:</t>
  </si>
  <si>
    <t>(pressione F9 vária vezes para ver como esse número muda)</t>
  </si>
  <si>
    <t>A partir disso, vamos simular um dado usando uma função matemática:</t>
  </si>
  <si>
    <t>(novamente, pressione F9 para ver esse número mudar)</t>
  </si>
  <si>
    <t>Para jogar o jogo uma vez, determine o lucro do lançamento de dados e subtraia os custos:</t>
  </si>
  <si>
    <t>Custos:</t>
  </si>
  <si>
    <t>Lucro/perda de um jogo:</t>
  </si>
  <si>
    <t>F9: Calcula todas as planilhas em todas as pastas de trabalho abertas</t>
  </si>
  <si>
    <t>Ganho no jogo:</t>
  </si>
  <si>
    <t>Dado:</t>
  </si>
  <si>
    <t>Pressionar F9 repetidamente revela que às vezes você ganha, às vezes perde dinheiro.</t>
  </si>
  <si>
    <t>Se você repetir isso várias vezes e analisar os resultados, poderá determinar se deve jogar.</t>
  </si>
  <si>
    <t>A Simulação de Monte Carlo pode te ajudar nisso.</t>
  </si>
  <si>
    <t>(verifique com F9 se o resultado ainda muda)</t>
  </si>
  <si>
    <t>Basta colocar o resultado de uma jogada (aleatória) em qualquer célula e escolher o número de jogadas:</t>
  </si>
  <si>
    <t>tentativas</t>
  </si>
  <si>
    <t>Agora, selecione toda a área azul clara (2x2 células) e pressione Ctrl+W.</t>
  </si>
  <si>
    <t>A simulação vai executar o número de vezes (tentativas) escolhido e fornecer o resultado médio. Se for positivo, você deve jogar!</t>
  </si>
  <si>
    <t xml:space="preserve">    Selecione o intervalo do quadro abaixo; pressione Ctrl+W.</t>
  </si>
  <si>
    <t>b) Selecione o intervalo do quadro abaixo; pressione Ctrl+W</t>
  </si>
  <si>
    <t>As simulações de Monte Carlo são frequentemente usadas para calcular funções matemáticas onde não existe uma solução analítica rápida</t>
  </si>
  <si>
    <t>(por exemplo, algumas funções financeiras,ou integrais), ou observar o comportamento estatístico de sistemas complexos.</t>
  </si>
  <si>
    <t xml:space="preserve">Basicamente, em uma simulação de Monte Carlo você analisa uma função aleatória, muitas vezes para obter seu resultado médio (seu chamado "valor esperado"). </t>
  </si>
  <si>
    <t>Imagine o seguinte jogo: você joga um dado, e ganha R$1 se você joga 1, R$4 se 2, R$9 se 3, R$16 se 4, R$25 se 5 e R$36 se 6.</t>
  </si>
  <si>
    <t>Este tutorial explica como executar simulações de Monte Carlo no Excel.</t>
  </si>
  <si>
    <t>Para responder a essa pergunta, você determina o lucro/prejuízo esperado; uma maneira fácil fazer isso é simular o jogo várias vezes e tirar a média dos resultados individuais.</t>
  </si>
  <si>
    <t>Lucro</t>
  </si>
  <si>
    <t xml:space="preserve"> (erro)</t>
  </si>
  <si>
    <t>respondendo a questões como: "quais são os 10% dos resultados com os piores valores?"</t>
  </si>
  <si>
    <t>=&gt; 15+5*EXP(INV.NORM(ALEATÓRIO();0;1))</t>
  </si>
  <si>
    <t>=&gt; 20+ALEATÓRIO()*10</t>
  </si>
  <si>
    <t>A duração (esforço) total do projeto é a soma das durações das atividades (Duração Total = Dur A + Dur B).</t>
  </si>
  <si>
    <t>Atividade A, entre 20 e 30 dias:</t>
  </si>
  <si>
    <t>Atividade B, usualmente 15 dias, mas as vezes dura mais:</t>
  </si>
  <si>
    <t>Em uma projeto com 2 atividades A e B, estimamos a duração de cada atividade.</t>
  </si>
  <si>
    <t>Poderíamos determinar a duração de cada atividade determinísticamente, por analogia. Por exemplo: A - 25 dias e B - 15 dias.</t>
  </si>
  <si>
    <t>Porém, é mais realístico pensar que cada atividade tem uma duração aleatória e a duração total é a soma destas durações aleatórias.</t>
  </si>
  <si>
    <t xml:space="preserve">A Simulação de Monte Carlo pode achar a duração total ESPERADA (probabilística) e também sua distribuição,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</si>
</sst>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0" fontId="2" fillId="0" borderId="0" xfId="0" applyFont="1"/>
    <xf numFmtId="0" fontId="3" fillId="0" borderId="0" xfId="0" applyFont="1" applyFill="1" applyBorder="1"/>
    <xf numFmtId="164" fontId="0" fillId="0" borderId="1" xfId="0" applyNumberFormat="1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5" xfId="0" applyFill="1" applyBorder="1"/>
    <xf numFmtId="0" fontId="0" fillId="0" borderId="0" xfId="0" quotePrefix="1"/>
    <xf numFmtId="0" fontId="3" fillId="0" borderId="0" xfId="0" applyFont="1"/>
    <xf numFmtId="164" fontId="0" fillId="2" borderId="0" xfId="0" applyNumberFormat="1" applyFill="1" applyBorder="1"/>
    <xf numFmtId="164" fontId="0" fillId="2" borderId="4" xfId="0" applyNumberFormat="1" applyFill="1" applyBorder="1"/>
    <xf numFmtId="164" fontId="0" fillId="2" borderId="8" xfId="0" applyNumberFormat="1" applyFill="1" applyBorder="1"/>
    <xf numFmtId="164" fontId="0" fillId="2" borderId="6" xfId="0" applyNumberFormat="1" applyFill="1" applyBorder="1"/>
    <xf numFmtId="0" fontId="0" fillId="0" borderId="7" xfId="0" applyBorder="1" applyAlignment="1">
      <alignment horizontal="left"/>
    </xf>
    <xf numFmtId="164" fontId="0" fillId="0" borderId="0" xfId="0" applyNumberFormat="1" applyBorder="1"/>
    <xf numFmtId="164" fontId="0" fillId="0" borderId="4" xfId="0" applyNumberFormat="1" applyBorder="1"/>
    <xf numFmtId="164" fontId="0" fillId="0" borderId="8" xfId="0" applyNumberFormat="1" applyBorder="1"/>
    <xf numFmtId="164" fontId="0" fillId="0" borderId="6" xfId="0" applyNumberFormat="1" applyBorder="1"/>
    <xf numFmtId="0" fontId="0" fillId="0" borderId="2" xfId="0" applyBorder="1"/>
    <xf numFmtId="0" fontId="3" fillId="0" borderId="7" xfId="0" applyFont="1" applyBorder="1" applyAlignment="1">
      <alignment horizontal="left"/>
    </xf>
    <xf numFmtId="0" fontId="4" fillId="0" borderId="0" xfId="1" applyAlignment="1" applyProtecti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2" xfId="0" applyFill="1" applyBorder="1"/>
    <xf numFmtId="0" fontId="0" fillId="0" borderId="0" xfId="0" applyBorder="1"/>
    <xf numFmtId="0" fontId="0" fillId="0" borderId="0" xfId="0" applyAlignment="1"/>
    <xf numFmtId="0" fontId="2" fillId="2" borderId="3" xfId="0" applyFont="1" applyFill="1" applyBorder="1"/>
    <xf numFmtId="0" fontId="2" fillId="2" borderId="5" xfId="0" applyFont="1" applyFill="1" applyBorder="1"/>
    <xf numFmtId="0" fontId="5" fillId="0" borderId="0" xfId="0" applyFont="1"/>
    <xf numFmtId="0" fontId="5" fillId="2" borderId="7" xfId="0" applyFont="1" applyFill="1" applyBorder="1" applyAlignment="1">
      <alignment horizontal="left"/>
    </xf>
    <xf numFmtId="164" fontId="5" fillId="2" borderId="1" xfId="0" applyNumberFormat="1" applyFont="1" applyFill="1" applyBorder="1"/>
    <xf numFmtId="164" fontId="5" fillId="2" borderId="2" xfId="0" applyNumberFormat="1" applyFont="1" applyFill="1" applyBorder="1"/>
    <xf numFmtId="0" fontId="2" fillId="0" borderId="0" xfId="0" quotePrefix="1" applyFont="1"/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wrapText="1"/>
    </xf>
    <xf numFmtId="0" fontId="5" fillId="0" borderId="0" xfId="0" quotePrefix="1" applyFont="1"/>
    <xf numFmtId="0" fontId="5" fillId="0" borderId="0" xfId="0" applyFont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6" fillId="2" borderId="4" xfId="0" applyFont="1" applyFill="1" applyBorder="1"/>
    <xf numFmtId="0" fontId="3" fillId="2" borderId="7" xfId="0" applyFont="1" applyFill="1" applyBorder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K52"/>
  <sheetViews>
    <sheetView showGridLines="0" showRowColHeaders="0" tabSelected="1" workbookViewId="0">
      <selection activeCell="B2" sqref="B2"/>
    </sheetView>
  </sheetViews>
  <sheetFormatPr defaultColWidth="14" defaultRowHeight="12.75" x14ac:dyDescent="0.35"/>
  <cols>
    <col min="1" max="1" width="4.73046875" customWidth="1"/>
    <col min="2" max="6" width="14" customWidth="1"/>
    <col min="7" max="7" width="8.59765625" style="31" customWidth="1"/>
    <col min="8" max="8" width="3.9296875" customWidth="1"/>
  </cols>
  <sheetData>
    <row r="2" spans="2:11" ht="13.15" x14ac:dyDescent="0.4">
      <c r="B2" s="11" t="s">
        <v>16</v>
      </c>
    </row>
    <row r="3" spans="2:11" x14ac:dyDescent="0.35">
      <c r="B3" t="s">
        <v>19</v>
      </c>
    </row>
    <row r="5" spans="2:11" ht="13.15" x14ac:dyDescent="0.4">
      <c r="B5" s="11" t="s">
        <v>20</v>
      </c>
    </row>
    <row r="6" spans="2:11" ht="43.5" customHeight="1" x14ac:dyDescent="0.35">
      <c r="B6" s="40" t="s">
        <v>34</v>
      </c>
      <c r="C6" s="41"/>
      <c r="D6" s="41"/>
      <c r="E6" s="41"/>
      <c r="F6" s="41"/>
      <c r="G6" s="41"/>
      <c r="H6" s="41"/>
      <c r="I6" s="41"/>
      <c r="J6" s="41"/>
      <c r="K6" s="32"/>
    </row>
    <row r="8" spans="2:11" ht="13.15" x14ac:dyDescent="0.4">
      <c r="B8" s="11" t="s">
        <v>17</v>
      </c>
    </row>
    <row r="9" spans="2:11" ht="13.15" x14ac:dyDescent="0.4">
      <c r="B9" s="1" t="s">
        <v>35</v>
      </c>
    </row>
    <row r="10" spans="2:11" x14ac:dyDescent="0.35">
      <c r="B10" s="23"/>
    </row>
    <row r="11" spans="2:11" ht="13.15" x14ac:dyDescent="0.4">
      <c r="B11" s="11" t="s">
        <v>18</v>
      </c>
    </row>
    <row r="12" spans="2:11" x14ac:dyDescent="0.35">
      <c r="B12" s="1" t="s">
        <v>33</v>
      </c>
    </row>
    <row r="14" spans="2:11" ht="13.15" x14ac:dyDescent="0.4">
      <c r="B14" s="2" t="s">
        <v>21</v>
      </c>
      <c r="I14" s="11" t="s">
        <v>37</v>
      </c>
    </row>
    <row r="16" spans="2:11" ht="12.75" customHeight="1" x14ac:dyDescent="0.35">
      <c r="B16" s="42" t="s">
        <v>24</v>
      </c>
      <c r="C16" s="42"/>
      <c r="D16" s="42"/>
      <c r="E16" s="42"/>
      <c r="F16" s="42"/>
      <c r="G16" s="42"/>
      <c r="I16" t="s">
        <v>39</v>
      </c>
    </row>
    <row r="17" spans="2:11" ht="12.75" customHeight="1" x14ac:dyDescent="0.35">
      <c r="B17" s="35" t="s">
        <v>25</v>
      </c>
      <c r="C17" s="35"/>
      <c r="D17" s="35"/>
      <c r="E17" s="35"/>
      <c r="F17" s="35"/>
      <c r="G17" s="44"/>
      <c r="I17" s="1" t="s">
        <v>38</v>
      </c>
    </row>
    <row r="18" spans="2:11" x14ac:dyDescent="0.35">
      <c r="B18" s="1" t="s">
        <v>26</v>
      </c>
      <c r="I18" s="1" t="s">
        <v>75</v>
      </c>
    </row>
    <row r="19" spans="2:11" ht="13.15" thickBot="1" x14ac:dyDescent="0.4">
      <c r="B19" s="1" t="s">
        <v>27</v>
      </c>
    </row>
    <row r="20" spans="2:11" ht="13.15" thickBot="1" x14ac:dyDescent="0.4">
      <c r="B20" s="1"/>
      <c r="I20" s="16">
        <v>100</v>
      </c>
      <c r="J20" s="3">
        <f ca="1">RAND()</f>
        <v>0.871214351160294</v>
      </c>
      <c r="K20" s="4">
        <f ca="1">NORMSINV(RAND())</f>
        <v>0.16729682331730342</v>
      </c>
    </row>
    <row r="21" spans="2:11" x14ac:dyDescent="0.35">
      <c r="C21" s="36">
        <v>1000</v>
      </c>
      <c r="D21" s="37">
        <f ca="1">RAND()</f>
        <v>0.5420480134204726</v>
      </c>
      <c r="E21" s="37">
        <f ca="1">EXP(10*RAND())</f>
        <v>125.94270225384925</v>
      </c>
      <c r="F21" s="38">
        <f ca="1">NORMSINV(RAND())</f>
        <v>0.14866375380875463</v>
      </c>
      <c r="I21" s="5"/>
      <c r="J21" s="17"/>
      <c r="K21" s="18"/>
    </row>
    <row r="22" spans="2:11" ht="13.15" thickBot="1" x14ac:dyDescent="0.4">
      <c r="C22" s="33" t="s">
        <v>8</v>
      </c>
      <c r="D22" s="12">
        <v>0.513560809111962</v>
      </c>
      <c r="E22" s="12">
        <v>2055.5791551253392</v>
      </c>
      <c r="F22" s="13">
        <v>4.935967711720507E-2</v>
      </c>
      <c r="I22" s="7"/>
      <c r="J22" s="19"/>
      <c r="K22" s="20"/>
    </row>
    <row r="23" spans="2:11" x14ac:dyDescent="0.35">
      <c r="C23" s="33" t="s">
        <v>9</v>
      </c>
      <c r="D23" s="12">
        <v>9.0628964748240576E-3</v>
      </c>
      <c r="E23" s="12">
        <v>136.45538780709322</v>
      </c>
      <c r="F23" s="13">
        <v>3.240929816262466E-2</v>
      </c>
    </row>
    <row r="24" spans="2:11" x14ac:dyDescent="0.35">
      <c r="C24" s="33" t="s">
        <v>10</v>
      </c>
      <c r="D24" s="12">
        <v>0.52769725025218828</v>
      </c>
      <c r="E24" s="12">
        <v>124.46540431176211</v>
      </c>
      <c r="F24" s="13">
        <v>4.4314854457487528E-2</v>
      </c>
      <c r="I24" s="1" t="s">
        <v>76</v>
      </c>
    </row>
    <row r="25" spans="2:11" ht="13.15" thickBot="1" x14ac:dyDescent="0.4">
      <c r="C25" s="33" t="s">
        <v>9</v>
      </c>
      <c r="D25" s="12">
        <v>0.28659395058754872</v>
      </c>
      <c r="E25" s="12">
        <v>4315.0982447198348</v>
      </c>
      <c r="F25" s="13">
        <v>1.0248719956140406</v>
      </c>
      <c r="I25" t="s">
        <v>40</v>
      </c>
    </row>
    <row r="26" spans="2:11" ht="13.15" x14ac:dyDescent="0.4">
      <c r="C26" s="33" t="s">
        <v>28</v>
      </c>
      <c r="D26" s="12">
        <v>8.213609251337832E-2</v>
      </c>
      <c r="E26" s="12">
        <v>18620072.861584201</v>
      </c>
      <c r="F26" s="13">
        <v>1.0503626073939061</v>
      </c>
      <c r="I26" s="22">
        <v>1000</v>
      </c>
      <c r="J26" s="21">
        <f ca="1">NORMSINV(RAND())</f>
        <v>-1.5279750790383051</v>
      </c>
    </row>
    <row r="27" spans="2:11" x14ac:dyDescent="0.35">
      <c r="C27" s="33" t="s">
        <v>29</v>
      </c>
      <c r="D27" s="12">
        <v>-8.7832024416787585E-2</v>
      </c>
      <c r="E27" s="12">
        <v>2.6904138851175126</v>
      </c>
      <c r="F27" s="13">
        <v>0.14982566170377246</v>
      </c>
      <c r="I27" s="5"/>
      <c r="J27" s="6"/>
    </row>
    <row r="28" spans="2:11" ht="13.15" thickBot="1" x14ac:dyDescent="0.4">
      <c r="C28" s="34" t="s">
        <v>30</v>
      </c>
      <c r="D28" s="14">
        <v>1.8209240953148387</v>
      </c>
      <c r="E28" s="14">
        <v>9.7282134514451997</v>
      </c>
      <c r="F28" s="15">
        <v>2.871197922657506</v>
      </c>
      <c r="I28" s="5"/>
      <c r="J28" s="6"/>
    </row>
    <row r="29" spans="2:11" ht="13.15" thickBot="1" x14ac:dyDescent="0.4">
      <c r="I29" s="7"/>
      <c r="J29" s="8"/>
    </row>
    <row r="31" spans="2:11" x14ac:dyDescent="0.35">
      <c r="B31" s="35" t="s">
        <v>31</v>
      </c>
    </row>
    <row r="32" spans="2:11" x14ac:dyDescent="0.35">
      <c r="B32" s="43" t="s">
        <v>32</v>
      </c>
    </row>
    <row r="33" spans="2:2" ht="13.15" x14ac:dyDescent="0.4">
      <c r="B33" s="43" t="s">
        <v>53</v>
      </c>
    </row>
    <row r="34" spans="2:2" x14ac:dyDescent="0.35">
      <c r="B34" s="43" t="s">
        <v>36</v>
      </c>
    </row>
    <row r="36" spans="2:2" ht="13.15" x14ac:dyDescent="0.4">
      <c r="B36" s="11" t="s">
        <v>41</v>
      </c>
    </row>
    <row r="37" spans="2:2" ht="13.15" x14ac:dyDescent="0.4">
      <c r="B37" s="11"/>
    </row>
    <row r="38" spans="2:2" ht="13.15" x14ac:dyDescent="0.4">
      <c r="B38" s="1" t="s">
        <v>48</v>
      </c>
    </row>
    <row r="39" spans="2:2" ht="13.15" x14ac:dyDescent="0.4">
      <c r="B39" s="11"/>
    </row>
    <row r="40" spans="2:2" ht="13.15" x14ac:dyDescent="0.4">
      <c r="B40" s="1" t="s">
        <v>49</v>
      </c>
    </row>
    <row r="42" spans="2:2" ht="13.15" x14ac:dyDescent="0.4">
      <c r="B42" s="1" t="s">
        <v>50</v>
      </c>
    </row>
    <row r="43" spans="2:2" x14ac:dyDescent="0.35">
      <c r="B43" s="39" t="s">
        <v>47</v>
      </c>
    </row>
    <row r="45" spans="2:2" ht="13.15" x14ac:dyDescent="0.4">
      <c r="B45" s="1" t="s">
        <v>51</v>
      </c>
    </row>
    <row r="46" spans="2:2" x14ac:dyDescent="0.35">
      <c r="B46" s="39" t="s">
        <v>45</v>
      </c>
    </row>
    <row r="47" spans="2:2" x14ac:dyDescent="0.35">
      <c r="B47" s="39" t="s">
        <v>46</v>
      </c>
    </row>
    <row r="49" spans="2:2" ht="13.15" x14ac:dyDescent="0.4">
      <c r="B49" s="1" t="s">
        <v>52</v>
      </c>
    </row>
    <row r="50" spans="2:2" x14ac:dyDescent="0.35">
      <c r="B50" s="39" t="s">
        <v>42</v>
      </c>
    </row>
    <row r="51" spans="2:2" x14ac:dyDescent="0.35">
      <c r="B51" s="39" t="s">
        <v>43</v>
      </c>
    </row>
    <row r="52" spans="2:2" x14ac:dyDescent="0.35">
      <c r="B52" s="39" t="s">
        <v>44</v>
      </c>
    </row>
  </sheetData>
  <mergeCells count="2">
    <mergeCell ref="B6:J6"/>
    <mergeCell ref="B16:G16"/>
  </mergeCells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F43"/>
  <sheetViews>
    <sheetView showGridLines="0" showRowColHeaders="0" workbookViewId="0">
      <selection activeCell="B2" sqref="B2"/>
    </sheetView>
  </sheetViews>
  <sheetFormatPr defaultColWidth="11.3984375" defaultRowHeight="12.75" x14ac:dyDescent="0.35"/>
  <cols>
    <col min="1" max="1" width="4.796875" customWidth="1"/>
  </cols>
  <sheetData>
    <row r="2" spans="2:2" x14ac:dyDescent="0.35">
      <c r="B2" s="1" t="s">
        <v>81</v>
      </c>
    </row>
    <row r="4" spans="2:2" x14ac:dyDescent="0.35">
      <c r="B4" s="1" t="s">
        <v>77</v>
      </c>
    </row>
    <row r="5" spans="2:2" x14ac:dyDescent="0.35">
      <c r="B5" s="1" t="s">
        <v>78</v>
      </c>
    </row>
    <row r="7" spans="2:2" ht="13.15" x14ac:dyDescent="0.4">
      <c r="B7" s="11" t="s">
        <v>54</v>
      </c>
    </row>
    <row r="9" spans="2:2" x14ac:dyDescent="0.35">
      <c r="B9" s="1" t="s">
        <v>79</v>
      </c>
    </row>
    <row r="10" spans="2:2" x14ac:dyDescent="0.35">
      <c r="B10" s="1"/>
    </row>
    <row r="11" spans="2:2" x14ac:dyDescent="0.35">
      <c r="B11" s="1" t="s">
        <v>80</v>
      </c>
    </row>
    <row r="12" spans="2:2" x14ac:dyDescent="0.35">
      <c r="B12" s="1" t="s">
        <v>56</v>
      </c>
    </row>
    <row r="14" spans="2:2" x14ac:dyDescent="0.35">
      <c r="B14" s="1" t="s">
        <v>82</v>
      </c>
    </row>
    <row r="16" spans="2:2" x14ac:dyDescent="0.35">
      <c r="B16" t="s">
        <v>55</v>
      </c>
    </row>
    <row r="17" spans="2:6" ht="13.15" thickBot="1" x14ac:dyDescent="0.4"/>
    <row r="18" spans="2:6" ht="13.15" thickBot="1" x14ac:dyDescent="0.4">
      <c r="B18" s="1" t="s">
        <v>57</v>
      </c>
      <c r="D18" s="24">
        <f ca="1">RAND()</f>
        <v>0.7513051785039081</v>
      </c>
      <c r="F18" s="1" t="s">
        <v>58</v>
      </c>
    </row>
    <row r="19" spans="2:6" x14ac:dyDescent="0.35">
      <c r="B19" s="1"/>
      <c r="D19" s="31"/>
      <c r="F19" s="1" t="s">
        <v>64</v>
      </c>
    </row>
    <row r="21" spans="2:6" x14ac:dyDescent="0.35">
      <c r="B21" s="1" t="s">
        <v>59</v>
      </c>
    </row>
    <row r="22" spans="2:6" ht="13.15" thickBot="1" x14ac:dyDescent="0.4"/>
    <row r="23" spans="2:6" ht="13.15" thickBot="1" x14ac:dyDescent="0.4">
      <c r="B23" s="1" t="s">
        <v>66</v>
      </c>
      <c r="D23" s="24">
        <f ca="1">ROUNDDOWN(D18*6,0)+1</f>
        <v>5</v>
      </c>
      <c r="F23" s="1" t="s">
        <v>60</v>
      </c>
    </row>
    <row r="25" spans="2:6" x14ac:dyDescent="0.35">
      <c r="B25" s="1" t="s">
        <v>61</v>
      </c>
    </row>
    <row r="26" spans="2:6" ht="13.15" thickBot="1" x14ac:dyDescent="0.4"/>
    <row r="27" spans="2:6" x14ac:dyDescent="0.35">
      <c r="B27" s="1" t="s">
        <v>65</v>
      </c>
      <c r="D27" s="25">
        <f ca="1">D23^2</f>
        <v>25</v>
      </c>
    </row>
    <row r="28" spans="2:6" ht="13.15" thickBot="1" x14ac:dyDescent="0.4">
      <c r="B28" s="1" t="s">
        <v>62</v>
      </c>
      <c r="D28" s="26">
        <v>14</v>
      </c>
    </row>
    <row r="29" spans="2:6" ht="13.15" thickBot="1" x14ac:dyDescent="0.4"/>
    <row r="30" spans="2:6" ht="13.15" thickBot="1" x14ac:dyDescent="0.4">
      <c r="B30" t="s">
        <v>63</v>
      </c>
      <c r="D30" s="24">
        <f ca="1">D27-D28</f>
        <v>11</v>
      </c>
    </row>
    <row r="32" spans="2:6" x14ac:dyDescent="0.35">
      <c r="B32" t="s">
        <v>67</v>
      </c>
    </row>
    <row r="33" spans="2:6" x14ac:dyDescent="0.35">
      <c r="B33" t="s">
        <v>68</v>
      </c>
    </row>
    <row r="35" spans="2:6" x14ac:dyDescent="0.35">
      <c r="B35" s="1" t="s">
        <v>69</v>
      </c>
    </row>
    <row r="36" spans="2:6" x14ac:dyDescent="0.35">
      <c r="B36" s="1" t="s">
        <v>71</v>
      </c>
    </row>
    <row r="38" spans="2:6" ht="13.15" thickBot="1" x14ac:dyDescent="0.4">
      <c r="C38" s="45" t="s">
        <v>72</v>
      </c>
      <c r="D38" s="46" t="s">
        <v>83</v>
      </c>
    </row>
    <row r="39" spans="2:6" x14ac:dyDescent="0.35">
      <c r="C39" s="29">
        <v>1000</v>
      </c>
      <c r="D39" s="30">
        <f ca="1">D30</f>
        <v>11</v>
      </c>
      <c r="F39" s="1" t="s">
        <v>70</v>
      </c>
    </row>
    <row r="40" spans="2:6" ht="13.15" thickBot="1" x14ac:dyDescent="0.4">
      <c r="C40" s="9"/>
      <c r="D40" s="28"/>
    </row>
    <row r="42" spans="2:6" x14ac:dyDescent="0.35">
      <c r="B42" t="s">
        <v>73</v>
      </c>
    </row>
    <row r="43" spans="2:6" x14ac:dyDescent="0.35">
      <c r="B43" s="1" t="s">
        <v>74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"/>
  <sheetViews>
    <sheetView workbookViewId="0"/>
  </sheetViews>
  <sheetFormatPr defaultRowHeight="12.75" x14ac:dyDescent="0.3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K32"/>
  <sheetViews>
    <sheetView showGridLines="0" workbookViewId="0">
      <selection activeCell="F18" sqref="F18:G23"/>
    </sheetView>
  </sheetViews>
  <sheetFormatPr defaultColWidth="11.3984375" defaultRowHeight="12.75" x14ac:dyDescent="0.35"/>
  <cols>
    <col min="1" max="1" width="5.53125" customWidth="1"/>
    <col min="2" max="5" width="11.3984375" customWidth="1"/>
    <col min="6" max="6" width="17.265625" customWidth="1"/>
    <col min="8" max="8" width="7.3984375" customWidth="1"/>
    <col min="10" max="10" width="1.86328125" customWidth="1"/>
  </cols>
  <sheetData>
    <row r="2" spans="2:8" ht="13.15" x14ac:dyDescent="0.4">
      <c r="B2" s="11" t="s">
        <v>7</v>
      </c>
    </row>
    <row r="4" spans="2:8" x14ac:dyDescent="0.35">
      <c r="B4" s="1" t="s">
        <v>91</v>
      </c>
    </row>
    <row r="5" spans="2:8" x14ac:dyDescent="0.35">
      <c r="B5" s="1" t="s">
        <v>88</v>
      </c>
    </row>
    <row r="7" spans="2:8" x14ac:dyDescent="0.35">
      <c r="B7" s="1" t="s">
        <v>92</v>
      </c>
    </row>
    <row r="8" spans="2:8" x14ac:dyDescent="0.35">
      <c r="B8" s="1" t="s">
        <v>93</v>
      </c>
    </row>
    <row r="10" spans="2:8" x14ac:dyDescent="0.35">
      <c r="B10" s="1" t="s">
        <v>94</v>
      </c>
    </row>
    <row r="11" spans="2:8" x14ac:dyDescent="0.35">
      <c r="B11" s="1" t="s">
        <v>85</v>
      </c>
    </row>
    <row r="13" spans="2:8" x14ac:dyDescent="0.35">
      <c r="B13" t="s">
        <v>6</v>
      </c>
    </row>
    <row r="14" spans="2:8" ht="13.15" thickBot="1" x14ac:dyDescent="0.4"/>
    <row r="15" spans="2:8" ht="13.15" thickBot="1" x14ac:dyDescent="0.4">
      <c r="B15" s="1" t="s">
        <v>89</v>
      </c>
      <c r="G15" s="24">
        <f ca="1">20+RAND()*10</f>
        <v>27.806556043398388</v>
      </c>
      <c r="H15" s="39" t="s">
        <v>87</v>
      </c>
    </row>
    <row r="16" spans="2:8" ht="13.15" thickBot="1" x14ac:dyDescent="0.4">
      <c r="B16" s="1" t="s">
        <v>90</v>
      </c>
      <c r="G16" s="26">
        <f ca="1">15+5*EXP(NORMINV(RAND(),0,1))</f>
        <v>34.349630020105053</v>
      </c>
      <c r="H16" s="39" t="s">
        <v>86</v>
      </c>
    </row>
    <row r="17" spans="2:11" ht="13.15" thickBot="1" x14ac:dyDescent="0.4"/>
    <row r="18" spans="2:11" ht="13.15" x14ac:dyDescent="0.4">
      <c r="B18" s="35" t="s">
        <v>0</v>
      </c>
      <c r="E18" t="s">
        <v>14</v>
      </c>
      <c r="F18" s="48">
        <v>1000</v>
      </c>
      <c r="G18" s="30">
        <f ca="1">G15+G16</f>
        <v>62.156186063503441</v>
      </c>
    </row>
    <row r="19" spans="2:11" ht="13.15" x14ac:dyDescent="0.4">
      <c r="F19" s="33" t="s">
        <v>8</v>
      </c>
      <c r="G19" s="47">
        <v>48.342901616912407</v>
      </c>
    </row>
    <row r="20" spans="2:11" x14ac:dyDescent="0.35">
      <c r="F20" s="33" t="s">
        <v>9</v>
      </c>
      <c r="G20" s="27">
        <v>0.341456825141845</v>
      </c>
      <c r="H20" s="1" t="s">
        <v>84</v>
      </c>
    </row>
    <row r="21" spans="2:11" x14ac:dyDescent="0.35">
      <c r="F21" s="33" t="s">
        <v>10</v>
      </c>
      <c r="G21" s="27">
        <v>45.683224143981064</v>
      </c>
    </row>
    <row r="22" spans="2:11" x14ac:dyDescent="0.35">
      <c r="F22" s="33" t="s">
        <v>9</v>
      </c>
      <c r="G22" s="27">
        <v>10.797812900580769</v>
      </c>
    </row>
    <row r="23" spans="2:11" ht="13.15" thickBot="1" x14ac:dyDescent="0.4">
      <c r="F23" s="34" t="s">
        <v>28</v>
      </c>
      <c r="G23" s="28">
        <v>116.59276343594848</v>
      </c>
    </row>
    <row r="25" spans="2:11" ht="13.15" x14ac:dyDescent="0.4">
      <c r="B25" s="11" t="s">
        <v>1</v>
      </c>
    </row>
    <row r="27" spans="2:11" x14ac:dyDescent="0.35">
      <c r="B27" t="s">
        <v>2</v>
      </c>
      <c r="G27" s="35">
        <f>G19</f>
        <v>48.342901616912407</v>
      </c>
    </row>
    <row r="29" spans="2:11" x14ac:dyDescent="0.35">
      <c r="B29" t="s">
        <v>11</v>
      </c>
      <c r="G29">
        <f>1.96*G22</f>
        <v>21.163713285138307</v>
      </c>
      <c r="H29" s="10" t="s">
        <v>12</v>
      </c>
    </row>
    <row r="31" spans="2:11" x14ac:dyDescent="0.35">
      <c r="B31" t="s">
        <v>13</v>
      </c>
      <c r="G31">
        <f>G27</f>
        <v>48.342901616912407</v>
      </c>
      <c r="H31" t="s">
        <v>4</v>
      </c>
      <c r="I31">
        <f>G29</f>
        <v>21.163713285138307</v>
      </c>
      <c r="J31" s="10" t="s">
        <v>15</v>
      </c>
      <c r="K31">
        <f>G31+I31</f>
        <v>69.506614902050714</v>
      </c>
    </row>
    <row r="32" spans="2:11" x14ac:dyDescent="0.35">
      <c r="F32" t="s">
        <v>3</v>
      </c>
      <c r="G32">
        <f>G31</f>
        <v>48.342901616912407</v>
      </c>
      <c r="H32" t="s">
        <v>5</v>
      </c>
      <c r="I32">
        <f>I31</f>
        <v>21.163713285138307</v>
      </c>
      <c r="J32" s="10" t="s">
        <v>15</v>
      </c>
      <c r="K32">
        <f>G32-I32</f>
        <v>27.1791883317741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B2:B4"/>
  <sheetViews>
    <sheetView showGridLines="0" showRowColHeaders="0" workbookViewId="0">
      <selection activeCell="F28" sqref="F28"/>
    </sheetView>
  </sheetViews>
  <sheetFormatPr defaultRowHeight="12.75" x14ac:dyDescent="0.35"/>
  <cols>
    <col min="1" max="1" width="4.3984375" customWidth="1"/>
  </cols>
  <sheetData>
    <row r="2" spans="2:2" x14ac:dyDescent="0.35">
      <c r="B2" s="1" t="s">
        <v>22</v>
      </c>
    </row>
    <row r="3" spans="2:2" x14ac:dyDescent="0.35">
      <c r="B3" s="1"/>
    </row>
    <row r="4" spans="2:2" x14ac:dyDescent="0.35">
      <c r="B4" s="1" t="s">
        <v>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Tutorial 1 - Basico</vt:lpstr>
      <vt:lpstr>Tutorial 2 - Projetos</vt:lpstr>
      <vt:lpstr>Sobre</vt:lpstr>
    </vt:vector>
  </TitlesOfParts>
  <Company>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mas</cp:lastModifiedBy>
  <dcterms:created xsi:type="dcterms:W3CDTF">2004-12-24T15:58:10Z</dcterms:created>
  <dcterms:modified xsi:type="dcterms:W3CDTF">2023-05-29T17:34:48Z</dcterms:modified>
</cp:coreProperties>
</file>