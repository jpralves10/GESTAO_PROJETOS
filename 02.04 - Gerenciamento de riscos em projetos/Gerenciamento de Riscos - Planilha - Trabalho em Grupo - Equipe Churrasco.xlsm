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torres\Documents\Particular\Unimed\Pós-Graduação\DISCIPLINAS\MODULO 10 - Gerenciamento de Risco em Projetos\"/>
    </mc:Choice>
  </mc:AlternateContent>
  <xr:revisionPtr revIDLastSave="0" documentId="13_ncr:1_{589FF269-0272-4E14-A330-765B5D0AA7A5}" xr6:coauthVersionLast="47" xr6:coauthVersionMax="47" xr10:uidLastSave="{00000000-0000-0000-0000-000000000000}"/>
  <bookViews>
    <workbookView xWindow="28680" yWindow="-120" windowWidth="20730" windowHeight="11040" tabRatio="903" xr2:uid="{00000000-000D-0000-FFFF-FFFF00000000}"/>
  </bookViews>
  <sheets>
    <sheet name="Abertura" sheetId="9" r:id="rId1"/>
    <sheet name="Escalas" sheetId="16" r:id="rId2"/>
    <sheet name="Ameacas-Pré" sheetId="1" r:id="rId3"/>
    <sheet name="Oport-Pré" sheetId="6" r:id="rId4"/>
    <sheet name="VME-Pré" sheetId="7" r:id="rId5"/>
    <sheet name="Resposta-Ameacas" sheetId="3" r:id="rId6"/>
    <sheet name="Resposta-Oport" sheetId="15" r:id="rId7"/>
    <sheet name="VME" sheetId="10" r:id="rId8"/>
    <sheet name="Ameacas" sheetId="12" r:id="rId9"/>
    <sheet name="Oportunidades" sheetId="11" r:id="rId10"/>
    <sheet name="ControleAmeaças" sheetId="13" r:id="rId11"/>
    <sheet name="ControleOport" sheetId="17" r:id="rId12"/>
  </sheets>
  <definedNames>
    <definedName name="_xlnm._FilterDatabase" localSheetId="2" hidden="1">'Ameacas-Pré'!$A$6:$Q$7</definedName>
    <definedName name="AmeaPreVE">'Ameacas-Pré'!$P$8:$P$207</definedName>
    <definedName name="OportPreVE">'Oport-Pré'!$P$8:$P$207</definedName>
    <definedName name="Qualitativo">'Ameacas-Pré'!$K$214</definedName>
    <definedName name="SensAP">Ameacas!$J$3</definedName>
    <definedName name="Sensib" localSheetId="1">'Ameacas-Pré'!$Q$3</definedName>
    <definedName name="Sensib">'Ameacas-Pré'!$Q$3</definedName>
    <definedName name="SensibO" localSheetId="1">'Oport-Pré'!$Q$3</definedName>
    <definedName name="SensibO">'Oport-Pré'!$Q$3</definedName>
    <definedName name="SensOP">Oportunidades!$J$3</definedName>
  </definedNames>
  <calcPr calcId="191029"/>
</workbook>
</file>

<file path=xl/calcChain.xml><?xml version="1.0" encoding="utf-8"?>
<calcChain xmlns="http://schemas.openxmlformats.org/spreadsheetml/2006/main">
  <c r="J12" i="15" l="1"/>
  <c r="K19" i="3"/>
  <c r="K21" i="3"/>
  <c r="K20" i="3"/>
  <c r="K18" i="3"/>
  <c r="K17" i="3"/>
  <c r="K16" i="3"/>
  <c r="K15" i="3"/>
  <c r="K14" i="3"/>
  <c r="K12" i="3"/>
  <c r="K11" i="3"/>
  <c r="J19" i="3"/>
  <c r="K13" i="3"/>
  <c r="F10" i="12"/>
  <c r="D2" i="17"/>
  <c r="D3" i="17"/>
  <c r="H3" i="17"/>
  <c r="D4" i="17"/>
  <c r="M5" i="17"/>
  <c r="G9" i="17"/>
  <c r="I9" i="17"/>
  <c r="G10" i="17"/>
  <c r="I10" i="17"/>
  <c r="G11" i="17"/>
  <c r="I11" i="17"/>
  <c r="G12" i="17"/>
  <c r="I12" i="17"/>
  <c r="G13" i="17"/>
  <c r="I13" i="17"/>
  <c r="G14" i="17"/>
  <c r="I14" i="17"/>
  <c r="G15" i="17"/>
  <c r="I15" i="17"/>
  <c r="G16" i="17"/>
  <c r="I16" i="17"/>
  <c r="G17" i="17"/>
  <c r="I17" i="17"/>
  <c r="G18" i="17"/>
  <c r="I18" i="17"/>
  <c r="G19" i="17"/>
  <c r="I19" i="17"/>
  <c r="G20" i="17"/>
  <c r="I20" i="17"/>
  <c r="G21" i="17"/>
  <c r="I21" i="17"/>
  <c r="G22" i="17"/>
  <c r="I22" i="17"/>
  <c r="G23" i="17"/>
  <c r="I23" i="17"/>
  <c r="G24" i="17"/>
  <c r="I24" i="17"/>
  <c r="G25" i="17"/>
  <c r="I25" i="17"/>
  <c r="G26" i="17"/>
  <c r="I26" i="17"/>
  <c r="G27" i="17"/>
  <c r="I27" i="17"/>
  <c r="G28" i="17"/>
  <c r="I28" i="17"/>
  <c r="G29" i="17"/>
  <c r="I29" i="17"/>
  <c r="G30" i="17"/>
  <c r="I30" i="17"/>
  <c r="G31" i="17"/>
  <c r="I31" i="17"/>
  <c r="G32" i="17"/>
  <c r="I32" i="17"/>
  <c r="G33" i="17"/>
  <c r="I33" i="17"/>
  <c r="G34" i="17"/>
  <c r="I34" i="17"/>
  <c r="G35" i="17"/>
  <c r="I35" i="17"/>
  <c r="G36" i="17"/>
  <c r="I36" i="17"/>
  <c r="G37" i="17"/>
  <c r="I37" i="17"/>
  <c r="G38" i="17"/>
  <c r="I38" i="17"/>
  <c r="G39" i="17"/>
  <c r="I39" i="17"/>
  <c r="G40" i="17"/>
  <c r="I40" i="17"/>
  <c r="G41" i="17"/>
  <c r="I41" i="17"/>
  <c r="G42" i="17"/>
  <c r="I42" i="17"/>
  <c r="G43" i="17"/>
  <c r="I43" i="17"/>
  <c r="G44" i="17"/>
  <c r="I44" i="17"/>
  <c r="G45" i="17"/>
  <c r="I45" i="17"/>
  <c r="G46" i="17"/>
  <c r="I46" i="17"/>
  <c r="G47" i="17"/>
  <c r="I47" i="17"/>
  <c r="G48" i="17"/>
  <c r="I48" i="17"/>
  <c r="G49" i="17"/>
  <c r="I49" i="17"/>
  <c r="G50" i="17"/>
  <c r="I50" i="17"/>
  <c r="G51" i="17"/>
  <c r="I51" i="17"/>
  <c r="G52" i="17"/>
  <c r="I52" i="17"/>
  <c r="G53" i="17"/>
  <c r="I53" i="17"/>
  <c r="G54" i="17"/>
  <c r="I54" i="17"/>
  <c r="G55" i="17"/>
  <c r="I55" i="17"/>
  <c r="G56" i="17"/>
  <c r="I56" i="17"/>
  <c r="G57" i="17"/>
  <c r="I57" i="17"/>
  <c r="G58" i="17"/>
  <c r="I58" i="17"/>
  <c r="G59" i="17"/>
  <c r="I59" i="17"/>
  <c r="G60" i="17"/>
  <c r="I60" i="17"/>
  <c r="G61" i="17"/>
  <c r="I61" i="17"/>
  <c r="G62" i="17"/>
  <c r="I62" i="17"/>
  <c r="G63" i="17"/>
  <c r="I63" i="17"/>
  <c r="G64" i="17"/>
  <c r="I64" i="17"/>
  <c r="G65" i="17"/>
  <c r="I65" i="17"/>
  <c r="G66" i="17"/>
  <c r="I66" i="17"/>
  <c r="G67" i="17"/>
  <c r="I67" i="17"/>
  <c r="G68" i="17"/>
  <c r="I68" i="17"/>
  <c r="G69" i="17"/>
  <c r="I69" i="17"/>
  <c r="G70" i="17"/>
  <c r="I70" i="17"/>
  <c r="G71" i="17"/>
  <c r="I71" i="17"/>
  <c r="G72" i="17"/>
  <c r="I72" i="17"/>
  <c r="G73" i="17"/>
  <c r="I73" i="17"/>
  <c r="G74" i="17"/>
  <c r="I74" i="17"/>
  <c r="G75" i="17"/>
  <c r="I75" i="17"/>
  <c r="G76" i="17"/>
  <c r="I76" i="17"/>
  <c r="G77" i="17"/>
  <c r="I77" i="17"/>
  <c r="G78" i="17"/>
  <c r="I78" i="17"/>
  <c r="G79" i="17"/>
  <c r="I79" i="17"/>
  <c r="G80" i="17"/>
  <c r="I80" i="17"/>
  <c r="G81" i="17"/>
  <c r="I81" i="17"/>
  <c r="G82" i="17"/>
  <c r="I82" i="17"/>
  <c r="G83" i="17"/>
  <c r="I83" i="17"/>
  <c r="G84" i="17"/>
  <c r="I84" i="17"/>
  <c r="G85" i="17"/>
  <c r="I85" i="17"/>
  <c r="G86" i="17"/>
  <c r="I86" i="17"/>
  <c r="G87" i="17"/>
  <c r="I87" i="17"/>
  <c r="G88" i="17"/>
  <c r="I88" i="17"/>
  <c r="G89" i="17"/>
  <c r="I89" i="17"/>
  <c r="G90" i="17"/>
  <c r="I90" i="17"/>
  <c r="G91" i="17"/>
  <c r="I91" i="17"/>
  <c r="G92" i="17"/>
  <c r="I92" i="17"/>
  <c r="G93" i="17"/>
  <c r="I93" i="17"/>
  <c r="G94" i="17"/>
  <c r="I94" i="17"/>
  <c r="G95" i="17"/>
  <c r="I95" i="17"/>
  <c r="G96" i="17"/>
  <c r="I96" i="17"/>
  <c r="G97" i="17"/>
  <c r="I97" i="17"/>
  <c r="G98" i="17"/>
  <c r="I98" i="17"/>
  <c r="G99" i="17"/>
  <c r="I99" i="17"/>
  <c r="G100" i="17"/>
  <c r="I100" i="17"/>
  <c r="G101" i="17"/>
  <c r="I101" i="17"/>
  <c r="G102" i="17"/>
  <c r="I102" i="17"/>
  <c r="G103" i="17"/>
  <c r="I103" i="17"/>
  <c r="G104" i="17"/>
  <c r="I104" i="17"/>
  <c r="G105" i="17"/>
  <c r="I105" i="17"/>
  <c r="G106" i="17"/>
  <c r="I106" i="17"/>
  <c r="G107" i="17"/>
  <c r="I107" i="17"/>
  <c r="G108" i="17"/>
  <c r="I108" i="17"/>
  <c r="G109" i="17"/>
  <c r="I109" i="17"/>
  <c r="G110" i="17"/>
  <c r="I110" i="17"/>
  <c r="G111" i="17"/>
  <c r="I111" i="17"/>
  <c r="G112" i="17"/>
  <c r="I112" i="17"/>
  <c r="G113" i="17"/>
  <c r="I113" i="17"/>
  <c r="G114" i="17"/>
  <c r="I114" i="17"/>
  <c r="G115" i="17"/>
  <c r="I115" i="17"/>
  <c r="G116" i="17"/>
  <c r="I116" i="17"/>
  <c r="G117" i="17"/>
  <c r="I117" i="17"/>
  <c r="G118" i="17"/>
  <c r="I118" i="17"/>
  <c r="G119" i="17"/>
  <c r="I119" i="17"/>
  <c r="G120" i="17"/>
  <c r="I120" i="17"/>
  <c r="G121" i="17"/>
  <c r="I121" i="17"/>
  <c r="G122" i="17"/>
  <c r="I122" i="17"/>
  <c r="G123" i="17"/>
  <c r="I123" i="17"/>
  <c r="G124" i="17"/>
  <c r="I124" i="17"/>
  <c r="G125" i="17"/>
  <c r="I125" i="17"/>
  <c r="G126" i="17"/>
  <c r="I126" i="17"/>
  <c r="G127" i="17"/>
  <c r="I127" i="17"/>
  <c r="G128" i="17"/>
  <c r="I128" i="17"/>
  <c r="G129" i="17"/>
  <c r="I129" i="17"/>
  <c r="G130" i="17"/>
  <c r="I130" i="17"/>
  <c r="G131" i="17"/>
  <c r="I131" i="17"/>
  <c r="G132" i="17"/>
  <c r="I132" i="17"/>
  <c r="G133" i="17"/>
  <c r="I133" i="17"/>
  <c r="G134" i="17"/>
  <c r="I134" i="17"/>
  <c r="G135" i="17"/>
  <c r="I135" i="17"/>
  <c r="G136" i="17"/>
  <c r="I136" i="17"/>
  <c r="G137" i="17"/>
  <c r="I137" i="17"/>
  <c r="G138" i="17"/>
  <c r="I138" i="17"/>
  <c r="G139" i="17"/>
  <c r="I139" i="17"/>
  <c r="G140" i="17"/>
  <c r="I140" i="17"/>
  <c r="G141" i="17"/>
  <c r="I141" i="17"/>
  <c r="G142" i="17"/>
  <c r="I142" i="17"/>
  <c r="G143" i="17"/>
  <c r="I143" i="17"/>
  <c r="G144" i="17"/>
  <c r="I144" i="17"/>
  <c r="G145" i="17"/>
  <c r="I145" i="17"/>
  <c r="G146" i="17"/>
  <c r="I146" i="17"/>
  <c r="G147" i="17"/>
  <c r="I147" i="17"/>
  <c r="G148" i="17"/>
  <c r="I148" i="17"/>
  <c r="G149" i="17"/>
  <c r="I149" i="17"/>
  <c r="G150" i="17"/>
  <c r="I150" i="17"/>
  <c r="G151" i="17"/>
  <c r="I151" i="17"/>
  <c r="G152" i="17"/>
  <c r="I152" i="17"/>
  <c r="G153" i="17"/>
  <c r="I153" i="17"/>
  <c r="G154" i="17"/>
  <c r="I154" i="17"/>
  <c r="G155" i="17"/>
  <c r="I155" i="17"/>
  <c r="G156" i="17"/>
  <c r="I156" i="17"/>
  <c r="G157" i="17"/>
  <c r="I157" i="17"/>
  <c r="G158" i="17"/>
  <c r="I158" i="17"/>
  <c r="G159" i="17"/>
  <c r="I159" i="17"/>
  <c r="G160" i="17"/>
  <c r="I160" i="17"/>
  <c r="G161" i="17"/>
  <c r="I161" i="17"/>
  <c r="G162" i="17"/>
  <c r="I162" i="17"/>
  <c r="G163" i="17"/>
  <c r="I163" i="17"/>
  <c r="G164" i="17"/>
  <c r="I164" i="17"/>
  <c r="G165" i="17"/>
  <c r="I165" i="17"/>
  <c r="G166" i="17"/>
  <c r="I166" i="17"/>
  <c r="G167" i="17"/>
  <c r="I167" i="17"/>
  <c r="G168" i="17"/>
  <c r="I168" i="17"/>
  <c r="G169" i="17"/>
  <c r="I169" i="17"/>
  <c r="G170" i="17"/>
  <c r="I170" i="17"/>
  <c r="G171" i="17"/>
  <c r="I171" i="17"/>
  <c r="G172" i="17"/>
  <c r="I172" i="17"/>
  <c r="G173" i="17"/>
  <c r="I173" i="17"/>
  <c r="G174" i="17"/>
  <c r="I174" i="17"/>
  <c r="G175" i="17"/>
  <c r="I175" i="17"/>
  <c r="G176" i="17"/>
  <c r="I176" i="17"/>
  <c r="G177" i="17"/>
  <c r="I177" i="17"/>
  <c r="G178" i="17"/>
  <c r="I178" i="17"/>
  <c r="G179" i="17"/>
  <c r="I179" i="17"/>
  <c r="G180" i="17"/>
  <c r="I180" i="17"/>
  <c r="G181" i="17"/>
  <c r="I181" i="17"/>
  <c r="G182" i="17"/>
  <c r="I182" i="17"/>
  <c r="G183" i="17"/>
  <c r="I183" i="17"/>
  <c r="G184" i="17"/>
  <c r="I184" i="17"/>
  <c r="G185" i="17"/>
  <c r="I185" i="17"/>
  <c r="G186" i="17"/>
  <c r="I186" i="17"/>
  <c r="G187" i="17"/>
  <c r="I187" i="17"/>
  <c r="G188" i="17"/>
  <c r="I188" i="17"/>
  <c r="G189" i="17"/>
  <c r="I189" i="17"/>
  <c r="G190" i="17"/>
  <c r="I190" i="17"/>
  <c r="G191" i="17"/>
  <c r="I191" i="17"/>
  <c r="G192" i="17"/>
  <c r="I192" i="17"/>
  <c r="G193" i="17"/>
  <c r="I193" i="17"/>
  <c r="G194" i="17"/>
  <c r="I194" i="17"/>
  <c r="G195" i="17"/>
  <c r="I195" i="17"/>
  <c r="G196" i="17"/>
  <c r="I196" i="17"/>
  <c r="G197" i="17"/>
  <c r="I197" i="17"/>
  <c r="G198" i="17"/>
  <c r="I198" i="17"/>
  <c r="G199" i="17"/>
  <c r="I199" i="17"/>
  <c r="G200" i="17"/>
  <c r="I200" i="17"/>
  <c r="G201" i="17"/>
  <c r="I201" i="17"/>
  <c r="G202" i="17"/>
  <c r="I202" i="17"/>
  <c r="G203" i="17"/>
  <c r="I203" i="17"/>
  <c r="G204" i="17"/>
  <c r="I204" i="17"/>
  <c r="G205" i="17"/>
  <c r="I205" i="17"/>
  <c r="G206" i="17"/>
  <c r="I206" i="17"/>
  <c r="G207" i="17"/>
  <c r="I207" i="17"/>
  <c r="G208" i="17"/>
  <c r="I208" i="17"/>
  <c r="D2" i="13"/>
  <c r="D3" i="13"/>
  <c r="H3" i="13"/>
  <c r="D4" i="13"/>
  <c r="M5" i="13"/>
  <c r="G9" i="13"/>
  <c r="I9" i="13"/>
  <c r="G10" i="13"/>
  <c r="I10" i="13"/>
  <c r="G11" i="13"/>
  <c r="I11" i="13"/>
  <c r="G12" i="13"/>
  <c r="I12" i="13"/>
  <c r="G13" i="13"/>
  <c r="I13" i="13"/>
  <c r="G14" i="13"/>
  <c r="I14" i="13"/>
  <c r="G15" i="13"/>
  <c r="I15" i="13"/>
  <c r="G16" i="13"/>
  <c r="I16" i="13"/>
  <c r="G17" i="13"/>
  <c r="I17" i="13"/>
  <c r="G18" i="13"/>
  <c r="I18" i="13"/>
  <c r="G19" i="13"/>
  <c r="I19" i="13"/>
  <c r="G20" i="13"/>
  <c r="I20" i="13"/>
  <c r="G21" i="13"/>
  <c r="I21" i="13"/>
  <c r="G22" i="13"/>
  <c r="I22" i="13"/>
  <c r="G23" i="13"/>
  <c r="I23" i="13"/>
  <c r="G24" i="13"/>
  <c r="I24" i="13"/>
  <c r="G25" i="13"/>
  <c r="I25" i="13"/>
  <c r="G26" i="13"/>
  <c r="I26" i="13"/>
  <c r="G27" i="13"/>
  <c r="I27" i="13"/>
  <c r="G28" i="13"/>
  <c r="I28" i="13"/>
  <c r="G29" i="13"/>
  <c r="I29" i="13"/>
  <c r="G30" i="13"/>
  <c r="I30" i="13"/>
  <c r="G31" i="13"/>
  <c r="I31" i="13"/>
  <c r="G32" i="13"/>
  <c r="I32" i="13"/>
  <c r="G33" i="13"/>
  <c r="I33" i="13"/>
  <c r="G34" i="13"/>
  <c r="I34" i="13"/>
  <c r="G35" i="13"/>
  <c r="I35" i="13"/>
  <c r="G36" i="13"/>
  <c r="I36" i="13"/>
  <c r="G37" i="13"/>
  <c r="I37" i="13"/>
  <c r="G38" i="13"/>
  <c r="I38" i="13"/>
  <c r="G39" i="13"/>
  <c r="I39" i="13"/>
  <c r="G40" i="13"/>
  <c r="I40" i="13"/>
  <c r="G41" i="13"/>
  <c r="I41" i="13"/>
  <c r="G42" i="13"/>
  <c r="I42" i="13"/>
  <c r="G43" i="13"/>
  <c r="I43" i="13"/>
  <c r="G44" i="13"/>
  <c r="I44" i="13"/>
  <c r="G45" i="13"/>
  <c r="I45" i="13"/>
  <c r="G46" i="13"/>
  <c r="I46" i="13"/>
  <c r="G47" i="13"/>
  <c r="I47" i="13"/>
  <c r="G48" i="13"/>
  <c r="I48" i="13"/>
  <c r="G49" i="13"/>
  <c r="I49" i="13"/>
  <c r="G50" i="13"/>
  <c r="I50" i="13"/>
  <c r="G51" i="13"/>
  <c r="I51" i="13"/>
  <c r="G52" i="13"/>
  <c r="I52" i="13"/>
  <c r="G53" i="13"/>
  <c r="I53" i="13"/>
  <c r="G54" i="13"/>
  <c r="I54" i="13"/>
  <c r="G55" i="13"/>
  <c r="I55" i="13"/>
  <c r="G56" i="13"/>
  <c r="I56" i="13"/>
  <c r="G57" i="13"/>
  <c r="I57" i="13"/>
  <c r="G58" i="13"/>
  <c r="I58" i="13"/>
  <c r="G59" i="13"/>
  <c r="I59" i="13"/>
  <c r="G60" i="13"/>
  <c r="I60" i="13"/>
  <c r="G61" i="13"/>
  <c r="I61" i="13"/>
  <c r="G62" i="13"/>
  <c r="I62" i="13"/>
  <c r="G63" i="13"/>
  <c r="I63" i="13"/>
  <c r="G64" i="13"/>
  <c r="I64" i="13"/>
  <c r="G65" i="13"/>
  <c r="I65" i="13"/>
  <c r="G66" i="13"/>
  <c r="I66" i="13"/>
  <c r="G67" i="13"/>
  <c r="I67" i="13"/>
  <c r="G68" i="13"/>
  <c r="I68" i="13"/>
  <c r="G69" i="13"/>
  <c r="I69" i="13"/>
  <c r="G70" i="13"/>
  <c r="I70" i="13"/>
  <c r="G71" i="13"/>
  <c r="I71" i="13"/>
  <c r="G72" i="13"/>
  <c r="I72" i="13"/>
  <c r="G73" i="13"/>
  <c r="I73" i="13"/>
  <c r="G74" i="13"/>
  <c r="I74" i="13"/>
  <c r="G75" i="13"/>
  <c r="I75" i="13"/>
  <c r="G76" i="13"/>
  <c r="I76" i="13"/>
  <c r="G77" i="13"/>
  <c r="I77" i="13"/>
  <c r="G78" i="13"/>
  <c r="I78" i="13"/>
  <c r="G79" i="13"/>
  <c r="I79" i="13"/>
  <c r="G80" i="13"/>
  <c r="I80" i="13"/>
  <c r="G81" i="13"/>
  <c r="I81" i="13"/>
  <c r="G82" i="13"/>
  <c r="I82" i="13"/>
  <c r="G83" i="13"/>
  <c r="I83" i="13"/>
  <c r="G84" i="13"/>
  <c r="I84" i="13"/>
  <c r="G85" i="13"/>
  <c r="I85" i="13"/>
  <c r="G86" i="13"/>
  <c r="I86" i="13"/>
  <c r="G87" i="13"/>
  <c r="I87" i="13"/>
  <c r="G88" i="13"/>
  <c r="I88" i="13"/>
  <c r="G89" i="13"/>
  <c r="I89" i="13"/>
  <c r="G90" i="13"/>
  <c r="I90" i="13"/>
  <c r="G91" i="13"/>
  <c r="I91" i="13"/>
  <c r="G92" i="13"/>
  <c r="I92" i="13"/>
  <c r="G93" i="13"/>
  <c r="I93" i="13"/>
  <c r="G94" i="13"/>
  <c r="I94" i="13"/>
  <c r="G95" i="13"/>
  <c r="I95" i="13"/>
  <c r="G96" i="13"/>
  <c r="I96" i="13"/>
  <c r="G97" i="13"/>
  <c r="I97" i="13"/>
  <c r="G98" i="13"/>
  <c r="I98" i="13"/>
  <c r="G99" i="13"/>
  <c r="I99" i="13"/>
  <c r="G100" i="13"/>
  <c r="I100" i="13"/>
  <c r="G101" i="13"/>
  <c r="I101" i="13"/>
  <c r="G102" i="13"/>
  <c r="I102" i="13"/>
  <c r="G103" i="13"/>
  <c r="I103" i="13"/>
  <c r="G104" i="13"/>
  <c r="I104" i="13"/>
  <c r="G105" i="13"/>
  <c r="I105" i="13"/>
  <c r="G106" i="13"/>
  <c r="I106" i="13"/>
  <c r="G107" i="13"/>
  <c r="I107" i="13"/>
  <c r="G108" i="13"/>
  <c r="I108" i="13"/>
  <c r="G109" i="13"/>
  <c r="I109" i="13"/>
  <c r="G110" i="13"/>
  <c r="I110" i="13"/>
  <c r="G111" i="13"/>
  <c r="I111" i="13"/>
  <c r="G112" i="13"/>
  <c r="I112" i="13"/>
  <c r="G113" i="13"/>
  <c r="I113" i="13"/>
  <c r="G114" i="13"/>
  <c r="I114" i="13"/>
  <c r="G115" i="13"/>
  <c r="I115" i="13"/>
  <c r="G116" i="13"/>
  <c r="I116" i="13"/>
  <c r="G117" i="13"/>
  <c r="I117" i="13"/>
  <c r="G118" i="13"/>
  <c r="I118" i="13"/>
  <c r="G119" i="13"/>
  <c r="I119" i="13"/>
  <c r="G120" i="13"/>
  <c r="I120" i="13"/>
  <c r="G121" i="13"/>
  <c r="I121" i="13"/>
  <c r="G122" i="13"/>
  <c r="I122" i="13"/>
  <c r="G123" i="13"/>
  <c r="I123" i="13"/>
  <c r="G124" i="13"/>
  <c r="I124" i="13"/>
  <c r="G125" i="13"/>
  <c r="I125" i="13"/>
  <c r="G126" i="13"/>
  <c r="I126" i="13"/>
  <c r="G127" i="13"/>
  <c r="I127" i="13"/>
  <c r="G128" i="13"/>
  <c r="I128" i="13"/>
  <c r="G129" i="13"/>
  <c r="I129" i="13"/>
  <c r="G130" i="13"/>
  <c r="I130" i="13"/>
  <c r="G131" i="13"/>
  <c r="I131" i="13"/>
  <c r="G132" i="13"/>
  <c r="I132" i="13"/>
  <c r="G133" i="13"/>
  <c r="I133" i="13"/>
  <c r="G134" i="13"/>
  <c r="I134" i="13"/>
  <c r="G135" i="13"/>
  <c r="I135" i="13"/>
  <c r="G136" i="13"/>
  <c r="I136" i="13"/>
  <c r="G137" i="13"/>
  <c r="I137" i="13"/>
  <c r="G138" i="13"/>
  <c r="I138" i="13"/>
  <c r="G139" i="13"/>
  <c r="I139" i="13"/>
  <c r="G140" i="13"/>
  <c r="I140" i="13"/>
  <c r="G141" i="13"/>
  <c r="I141" i="13"/>
  <c r="G142" i="13"/>
  <c r="I142" i="13"/>
  <c r="G143" i="13"/>
  <c r="I143" i="13"/>
  <c r="G144" i="13"/>
  <c r="I144" i="13"/>
  <c r="G145" i="13"/>
  <c r="I145" i="13"/>
  <c r="G146" i="13"/>
  <c r="I146" i="13"/>
  <c r="G147" i="13"/>
  <c r="I147" i="13"/>
  <c r="G148" i="13"/>
  <c r="I148" i="13"/>
  <c r="G149" i="13"/>
  <c r="I149" i="13"/>
  <c r="G150" i="13"/>
  <c r="I150" i="13"/>
  <c r="G151" i="13"/>
  <c r="I151" i="13"/>
  <c r="G152" i="13"/>
  <c r="I152" i="13"/>
  <c r="G153" i="13"/>
  <c r="I153" i="13"/>
  <c r="G154" i="13"/>
  <c r="I154" i="13"/>
  <c r="G155" i="13"/>
  <c r="I155" i="13"/>
  <c r="G156" i="13"/>
  <c r="I156" i="13"/>
  <c r="G157" i="13"/>
  <c r="I157" i="13"/>
  <c r="G158" i="13"/>
  <c r="I158" i="13"/>
  <c r="G159" i="13"/>
  <c r="I159" i="13"/>
  <c r="G160" i="13"/>
  <c r="I160" i="13"/>
  <c r="G161" i="13"/>
  <c r="I161" i="13"/>
  <c r="G162" i="13"/>
  <c r="I162" i="13"/>
  <c r="G163" i="13"/>
  <c r="I163" i="13"/>
  <c r="G164" i="13"/>
  <c r="I164" i="13"/>
  <c r="G165" i="13"/>
  <c r="I165" i="13"/>
  <c r="G166" i="13"/>
  <c r="I166" i="13"/>
  <c r="G167" i="13"/>
  <c r="I167" i="13"/>
  <c r="G168" i="13"/>
  <c r="I168" i="13"/>
  <c r="G169" i="13"/>
  <c r="I169" i="13"/>
  <c r="G170" i="13"/>
  <c r="I170" i="13"/>
  <c r="G171" i="13"/>
  <c r="I171" i="13"/>
  <c r="G172" i="13"/>
  <c r="I172" i="13"/>
  <c r="G173" i="13"/>
  <c r="I173" i="13"/>
  <c r="G174" i="13"/>
  <c r="I174" i="13"/>
  <c r="G175" i="13"/>
  <c r="I175" i="13"/>
  <c r="G176" i="13"/>
  <c r="I176" i="13"/>
  <c r="G177" i="13"/>
  <c r="I177" i="13"/>
  <c r="G178" i="13"/>
  <c r="I178" i="13"/>
  <c r="G179" i="13"/>
  <c r="I179" i="13"/>
  <c r="G180" i="13"/>
  <c r="I180" i="13"/>
  <c r="G181" i="13"/>
  <c r="I181" i="13"/>
  <c r="G182" i="13"/>
  <c r="I182" i="13"/>
  <c r="G183" i="13"/>
  <c r="I183" i="13"/>
  <c r="G184" i="13"/>
  <c r="I184" i="13"/>
  <c r="G185" i="13"/>
  <c r="I185" i="13"/>
  <c r="G186" i="13"/>
  <c r="I186" i="13"/>
  <c r="G187" i="13"/>
  <c r="I187" i="13"/>
  <c r="G188" i="13"/>
  <c r="I188" i="13"/>
  <c r="G189" i="13"/>
  <c r="I189" i="13"/>
  <c r="G190" i="13"/>
  <c r="I190" i="13"/>
  <c r="G191" i="13"/>
  <c r="I191" i="13"/>
  <c r="G192" i="13"/>
  <c r="I192" i="13"/>
  <c r="G193" i="13"/>
  <c r="I193" i="13"/>
  <c r="G194" i="13"/>
  <c r="I194" i="13"/>
  <c r="G195" i="13"/>
  <c r="I195" i="13"/>
  <c r="G196" i="13"/>
  <c r="I196" i="13"/>
  <c r="G197" i="13"/>
  <c r="I197" i="13"/>
  <c r="G198" i="13"/>
  <c r="I198" i="13"/>
  <c r="G199" i="13"/>
  <c r="I199" i="13"/>
  <c r="G200" i="13"/>
  <c r="I200" i="13"/>
  <c r="G201" i="13"/>
  <c r="I201" i="13"/>
  <c r="G202" i="13"/>
  <c r="I202" i="13"/>
  <c r="G203" i="13"/>
  <c r="I203" i="13"/>
  <c r="G204" i="13"/>
  <c r="I204" i="13"/>
  <c r="G205" i="13"/>
  <c r="I205" i="13"/>
  <c r="G206" i="13"/>
  <c r="I206" i="13"/>
  <c r="G207" i="13"/>
  <c r="I207" i="13"/>
  <c r="G208" i="13"/>
  <c r="I208" i="13"/>
  <c r="D2" i="11"/>
  <c r="I2" i="11"/>
  <c r="D3" i="11"/>
  <c r="D4" i="11"/>
  <c r="A9" i="11"/>
  <c r="A9" i="17" s="1"/>
  <c r="B9" i="11"/>
  <c r="B9" i="17" s="1"/>
  <c r="C9" i="11"/>
  <c r="C9" i="17" s="1"/>
  <c r="D9" i="11"/>
  <c r="D9" i="17" s="1"/>
  <c r="A10" i="11"/>
  <c r="A10" i="17" s="1"/>
  <c r="B10" i="11"/>
  <c r="B10" i="17" s="1"/>
  <c r="C10" i="11"/>
  <c r="C10" i="17" s="1"/>
  <c r="D10" i="11"/>
  <c r="D10" i="17" s="1"/>
  <c r="A11" i="11"/>
  <c r="A11" i="17" s="1"/>
  <c r="B11" i="11"/>
  <c r="B11" i="17" s="1"/>
  <c r="C11" i="11"/>
  <c r="C11" i="17" s="1"/>
  <c r="D11" i="11"/>
  <c r="D11" i="17" s="1"/>
  <c r="A12" i="11"/>
  <c r="A12" i="17" s="1"/>
  <c r="B12" i="11"/>
  <c r="B12" i="17" s="1"/>
  <c r="C12" i="11"/>
  <c r="C12" i="17" s="1"/>
  <c r="D12" i="11"/>
  <c r="D12" i="17" s="1"/>
  <c r="A13" i="11"/>
  <c r="A13" i="17" s="1"/>
  <c r="B13" i="11"/>
  <c r="B13" i="17" s="1"/>
  <c r="C13" i="11"/>
  <c r="C13" i="17" s="1"/>
  <c r="D13" i="11"/>
  <c r="D13" i="17" s="1"/>
  <c r="A14" i="11"/>
  <c r="A14" i="17" s="1"/>
  <c r="B14" i="11"/>
  <c r="B14" i="17" s="1"/>
  <c r="C14" i="11"/>
  <c r="C14" i="17" s="1"/>
  <c r="D14" i="11"/>
  <c r="D14" i="17" s="1"/>
  <c r="A15" i="11"/>
  <c r="A15" i="17" s="1"/>
  <c r="B15" i="11"/>
  <c r="B15" i="17" s="1"/>
  <c r="C15" i="11"/>
  <c r="C15" i="17" s="1"/>
  <c r="D15" i="11"/>
  <c r="D15" i="17" s="1"/>
  <c r="A16" i="11"/>
  <c r="A16" i="17" s="1"/>
  <c r="B16" i="11"/>
  <c r="B16" i="17" s="1"/>
  <c r="C16" i="11"/>
  <c r="C16" i="17" s="1"/>
  <c r="D16" i="11"/>
  <c r="D16" i="17" s="1"/>
  <c r="A17" i="11"/>
  <c r="A17" i="17" s="1"/>
  <c r="B17" i="11"/>
  <c r="B17" i="17" s="1"/>
  <c r="C17" i="11"/>
  <c r="C17" i="17" s="1"/>
  <c r="D17" i="11"/>
  <c r="D17" i="17" s="1"/>
  <c r="A18" i="11"/>
  <c r="A18" i="17" s="1"/>
  <c r="B18" i="11"/>
  <c r="B18" i="17" s="1"/>
  <c r="C18" i="11"/>
  <c r="C18" i="17" s="1"/>
  <c r="D18" i="11"/>
  <c r="D18" i="17" s="1"/>
  <c r="A19" i="11"/>
  <c r="A19" i="17" s="1"/>
  <c r="B19" i="11"/>
  <c r="B19" i="17" s="1"/>
  <c r="C19" i="11"/>
  <c r="C19" i="17" s="1"/>
  <c r="D19" i="11"/>
  <c r="D19" i="17" s="1"/>
  <c r="A20" i="11"/>
  <c r="A20" i="17" s="1"/>
  <c r="B20" i="11"/>
  <c r="B20" i="17" s="1"/>
  <c r="C20" i="11"/>
  <c r="C20" i="17" s="1"/>
  <c r="D20" i="11"/>
  <c r="D20" i="17" s="1"/>
  <c r="A21" i="11"/>
  <c r="A21" i="17" s="1"/>
  <c r="B21" i="11"/>
  <c r="B21" i="17" s="1"/>
  <c r="C21" i="11"/>
  <c r="C21" i="17" s="1"/>
  <c r="D21" i="11"/>
  <c r="D21" i="17" s="1"/>
  <c r="A22" i="11"/>
  <c r="A22" i="17" s="1"/>
  <c r="B22" i="11"/>
  <c r="B22" i="17" s="1"/>
  <c r="C22" i="11"/>
  <c r="C22" i="17" s="1"/>
  <c r="D22" i="11"/>
  <c r="D22" i="17" s="1"/>
  <c r="A23" i="11"/>
  <c r="A23" i="17" s="1"/>
  <c r="B23" i="11"/>
  <c r="B23" i="17" s="1"/>
  <c r="C23" i="11"/>
  <c r="C23" i="17" s="1"/>
  <c r="D23" i="11"/>
  <c r="D23" i="17" s="1"/>
  <c r="A24" i="11"/>
  <c r="A24" i="17" s="1"/>
  <c r="B24" i="11"/>
  <c r="B24" i="17" s="1"/>
  <c r="C24" i="11"/>
  <c r="C24" i="17" s="1"/>
  <c r="D24" i="11"/>
  <c r="D24" i="17" s="1"/>
  <c r="A25" i="11"/>
  <c r="A25" i="17" s="1"/>
  <c r="B25" i="11"/>
  <c r="B25" i="17" s="1"/>
  <c r="C25" i="11"/>
  <c r="C25" i="17" s="1"/>
  <c r="D25" i="11"/>
  <c r="D25" i="17" s="1"/>
  <c r="A26" i="11"/>
  <c r="A26" i="17" s="1"/>
  <c r="B26" i="11"/>
  <c r="B26" i="17" s="1"/>
  <c r="C26" i="11"/>
  <c r="C26" i="17" s="1"/>
  <c r="D26" i="11"/>
  <c r="D26" i="17" s="1"/>
  <c r="A27" i="11"/>
  <c r="A27" i="17" s="1"/>
  <c r="B27" i="11"/>
  <c r="B27" i="17" s="1"/>
  <c r="C27" i="11"/>
  <c r="C27" i="17" s="1"/>
  <c r="D27" i="11"/>
  <c r="D27" i="17" s="1"/>
  <c r="A28" i="11"/>
  <c r="A28" i="17" s="1"/>
  <c r="B28" i="11"/>
  <c r="B28" i="17" s="1"/>
  <c r="C28" i="11"/>
  <c r="C28" i="17" s="1"/>
  <c r="D28" i="11"/>
  <c r="D28" i="17" s="1"/>
  <c r="A29" i="11"/>
  <c r="A29" i="17" s="1"/>
  <c r="B29" i="11"/>
  <c r="B29" i="17" s="1"/>
  <c r="C29" i="11"/>
  <c r="C29" i="17" s="1"/>
  <c r="D29" i="11"/>
  <c r="D29" i="17" s="1"/>
  <c r="A30" i="11"/>
  <c r="A30" i="17" s="1"/>
  <c r="B30" i="11"/>
  <c r="B30" i="17" s="1"/>
  <c r="C30" i="11"/>
  <c r="C30" i="17" s="1"/>
  <c r="D30" i="11"/>
  <c r="D30" i="17" s="1"/>
  <c r="A31" i="11"/>
  <c r="A31" i="17" s="1"/>
  <c r="B31" i="11"/>
  <c r="B31" i="17" s="1"/>
  <c r="C31" i="11"/>
  <c r="C31" i="17" s="1"/>
  <c r="D31" i="11"/>
  <c r="D31" i="17" s="1"/>
  <c r="A32" i="11"/>
  <c r="A32" i="17" s="1"/>
  <c r="B32" i="11"/>
  <c r="B32" i="17" s="1"/>
  <c r="C32" i="11"/>
  <c r="C32" i="17" s="1"/>
  <c r="D32" i="11"/>
  <c r="D32" i="17" s="1"/>
  <c r="A33" i="11"/>
  <c r="A33" i="17" s="1"/>
  <c r="B33" i="11"/>
  <c r="B33" i="17" s="1"/>
  <c r="C33" i="11"/>
  <c r="C33" i="17" s="1"/>
  <c r="D33" i="11"/>
  <c r="D33" i="17" s="1"/>
  <c r="A34" i="11"/>
  <c r="A34" i="17" s="1"/>
  <c r="B34" i="11"/>
  <c r="B34" i="17" s="1"/>
  <c r="C34" i="11"/>
  <c r="C34" i="17" s="1"/>
  <c r="D34" i="11"/>
  <c r="D34" i="17" s="1"/>
  <c r="A35" i="11"/>
  <c r="A35" i="17" s="1"/>
  <c r="B35" i="11"/>
  <c r="B35" i="17" s="1"/>
  <c r="C35" i="11"/>
  <c r="C35" i="17" s="1"/>
  <c r="D35" i="11"/>
  <c r="D35" i="17" s="1"/>
  <c r="A36" i="11"/>
  <c r="A36" i="17" s="1"/>
  <c r="B36" i="11"/>
  <c r="B36" i="17" s="1"/>
  <c r="C36" i="11"/>
  <c r="C36" i="17" s="1"/>
  <c r="D36" i="11"/>
  <c r="D36" i="17" s="1"/>
  <c r="A37" i="11"/>
  <c r="A37" i="17" s="1"/>
  <c r="B37" i="11"/>
  <c r="B37" i="17" s="1"/>
  <c r="C37" i="11"/>
  <c r="C37" i="17" s="1"/>
  <c r="D37" i="11"/>
  <c r="D37" i="17" s="1"/>
  <c r="A38" i="11"/>
  <c r="A38" i="17" s="1"/>
  <c r="B38" i="11"/>
  <c r="B38" i="17" s="1"/>
  <c r="C38" i="11"/>
  <c r="C38" i="17" s="1"/>
  <c r="D38" i="11"/>
  <c r="D38" i="17" s="1"/>
  <c r="A39" i="11"/>
  <c r="A39" i="17" s="1"/>
  <c r="B39" i="11"/>
  <c r="B39" i="17" s="1"/>
  <c r="C39" i="11"/>
  <c r="C39" i="17" s="1"/>
  <c r="D39" i="11"/>
  <c r="D39" i="17" s="1"/>
  <c r="A40" i="11"/>
  <c r="A40" i="17" s="1"/>
  <c r="B40" i="11"/>
  <c r="B40" i="17" s="1"/>
  <c r="C40" i="11"/>
  <c r="C40" i="17" s="1"/>
  <c r="D40" i="11"/>
  <c r="D40" i="17" s="1"/>
  <c r="A41" i="11"/>
  <c r="A41" i="17" s="1"/>
  <c r="B41" i="11"/>
  <c r="B41" i="17" s="1"/>
  <c r="C41" i="11"/>
  <c r="C41" i="17" s="1"/>
  <c r="D41" i="11"/>
  <c r="D41" i="17" s="1"/>
  <c r="A42" i="11"/>
  <c r="A42" i="17" s="1"/>
  <c r="B42" i="11"/>
  <c r="B42" i="17" s="1"/>
  <c r="C42" i="11"/>
  <c r="C42" i="17" s="1"/>
  <c r="D42" i="11"/>
  <c r="D42" i="17" s="1"/>
  <c r="A43" i="11"/>
  <c r="A43" i="17" s="1"/>
  <c r="B43" i="11"/>
  <c r="B43" i="17" s="1"/>
  <c r="C43" i="11"/>
  <c r="C43" i="17" s="1"/>
  <c r="D43" i="11"/>
  <c r="D43" i="17" s="1"/>
  <c r="A44" i="11"/>
  <c r="A44" i="17" s="1"/>
  <c r="B44" i="11"/>
  <c r="B44" i="17" s="1"/>
  <c r="C44" i="11"/>
  <c r="C44" i="17" s="1"/>
  <c r="D44" i="11"/>
  <c r="D44" i="17" s="1"/>
  <c r="A45" i="11"/>
  <c r="A45" i="17" s="1"/>
  <c r="B45" i="11"/>
  <c r="B45" i="17" s="1"/>
  <c r="C45" i="11"/>
  <c r="C45" i="17" s="1"/>
  <c r="D45" i="11"/>
  <c r="D45" i="17" s="1"/>
  <c r="A46" i="11"/>
  <c r="A46" i="17" s="1"/>
  <c r="B46" i="11"/>
  <c r="B46" i="17" s="1"/>
  <c r="C46" i="11"/>
  <c r="C46" i="17" s="1"/>
  <c r="D46" i="11"/>
  <c r="D46" i="17" s="1"/>
  <c r="A47" i="11"/>
  <c r="A47" i="17" s="1"/>
  <c r="B47" i="11"/>
  <c r="B47" i="17" s="1"/>
  <c r="C47" i="11"/>
  <c r="C47" i="17" s="1"/>
  <c r="D47" i="11"/>
  <c r="D47" i="17" s="1"/>
  <c r="A48" i="11"/>
  <c r="A48" i="17" s="1"/>
  <c r="B48" i="11"/>
  <c r="B48" i="17" s="1"/>
  <c r="C48" i="11"/>
  <c r="C48" i="17" s="1"/>
  <c r="D48" i="11"/>
  <c r="D48" i="17" s="1"/>
  <c r="A49" i="11"/>
  <c r="A49" i="17" s="1"/>
  <c r="B49" i="11"/>
  <c r="B49" i="17" s="1"/>
  <c r="C49" i="11"/>
  <c r="C49" i="17" s="1"/>
  <c r="D49" i="11"/>
  <c r="D49" i="17" s="1"/>
  <c r="A50" i="11"/>
  <c r="A50" i="17" s="1"/>
  <c r="B50" i="11"/>
  <c r="B50" i="17" s="1"/>
  <c r="C50" i="11"/>
  <c r="C50" i="17" s="1"/>
  <c r="D50" i="11"/>
  <c r="D50" i="17" s="1"/>
  <c r="A51" i="11"/>
  <c r="A51" i="17" s="1"/>
  <c r="B51" i="11"/>
  <c r="B51" i="17" s="1"/>
  <c r="C51" i="11"/>
  <c r="C51" i="17" s="1"/>
  <c r="D51" i="11"/>
  <c r="D51" i="17" s="1"/>
  <c r="A52" i="11"/>
  <c r="A52" i="17" s="1"/>
  <c r="B52" i="11"/>
  <c r="B52" i="17" s="1"/>
  <c r="C52" i="11"/>
  <c r="C52" i="17" s="1"/>
  <c r="D52" i="11"/>
  <c r="D52" i="17" s="1"/>
  <c r="A53" i="11"/>
  <c r="A53" i="17" s="1"/>
  <c r="B53" i="11"/>
  <c r="B53" i="17" s="1"/>
  <c r="C53" i="11"/>
  <c r="C53" i="17" s="1"/>
  <c r="D53" i="11"/>
  <c r="D53" i="17" s="1"/>
  <c r="A54" i="11"/>
  <c r="A54" i="17" s="1"/>
  <c r="B54" i="11"/>
  <c r="B54" i="17" s="1"/>
  <c r="C54" i="11"/>
  <c r="C54" i="17" s="1"/>
  <c r="D54" i="11"/>
  <c r="D54" i="17" s="1"/>
  <c r="A55" i="11"/>
  <c r="A55" i="17" s="1"/>
  <c r="B55" i="11"/>
  <c r="B55" i="17" s="1"/>
  <c r="C55" i="11"/>
  <c r="C55" i="17" s="1"/>
  <c r="D55" i="11"/>
  <c r="D55" i="17" s="1"/>
  <c r="A56" i="11"/>
  <c r="A56" i="17" s="1"/>
  <c r="B56" i="11"/>
  <c r="B56" i="17" s="1"/>
  <c r="C56" i="11"/>
  <c r="C56" i="17" s="1"/>
  <c r="D56" i="11"/>
  <c r="D56" i="17" s="1"/>
  <c r="A57" i="11"/>
  <c r="A57" i="17" s="1"/>
  <c r="B57" i="11"/>
  <c r="B57" i="17" s="1"/>
  <c r="C57" i="11"/>
  <c r="C57" i="17" s="1"/>
  <c r="D57" i="11"/>
  <c r="D57" i="17" s="1"/>
  <c r="A58" i="11"/>
  <c r="A58" i="17" s="1"/>
  <c r="B58" i="11"/>
  <c r="B58" i="17" s="1"/>
  <c r="C58" i="11"/>
  <c r="C58" i="17" s="1"/>
  <c r="D58" i="11"/>
  <c r="D58" i="17" s="1"/>
  <c r="A59" i="11"/>
  <c r="A59" i="17" s="1"/>
  <c r="B59" i="11"/>
  <c r="B59" i="17" s="1"/>
  <c r="C59" i="11"/>
  <c r="C59" i="17" s="1"/>
  <c r="D59" i="11"/>
  <c r="D59" i="17" s="1"/>
  <c r="A60" i="11"/>
  <c r="A60" i="17" s="1"/>
  <c r="B60" i="11"/>
  <c r="B60" i="17" s="1"/>
  <c r="C60" i="11"/>
  <c r="C60" i="17" s="1"/>
  <c r="D60" i="11"/>
  <c r="D60" i="17" s="1"/>
  <c r="A61" i="11"/>
  <c r="A61" i="17" s="1"/>
  <c r="B61" i="11"/>
  <c r="B61" i="17" s="1"/>
  <c r="C61" i="11"/>
  <c r="C61" i="17" s="1"/>
  <c r="D61" i="11"/>
  <c r="D61" i="17" s="1"/>
  <c r="A62" i="11"/>
  <c r="A62" i="17" s="1"/>
  <c r="B62" i="11"/>
  <c r="B62" i="17" s="1"/>
  <c r="C62" i="11"/>
  <c r="C62" i="17" s="1"/>
  <c r="D62" i="11"/>
  <c r="D62" i="17" s="1"/>
  <c r="A63" i="11"/>
  <c r="A63" i="17" s="1"/>
  <c r="B63" i="11"/>
  <c r="B63" i="17" s="1"/>
  <c r="C63" i="11"/>
  <c r="C63" i="17" s="1"/>
  <c r="D63" i="11"/>
  <c r="D63" i="17" s="1"/>
  <c r="A64" i="11"/>
  <c r="A64" i="17" s="1"/>
  <c r="B64" i="11"/>
  <c r="B64" i="17" s="1"/>
  <c r="C64" i="11"/>
  <c r="C64" i="17" s="1"/>
  <c r="D64" i="11"/>
  <c r="D64" i="17" s="1"/>
  <c r="A65" i="11"/>
  <c r="A65" i="17" s="1"/>
  <c r="B65" i="11"/>
  <c r="B65" i="17" s="1"/>
  <c r="C65" i="11"/>
  <c r="C65" i="17" s="1"/>
  <c r="D65" i="11"/>
  <c r="D65" i="17" s="1"/>
  <c r="A66" i="11"/>
  <c r="A66" i="17" s="1"/>
  <c r="B66" i="11"/>
  <c r="B66" i="17" s="1"/>
  <c r="C66" i="11"/>
  <c r="C66" i="17" s="1"/>
  <c r="D66" i="11"/>
  <c r="D66" i="17" s="1"/>
  <c r="A67" i="11"/>
  <c r="A67" i="17" s="1"/>
  <c r="B67" i="11"/>
  <c r="B67" i="17" s="1"/>
  <c r="C67" i="11"/>
  <c r="C67" i="17" s="1"/>
  <c r="D67" i="11"/>
  <c r="D67" i="17" s="1"/>
  <c r="A68" i="11"/>
  <c r="A68" i="17" s="1"/>
  <c r="B68" i="11"/>
  <c r="B68" i="17" s="1"/>
  <c r="C68" i="11"/>
  <c r="C68" i="17" s="1"/>
  <c r="D68" i="11"/>
  <c r="D68" i="17" s="1"/>
  <c r="A69" i="11"/>
  <c r="A69" i="17" s="1"/>
  <c r="B69" i="11"/>
  <c r="B69" i="17" s="1"/>
  <c r="C69" i="11"/>
  <c r="C69" i="17" s="1"/>
  <c r="D69" i="11"/>
  <c r="D69" i="17" s="1"/>
  <c r="A70" i="11"/>
  <c r="A70" i="17" s="1"/>
  <c r="B70" i="11"/>
  <c r="B70" i="17" s="1"/>
  <c r="C70" i="11"/>
  <c r="C70" i="17" s="1"/>
  <c r="D70" i="11"/>
  <c r="D70" i="17" s="1"/>
  <c r="A71" i="11"/>
  <c r="A71" i="17" s="1"/>
  <c r="B71" i="11"/>
  <c r="B71" i="17" s="1"/>
  <c r="C71" i="11"/>
  <c r="C71" i="17" s="1"/>
  <c r="D71" i="11"/>
  <c r="D71" i="17" s="1"/>
  <c r="A72" i="11"/>
  <c r="A72" i="17" s="1"/>
  <c r="B72" i="11"/>
  <c r="B72" i="17" s="1"/>
  <c r="C72" i="11"/>
  <c r="C72" i="17" s="1"/>
  <c r="D72" i="11"/>
  <c r="D72" i="17" s="1"/>
  <c r="A73" i="11"/>
  <c r="A73" i="17" s="1"/>
  <c r="B73" i="11"/>
  <c r="B73" i="17" s="1"/>
  <c r="C73" i="11"/>
  <c r="C73" i="17" s="1"/>
  <c r="D73" i="11"/>
  <c r="D73" i="17" s="1"/>
  <c r="A74" i="11"/>
  <c r="A74" i="17" s="1"/>
  <c r="B74" i="11"/>
  <c r="B74" i="17" s="1"/>
  <c r="C74" i="11"/>
  <c r="C74" i="17" s="1"/>
  <c r="D74" i="11"/>
  <c r="D74" i="17" s="1"/>
  <c r="A75" i="11"/>
  <c r="A75" i="17" s="1"/>
  <c r="B75" i="11"/>
  <c r="B75" i="17" s="1"/>
  <c r="C75" i="11"/>
  <c r="C75" i="17" s="1"/>
  <c r="D75" i="11"/>
  <c r="D75" i="17" s="1"/>
  <c r="A76" i="11"/>
  <c r="A76" i="17" s="1"/>
  <c r="B76" i="11"/>
  <c r="B76" i="17" s="1"/>
  <c r="C76" i="11"/>
  <c r="C76" i="17" s="1"/>
  <c r="D76" i="11"/>
  <c r="D76" i="17" s="1"/>
  <c r="A77" i="11"/>
  <c r="A77" i="17" s="1"/>
  <c r="B77" i="11"/>
  <c r="B77" i="17" s="1"/>
  <c r="C77" i="11"/>
  <c r="C77" i="17" s="1"/>
  <c r="D77" i="11"/>
  <c r="D77" i="17" s="1"/>
  <c r="A78" i="11"/>
  <c r="A78" i="17" s="1"/>
  <c r="B78" i="11"/>
  <c r="B78" i="17" s="1"/>
  <c r="C78" i="11"/>
  <c r="C78" i="17" s="1"/>
  <c r="D78" i="11"/>
  <c r="D78" i="17" s="1"/>
  <c r="A79" i="11"/>
  <c r="A79" i="17" s="1"/>
  <c r="B79" i="11"/>
  <c r="B79" i="17" s="1"/>
  <c r="C79" i="11"/>
  <c r="C79" i="17" s="1"/>
  <c r="D79" i="11"/>
  <c r="D79" i="17" s="1"/>
  <c r="A80" i="11"/>
  <c r="A80" i="17" s="1"/>
  <c r="B80" i="11"/>
  <c r="B80" i="17" s="1"/>
  <c r="C80" i="11"/>
  <c r="C80" i="17" s="1"/>
  <c r="D80" i="11"/>
  <c r="D80" i="17" s="1"/>
  <c r="A81" i="11"/>
  <c r="A81" i="17" s="1"/>
  <c r="B81" i="11"/>
  <c r="B81" i="17" s="1"/>
  <c r="C81" i="11"/>
  <c r="C81" i="17" s="1"/>
  <c r="D81" i="11"/>
  <c r="D81" i="17" s="1"/>
  <c r="A82" i="11"/>
  <c r="A82" i="17" s="1"/>
  <c r="B82" i="11"/>
  <c r="B82" i="17" s="1"/>
  <c r="C82" i="11"/>
  <c r="C82" i="17" s="1"/>
  <c r="D82" i="11"/>
  <c r="D82" i="17" s="1"/>
  <c r="A83" i="11"/>
  <c r="A83" i="17" s="1"/>
  <c r="B83" i="11"/>
  <c r="B83" i="17" s="1"/>
  <c r="C83" i="11"/>
  <c r="C83" i="17" s="1"/>
  <c r="D83" i="11"/>
  <c r="D83" i="17" s="1"/>
  <c r="A84" i="11"/>
  <c r="A84" i="17" s="1"/>
  <c r="B84" i="11"/>
  <c r="B84" i="17" s="1"/>
  <c r="C84" i="11"/>
  <c r="C84" i="17" s="1"/>
  <c r="D84" i="11"/>
  <c r="D84" i="17" s="1"/>
  <c r="A85" i="11"/>
  <c r="A85" i="17" s="1"/>
  <c r="B85" i="11"/>
  <c r="B85" i="17" s="1"/>
  <c r="C85" i="11"/>
  <c r="C85" i="17" s="1"/>
  <c r="D85" i="11"/>
  <c r="D85" i="17" s="1"/>
  <c r="A86" i="11"/>
  <c r="A86" i="17" s="1"/>
  <c r="B86" i="11"/>
  <c r="B86" i="17" s="1"/>
  <c r="C86" i="11"/>
  <c r="C86" i="17" s="1"/>
  <c r="D86" i="11"/>
  <c r="D86" i="17" s="1"/>
  <c r="A87" i="11"/>
  <c r="A87" i="17" s="1"/>
  <c r="B87" i="11"/>
  <c r="B87" i="17" s="1"/>
  <c r="C87" i="11"/>
  <c r="C87" i="17" s="1"/>
  <c r="D87" i="11"/>
  <c r="D87" i="17" s="1"/>
  <c r="A88" i="11"/>
  <c r="A88" i="17" s="1"/>
  <c r="B88" i="11"/>
  <c r="B88" i="17" s="1"/>
  <c r="C88" i="11"/>
  <c r="C88" i="17" s="1"/>
  <c r="D88" i="11"/>
  <c r="D88" i="17" s="1"/>
  <c r="A89" i="11"/>
  <c r="A89" i="17" s="1"/>
  <c r="B89" i="11"/>
  <c r="B89" i="17" s="1"/>
  <c r="C89" i="11"/>
  <c r="C89" i="17" s="1"/>
  <c r="D89" i="11"/>
  <c r="D89" i="17" s="1"/>
  <c r="A90" i="11"/>
  <c r="A90" i="17" s="1"/>
  <c r="B90" i="11"/>
  <c r="B90" i="17" s="1"/>
  <c r="C90" i="11"/>
  <c r="C90" i="17" s="1"/>
  <c r="D90" i="11"/>
  <c r="D90" i="17" s="1"/>
  <c r="A91" i="11"/>
  <c r="A91" i="17" s="1"/>
  <c r="B91" i="11"/>
  <c r="B91" i="17" s="1"/>
  <c r="C91" i="11"/>
  <c r="C91" i="17" s="1"/>
  <c r="D91" i="11"/>
  <c r="D91" i="17" s="1"/>
  <c r="A92" i="11"/>
  <c r="A92" i="17" s="1"/>
  <c r="B92" i="11"/>
  <c r="B92" i="17" s="1"/>
  <c r="C92" i="11"/>
  <c r="C92" i="17" s="1"/>
  <c r="D92" i="11"/>
  <c r="D92" i="17" s="1"/>
  <c r="A93" i="11"/>
  <c r="A93" i="17" s="1"/>
  <c r="B93" i="11"/>
  <c r="B93" i="17" s="1"/>
  <c r="C93" i="11"/>
  <c r="C93" i="17" s="1"/>
  <c r="D93" i="11"/>
  <c r="D93" i="17" s="1"/>
  <c r="A94" i="11"/>
  <c r="A94" i="17" s="1"/>
  <c r="B94" i="11"/>
  <c r="B94" i="17" s="1"/>
  <c r="C94" i="11"/>
  <c r="C94" i="17" s="1"/>
  <c r="D94" i="11"/>
  <c r="D94" i="17" s="1"/>
  <c r="A95" i="11"/>
  <c r="A95" i="17" s="1"/>
  <c r="B95" i="11"/>
  <c r="B95" i="17" s="1"/>
  <c r="C95" i="11"/>
  <c r="C95" i="17" s="1"/>
  <c r="D95" i="11"/>
  <c r="D95" i="17" s="1"/>
  <c r="A96" i="11"/>
  <c r="A96" i="17" s="1"/>
  <c r="B96" i="11"/>
  <c r="B96" i="17" s="1"/>
  <c r="C96" i="11"/>
  <c r="C96" i="17" s="1"/>
  <c r="D96" i="11"/>
  <c r="D96" i="17" s="1"/>
  <c r="A97" i="11"/>
  <c r="A97" i="17" s="1"/>
  <c r="B97" i="11"/>
  <c r="B97" i="17" s="1"/>
  <c r="C97" i="11"/>
  <c r="C97" i="17" s="1"/>
  <c r="D97" i="11"/>
  <c r="D97" i="17" s="1"/>
  <c r="A98" i="11"/>
  <c r="A98" i="17" s="1"/>
  <c r="B98" i="11"/>
  <c r="B98" i="17" s="1"/>
  <c r="C98" i="11"/>
  <c r="C98" i="17" s="1"/>
  <c r="D98" i="11"/>
  <c r="D98" i="17" s="1"/>
  <c r="A99" i="11"/>
  <c r="A99" i="17" s="1"/>
  <c r="B99" i="11"/>
  <c r="B99" i="17" s="1"/>
  <c r="C99" i="11"/>
  <c r="C99" i="17" s="1"/>
  <c r="D99" i="11"/>
  <c r="D99" i="17" s="1"/>
  <c r="A100" i="11"/>
  <c r="A100" i="17" s="1"/>
  <c r="B100" i="11"/>
  <c r="B100" i="17" s="1"/>
  <c r="C100" i="11"/>
  <c r="C100" i="17" s="1"/>
  <c r="D100" i="11"/>
  <c r="D100" i="17" s="1"/>
  <c r="A101" i="11"/>
  <c r="A101" i="17" s="1"/>
  <c r="B101" i="11"/>
  <c r="B101" i="17" s="1"/>
  <c r="C101" i="11"/>
  <c r="C101" i="17" s="1"/>
  <c r="D101" i="11"/>
  <c r="D101" i="17" s="1"/>
  <c r="A102" i="11"/>
  <c r="A102" i="17" s="1"/>
  <c r="B102" i="11"/>
  <c r="B102" i="17" s="1"/>
  <c r="C102" i="11"/>
  <c r="C102" i="17" s="1"/>
  <c r="D102" i="11"/>
  <c r="D102" i="17" s="1"/>
  <c r="A103" i="11"/>
  <c r="A103" i="17" s="1"/>
  <c r="B103" i="11"/>
  <c r="B103" i="17" s="1"/>
  <c r="C103" i="11"/>
  <c r="C103" i="17" s="1"/>
  <c r="D103" i="11"/>
  <c r="D103" i="17" s="1"/>
  <c r="A104" i="11"/>
  <c r="A104" i="17" s="1"/>
  <c r="B104" i="11"/>
  <c r="B104" i="17" s="1"/>
  <c r="C104" i="11"/>
  <c r="C104" i="17" s="1"/>
  <c r="D104" i="11"/>
  <c r="D104" i="17" s="1"/>
  <c r="A105" i="11"/>
  <c r="A105" i="17" s="1"/>
  <c r="B105" i="11"/>
  <c r="B105" i="17" s="1"/>
  <c r="C105" i="11"/>
  <c r="C105" i="17" s="1"/>
  <c r="D105" i="11"/>
  <c r="D105" i="17" s="1"/>
  <c r="A106" i="11"/>
  <c r="A106" i="17" s="1"/>
  <c r="B106" i="11"/>
  <c r="B106" i="17" s="1"/>
  <c r="C106" i="11"/>
  <c r="C106" i="17" s="1"/>
  <c r="D106" i="11"/>
  <c r="D106" i="17" s="1"/>
  <c r="A107" i="11"/>
  <c r="A107" i="17" s="1"/>
  <c r="B107" i="11"/>
  <c r="B107" i="17" s="1"/>
  <c r="C107" i="11"/>
  <c r="C107" i="17" s="1"/>
  <c r="D107" i="11"/>
  <c r="D107" i="17" s="1"/>
  <c r="A108" i="11"/>
  <c r="A108" i="17" s="1"/>
  <c r="B108" i="11"/>
  <c r="B108" i="17" s="1"/>
  <c r="C108" i="11"/>
  <c r="C108" i="17" s="1"/>
  <c r="D108" i="11"/>
  <c r="D108" i="17" s="1"/>
  <c r="A109" i="11"/>
  <c r="A109" i="17" s="1"/>
  <c r="B109" i="11"/>
  <c r="B109" i="17" s="1"/>
  <c r="C109" i="11"/>
  <c r="C109" i="17" s="1"/>
  <c r="D109" i="11"/>
  <c r="D109" i="17" s="1"/>
  <c r="A110" i="11"/>
  <c r="A110" i="17" s="1"/>
  <c r="B110" i="11"/>
  <c r="B110" i="17" s="1"/>
  <c r="C110" i="11"/>
  <c r="C110" i="17" s="1"/>
  <c r="D110" i="11"/>
  <c r="D110" i="17" s="1"/>
  <c r="A111" i="11"/>
  <c r="A111" i="17" s="1"/>
  <c r="B111" i="11"/>
  <c r="B111" i="17" s="1"/>
  <c r="C111" i="11"/>
  <c r="C111" i="17" s="1"/>
  <c r="D111" i="11"/>
  <c r="D111" i="17" s="1"/>
  <c r="A112" i="11"/>
  <c r="A112" i="17" s="1"/>
  <c r="B112" i="11"/>
  <c r="B112" i="17" s="1"/>
  <c r="C112" i="11"/>
  <c r="C112" i="17" s="1"/>
  <c r="D112" i="11"/>
  <c r="D112" i="17" s="1"/>
  <c r="A113" i="11"/>
  <c r="A113" i="17" s="1"/>
  <c r="B113" i="11"/>
  <c r="B113" i="17" s="1"/>
  <c r="C113" i="11"/>
  <c r="C113" i="17" s="1"/>
  <c r="D113" i="11"/>
  <c r="D113" i="17" s="1"/>
  <c r="A114" i="11"/>
  <c r="A114" i="17" s="1"/>
  <c r="B114" i="11"/>
  <c r="B114" i="17" s="1"/>
  <c r="C114" i="11"/>
  <c r="C114" i="17" s="1"/>
  <c r="D114" i="11"/>
  <c r="D114" i="17" s="1"/>
  <c r="A115" i="11"/>
  <c r="A115" i="17" s="1"/>
  <c r="B115" i="11"/>
  <c r="B115" i="17" s="1"/>
  <c r="C115" i="11"/>
  <c r="C115" i="17" s="1"/>
  <c r="D115" i="11"/>
  <c r="D115" i="17" s="1"/>
  <c r="A116" i="11"/>
  <c r="A116" i="17" s="1"/>
  <c r="B116" i="11"/>
  <c r="B116" i="17" s="1"/>
  <c r="C116" i="11"/>
  <c r="C116" i="17" s="1"/>
  <c r="D116" i="11"/>
  <c r="D116" i="17" s="1"/>
  <c r="A117" i="11"/>
  <c r="A117" i="17" s="1"/>
  <c r="B117" i="11"/>
  <c r="B117" i="17" s="1"/>
  <c r="C117" i="11"/>
  <c r="C117" i="17" s="1"/>
  <c r="D117" i="11"/>
  <c r="D117" i="17" s="1"/>
  <c r="A118" i="11"/>
  <c r="A118" i="17" s="1"/>
  <c r="B118" i="11"/>
  <c r="B118" i="17" s="1"/>
  <c r="C118" i="11"/>
  <c r="C118" i="17" s="1"/>
  <c r="D118" i="11"/>
  <c r="D118" i="17" s="1"/>
  <c r="A119" i="11"/>
  <c r="A119" i="17" s="1"/>
  <c r="B119" i="11"/>
  <c r="B119" i="17" s="1"/>
  <c r="C119" i="11"/>
  <c r="C119" i="17" s="1"/>
  <c r="D119" i="11"/>
  <c r="D119" i="17" s="1"/>
  <c r="A120" i="11"/>
  <c r="A120" i="17" s="1"/>
  <c r="B120" i="11"/>
  <c r="B120" i="17" s="1"/>
  <c r="C120" i="11"/>
  <c r="C120" i="17" s="1"/>
  <c r="D120" i="11"/>
  <c r="D120" i="17" s="1"/>
  <c r="A121" i="11"/>
  <c r="A121" i="17" s="1"/>
  <c r="B121" i="11"/>
  <c r="B121" i="17" s="1"/>
  <c r="C121" i="11"/>
  <c r="C121" i="17" s="1"/>
  <c r="D121" i="11"/>
  <c r="D121" i="17" s="1"/>
  <c r="A122" i="11"/>
  <c r="A122" i="17" s="1"/>
  <c r="B122" i="11"/>
  <c r="B122" i="17" s="1"/>
  <c r="C122" i="11"/>
  <c r="C122" i="17" s="1"/>
  <c r="D122" i="11"/>
  <c r="D122" i="17" s="1"/>
  <c r="A123" i="11"/>
  <c r="A123" i="17" s="1"/>
  <c r="B123" i="11"/>
  <c r="B123" i="17" s="1"/>
  <c r="C123" i="11"/>
  <c r="C123" i="17" s="1"/>
  <c r="D123" i="11"/>
  <c r="D123" i="17" s="1"/>
  <c r="A124" i="11"/>
  <c r="A124" i="17" s="1"/>
  <c r="B124" i="11"/>
  <c r="B124" i="17" s="1"/>
  <c r="C124" i="11"/>
  <c r="C124" i="17" s="1"/>
  <c r="D124" i="11"/>
  <c r="D124" i="17" s="1"/>
  <c r="A125" i="11"/>
  <c r="A125" i="17" s="1"/>
  <c r="B125" i="11"/>
  <c r="B125" i="17" s="1"/>
  <c r="C125" i="11"/>
  <c r="C125" i="17" s="1"/>
  <c r="D125" i="11"/>
  <c r="D125" i="17" s="1"/>
  <c r="A126" i="11"/>
  <c r="A126" i="17" s="1"/>
  <c r="B126" i="11"/>
  <c r="B126" i="17" s="1"/>
  <c r="C126" i="11"/>
  <c r="C126" i="17" s="1"/>
  <c r="D126" i="11"/>
  <c r="D126" i="17" s="1"/>
  <c r="A127" i="11"/>
  <c r="A127" i="17" s="1"/>
  <c r="B127" i="11"/>
  <c r="B127" i="17" s="1"/>
  <c r="C127" i="11"/>
  <c r="C127" i="17" s="1"/>
  <c r="D127" i="11"/>
  <c r="D127" i="17" s="1"/>
  <c r="A128" i="11"/>
  <c r="A128" i="17" s="1"/>
  <c r="B128" i="11"/>
  <c r="B128" i="17" s="1"/>
  <c r="C128" i="11"/>
  <c r="C128" i="17" s="1"/>
  <c r="D128" i="11"/>
  <c r="D128" i="17" s="1"/>
  <c r="A129" i="11"/>
  <c r="A129" i="17" s="1"/>
  <c r="B129" i="11"/>
  <c r="B129" i="17" s="1"/>
  <c r="C129" i="11"/>
  <c r="C129" i="17" s="1"/>
  <c r="D129" i="11"/>
  <c r="D129" i="17" s="1"/>
  <c r="A130" i="11"/>
  <c r="A130" i="17" s="1"/>
  <c r="B130" i="11"/>
  <c r="B130" i="17" s="1"/>
  <c r="C130" i="11"/>
  <c r="C130" i="17" s="1"/>
  <c r="D130" i="11"/>
  <c r="D130" i="17" s="1"/>
  <c r="A131" i="11"/>
  <c r="A131" i="17" s="1"/>
  <c r="B131" i="11"/>
  <c r="B131" i="17" s="1"/>
  <c r="C131" i="11"/>
  <c r="C131" i="17" s="1"/>
  <c r="D131" i="11"/>
  <c r="D131" i="17" s="1"/>
  <c r="A132" i="11"/>
  <c r="A132" i="17" s="1"/>
  <c r="B132" i="11"/>
  <c r="B132" i="17" s="1"/>
  <c r="C132" i="11"/>
  <c r="C132" i="17" s="1"/>
  <c r="D132" i="11"/>
  <c r="D132" i="17" s="1"/>
  <c r="A133" i="11"/>
  <c r="A133" i="17" s="1"/>
  <c r="B133" i="11"/>
  <c r="B133" i="17" s="1"/>
  <c r="C133" i="11"/>
  <c r="C133" i="17" s="1"/>
  <c r="D133" i="11"/>
  <c r="D133" i="17" s="1"/>
  <c r="A134" i="11"/>
  <c r="A134" i="17" s="1"/>
  <c r="B134" i="11"/>
  <c r="B134" i="17" s="1"/>
  <c r="C134" i="11"/>
  <c r="C134" i="17" s="1"/>
  <c r="D134" i="11"/>
  <c r="D134" i="17" s="1"/>
  <c r="A135" i="11"/>
  <c r="A135" i="17" s="1"/>
  <c r="B135" i="11"/>
  <c r="B135" i="17" s="1"/>
  <c r="C135" i="11"/>
  <c r="C135" i="17" s="1"/>
  <c r="D135" i="11"/>
  <c r="D135" i="17" s="1"/>
  <c r="A136" i="11"/>
  <c r="A136" i="17" s="1"/>
  <c r="B136" i="11"/>
  <c r="B136" i="17" s="1"/>
  <c r="C136" i="11"/>
  <c r="C136" i="17" s="1"/>
  <c r="D136" i="11"/>
  <c r="D136" i="17" s="1"/>
  <c r="A137" i="11"/>
  <c r="A137" i="17" s="1"/>
  <c r="B137" i="11"/>
  <c r="B137" i="17" s="1"/>
  <c r="C137" i="11"/>
  <c r="C137" i="17" s="1"/>
  <c r="D137" i="11"/>
  <c r="D137" i="17" s="1"/>
  <c r="A138" i="11"/>
  <c r="A138" i="17" s="1"/>
  <c r="B138" i="11"/>
  <c r="B138" i="17" s="1"/>
  <c r="C138" i="11"/>
  <c r="C138" i="17" s="1"/>
  <c r="D138" i="11"/>
  <c r="D138" i="17" s="1"/>
  <c r="A139" i="11"/>
  <c r="A139" i="17" s="1"/>
  <c r="B139" i="11"/>
  <c r="B139" i="17" s="1"/>
  <c r="C139" i="11"/>
  <c r="C139" i="17" s="1"/>
  <c r="D139" i="11"/>
  <c r="D139" i="17" s="1"/>
  <c r="A140" i="11"/>
  <c r="A140" i="17" s="1"/>
  <c r="B140" i="11"/>
  <c r="B140" i="17" s="1"/>
  <c r="C140" i="11"/>
  <c r="C140" i="17" s="1"/>
  <c r="D140" i="11"/>
  <c r="D140" i="17" s="1"/>
  <c r="A141" i="11"/>
  <c r="A141" i="17" s="1"/>
  <c r="B141" i="11"/>
  <c r="B141" i="17" s="1"/>
  <c r="C141" i="11"/>
  <c r="C141" i="17" s="1"/>
  <c r="D141" i="11"/>
  <c r="D141" i="17" s="1"/>
  <c r="A142" i="11"/>
  <c r="A142" i="17" s="1"/>
  <c r="B142" i="11"/>
  <c r="B142" i="17" s="1"/>
  <c r="C142" i="11"/>
  <c r="C142" i="17" s="1"/>
  <c r="D142" i="11"/>
  <c r="D142" i="17" s="1"/>
  <c r="A143" i="11"/>
  <c r="A143" i="17" s="1"/>
  <c r="B143" i="11"/>
  <c r="B143" i="17" s="1"/>
  <c r="C143" i="11"/>
  <c r="C143" i="17" s="1"/>
  <c r="D143" i="11"/>
  <c r="D143" i="17" s="1"/>
  <c r="A144" i="11"/>
  <c r="A144" i="17" s="1"/>
  <c r="B144" i="11"/>
  <c r="B144" i="17" s="1"/>
  <c r="C144" i="11"/>
  <c r="C144" i="17" s="1"/>
  <c r="D144" i="11"/>
  <c r="D144" i="17" s="1"/>
  <c r="A145" i="11"/>
  <c r="A145" i="17" s="1"/>
  <c r="B145" i="11"/>
  <c r="B145" i="17" s="1"/>
  <c r="C145" i="11"/>
  <c r="C145" i="17" s="1"/>
  <c r="D145" i="11"/>
  <c r="D145" i="17" s="1"/>
  <c r="A146" i="11"/>
  <c r="A146" i="17" s="1"/>
  <c r="B146" i="11"/>
  <c r="B146" i="17" s="1"/>
  <c r="C146" i="11"/>
  <c r="C146" i="17" s="1"/>
  <c r="D146" i="11"/>
  <c r="D146" i="17" s="1"/>
  <c r="A147" i="11"/>
  <c r="A147" i="17" s="1"/>
  <c r="B147" i="11"/>
  <c r="B147" i="17" s="1"/>
  <c r="C147" i="11"/>
  <c r="C147" i="17" s="1"/>
  <c r="D147" i="11"/>
  <c r="D147" i="17" s="1"/>
  <c r="A148" i="11"/>
  <c r="A148" i="17" s="1"/>
  <c r="B148" i="11"/>
  <c r="B148" i="17" s="1"/>
  <c r="C148" i="11"/>
  <c r="C148" i="17" s="1"/>
  <c r="D148" i="11"/>
  <c r="D148" i="17" s="1"/>
  <c r="A149" i="11"/>
  <c r="A149" i="17" s="1"/>
  <c r="B149" i="11"/>
  <c r="B149" i="17" s="1"/>
  <c r="C149" i="11"/>
  <c r="C149" i="17" s="1"/>
  <c r="D149" i="11"/>
  <c r="D149" i="17" s="1"/>
  <c r="A150" i="11"/>
  <c r="A150" i="17" s="1"/>
  <c r="B150" i="11"/>
  <c r="B150" i="17" s="1"/>
  <c r="C150" i="11"/>
  <c r="C150" i="17" s="1"/>
  <c r="D150" i="11"/>
  <c r="D150" i="17" s="1"/>
  <c r="A151" i="11"/>
  <c r="A151" i="17" s="1"/>
  <c r="B151" i="11"/>
  <c r="B151" i="17" s="1"/>
  <c r="C151" i="11"/>
  <c r="C151" i="17" s="1"/>
  <c r="D151" i="11"/>
  <c r="D151" i="17" s="1"/>
  <c r="A152" i="11"/>
  <c r="A152" i="17" s="1"/>
  <c r="B152" i="11"/>
  <c r="B152" i="17" s="1"/>
  <c r="C152" i="11"/>
  <c r="C152" i="17" s="1"/>
  <c r="D152" i="11"/>
  <c r="D152" i="17" s="1"/>
  <c r="A153" i="11"/>
  <c r="A153" i="17" s="1"/>
  <c r="B153" i="11"/>
  <c r="B153" i="17" s="1"/>
  <c r="C153" i="11"/>
  <c r="C153" i="17" s="1"/>
  <c r="D153" i="11"/>
  <c r="D153" i="17" s="1"/>
  <c r="A154" i="11"/>
  <c r="A154" i="17" s="1"/>
  <c r="B154" i="11"/>
  <c r="B154" i="17" s="1"/>
  <c r="C154" i="11"/>
  <c r="C154" i="17" s="1"/>
  <c r="D154" i="11"/>
  <c r="D154" i="17" s="1"/>
  <c r="A155" i="11"/>
  <c r="A155" i="17" s="1"/>
  <c r="B155" i="11"/>
  <c r="B155" i="17" s="1"/>
  <c r="C155" i="11"/>
  <c r="C155" i="17" s="1"/>
  <c r="D155" i="11"/>
  <c r="D155" i="17" s="1"/>
  <c r="A156" i="11"/>
  <c r="A156" i="17" s="1"/>
  <c r="B156" i="11"/>
  <c r="B156" i="17" s="1"/>
  <c r="C156" i="11"/>
  <c r="C156" i="17" s="1"/>
  <c r="D156" i="11"/>
  <c r="D156" i="17" s="1"/>
  <c r="A157" i="11"/>
  <c r="A157" i="17" s="1"/>
  <c r="B157" i="11"/>
  <c r="B157" i="17" s="1"/>
  <c r="C157" i="11"/>
  <c r="C157" i="17" s="1"/>
  <c r="D157" i="11"/>
  <c r="D157" i="17" s="1"/>
  <c r="A158" i="11"/>
  <c r="A158" i="17" s="1"/>
  <c r="B158" i="11"/>
  <c r="B158" i="17" s="1"/>
  <c r="C158" i="11"/>
  <c r="C158" i="17" s="1"/>
  <c r="D158" i="11"/>
  <c r="D158" i="17" s="1"/>
  <c r="A159" i="11"/>
  <c r="A159" i="17" s="1"/>
  <c r="B159" i="11"/>
  <c r="B159" i="17" s="1"/>
  <c r="C159" i="11"/>
  <c r="C159" i="17" s="1"/>
  <c r="D159" i="11"/>
  <c r="D159" i="17" s="1"/>
  <c r="A160" i="11"/>
  <c r="A160" i="17" s="1"/>
  <c r="B160" i="11"/>
  <c r="B160" i="17" s="1"/>
  <c r="C160" i="11"/>
  <c r="C160" i="17" s="1"/>
  <c r="D160" i="11"/>
  <c r="D160" i="17" s="1"/>
  <c r="A161" i="11"/>
  <c r="A161" i="17" s="1"/>
  <c r="B161" i="11"/>
  <c r="B161" i="17" s="1"/>
  <c r="C161" i="11"/>
  <c r="C161" i="17" s="1"/>
  <c r="D161" i="11"/>
  <c r="D161" i="17" s="1"/>
  <c r="A162" i="11"/>
  <c r="A162" i="17" s="1"/>
  <c r="B162" i="11"/>
  <c r="B162" i="17" s="1"/>
  <c r="C162" i="11"/>
  <c r="C162" i="17" s="1"/>
  <c r="D162" i="11"/>
  <c r="D162" i="17" s="1"/>
  <c r="A163" i="11"/>
  <c r="A163" i="17" s="1"/>
  <c r="B163" i="11"/>
  <c r="B163" i="17" s="1"/>
  <c r="C163" i="11"/>
  <c r="C163" i="17" s="1"/>
  <c r="D163" i="11"/>
  <c r="D163" i="17" s="1"/>
  <c r="A164" i="11"/>
  <c r="A164" i="17" s="1"/>
  <c r="B164" i="11"/>
  <c r="B164" i="17" s="1"/>
  <c r="C164" i="11"/>
  <c r="C164" i="17" s="1"/>
  <c r="D164" i="11"/>
  <c r="D164" i="17" s="1"/>
  <c r="A165" i="11"/>
  <c r="A165" i="17" s="1"/>
  <c r="B165" i="11"/>
  <c r="B165" i="17" s="1"/>
  <c r="C165" i="11"/>
  <c r="C165" i="17" s="1"/>
  <c r="D165" i="11"/>
  <c r="D165" i="17" s="1"/>
  <c r="A166" i="11"/>
  <c r="A166" i="17" s="1"/>
  <c r="B166" i="11"/>
  <c r="B166" i="17" s="1"/>
  <c r="C166" i="11"/>
  <c r="C166" i="17" s="1"/>
  <c r="D166" i="11"/>
  <c r="D166" i="17" s="1"/>
  <c r="A167" i="11"/>
  <c r="A167" i="17" s="1"/>
  <c r="B167" i="11"/>
  <c r="B167" i="17" s="1"/>
  <c r="C167" i="11"/>
  <c r="C167" i="17" s="1"/>
  <c r="D167" i="11"/>
  <c r="D167" i="17" s="1"/>
  <c r="A168" i="11"/>
  <c r="A168" i="17" s="1"/>
  <c r="B168" i="11"/>
  <c r="B168" i="17" s="1"/>
  <c r="C168" i="11"/>
  <c r="C168" i="17" s="1"/>
  <c r="D168" i="11"/>
  <c r="D168" i="17" s="1"/>
  <c r="A169" i="11"/>
  <c r="A169" i="17" s="1"/>
  <c r="B169" i="11"/>
  <c r="B169" i="17" s="1"/>
  <c r="C169" i="11"/>
  <c r="C169" i="17" s="1"/>
  <c r="D169" i="11"/>
  <c r="D169" i="17" s="1"/>
  <c r="A170" i="11"/>
  <c r="A170" i="17" s="1"/>
  <c r="B170" i="11"/>
  <c r="B170" i="17" s="1"/>
  <c r="C170" i="11"/>
  <c r="C170" i="17" s="1"/>
  <c r="D170" i="11"/>
  <c r="D170" i="17" s="1"/>
  <c r="A171" i="11"/>
  <c r="A171" i="17" s="1"/>
  <c r="B171" i="11"/>
  <c r="B171" i="17" s="1"/>
  <c r="C171" i="11"/>
  <c r="C171" i="17" s="1"/>
  <c r="D171" i="11"/>
  <c r="D171" i="17" s="1"/>
  <c r="A172" i="11"/>
  <c r="A172" i="17" s="1"/>
  <c r="B172" i="11"/>
  <c r="B172" i="17" s="1"/>
  <c r="C172" i="11"/>
  <c r="C172" i="17" s="1"/>
  <c r="D172" i="11"/>
  <c r="D172" i="17" s="1"/>
  <c r="A173" i="11"/>
  <c r="A173" i="17" s="1"/>
  <c r="B173" i="11"/>
  <c r="B173" i="17" s="1"/>
  <c r="C173" i="11"/>
  <c r="C173" i="17" s="1"/>
  <c r="D173" i="11"/>
  <c r="D173" i="17" s="1"/>
  <c r="A174" i="11"/>
  <c r="A174" i="17" s="1"/>
  <c r="B174" i="11"/>
  <c r="B174" i="17" s="1"/>
  <c r="C174" i="11"/>
  <c r="C174" i="17" s="1"/>
  <c r="D174" i="11"/>
  <c r="D174" i="17" s="1"/>
  <c r="A175" i="11"/>
  <c r="A175" i="17" s="1"/>
  <c r="B175" i="11"/>
  <c r="B175" i="17" s="1"/>
  <c r="C175" i="11"/>
  <c r="C175" i="17" s="1"/>
  <c r="D175" i="11"/>
  <c r="D175" i="17" s="1"/>
  <c r="A176" i="11"/>
  <c r="A176" i="17" s="1"/>
  <c r="B176" i="11"/>
  <c r="B176" i="17" s="1"/>
  <c r="C176" i="11"/>
  <c r="C176" i="17" s="1"/>
  <c r="D176" i="11"/>
  <c r="D176" i="17" s="1"/>
  <c r="A177" i="11"/>
  <c r="A177" i="17" s="1"/>
  <c r="B177" i="11"/>
  <c r="B177" i="17" s="1"/>
  <c r="C177" i="11"/>
  <c r="C177" i="17" s="1"/>
  <c r="D177" i="11"/>
  <c r="D177" i="17" s="1"/>
  <c r="A178" i="11"/>
  <c r="A178" i="17" s="1"/>
  <c r="B178" i="11"/>
  <c r="B178" i="17" s="1"/>
  <c r="C178" i="11"/>
  <c r="C178" i="17" s="1"/>
  <c r="D178" i="11"/>
  <c r="D178" i="17" s="1"/>
  <c r="A179" i="11"/>
  <c r="A179" i="17" s="1"/>
  <c r="B179" i="11"/>
  <c r="B179" i="17" s="1"/>
  <c r="C179" i="11"/>
  <c r="C179" i="17" s="1"/>
  <c r="D179" i="11"/>
  <c r="D179" i="17" s="1"/>
  <c r="A180" i="11"/>
  <c r="A180" i="17" s="1"/>
  <c r="B180" i="11"/>
  <c r="B180" i="17" s="1"/>
  <c r="C180" i="11"/>
  <c r="C180" i="17" s="1"/>
  <c r="D180" i="11"/>
  <c r="D180" i="17" s="1"/>
  <c r="A181" i="11"/>
  <c r="A181" i="17" s="1"/>
  <c r="B181" i="11"/>
  <c r="B181" i="17" s="1"/>
  <c r="C181" i="11"/>
  <c r="C181" i="17" s="1"/>
  <c r="D181" i="11"/>
  <c r="D181" i="17" s="1"/>
  <c r="A182" i="11"/>
  <c r="A182" i="17" s="1"/>
  <c r="B182" i="11"/>
  <c r="B182" i="17" s="1"/>
  <c r="C182" i="11"/>
  <c r="C182" i="17" s="1"/>
  <c r="D182" i="11"/>
  <c r="D182" i="17" s="1"/>
  <c r="A183" i="11"/>
  <c r="A183" i="17" s="1"/>
  <c r="B183" i="11"/>
  <c r="B183" i="17" s="1"/>
  <c r="C183" i="11"/>
  <c r="C183" i="17" s="1"/>
  <c r="D183" i="11"/>
  <c r="D183" i="17" s="1"/>
  <c r="A184" i="11"/>
  <c r="A184" i="17" s="1"/>
  <c r="B184" i="11"/>
  <c r="B184" i="17" s="1"/>
  <c r="C184" i="11"/>
  <c r="C184" i="17" s="1"/>
  <c r="D184" i="11"/>
  <c r="D184" i="17" s="1"/>
  <c r="A185" i="11"/>
  <c r="A185" i="17" s="1"/>
  <c r="B185" i="11"/>
  <c r="B185" i="17" s="1"/>
  <c r="C185" i="11"/>
  <c r="C185" i="17" s="1"/>
  <c r="D185" i="11"/>
  <c r="D185" i="17" s="1"/>
  <c r="A186" i="11"/>
  <c r="A186" i="17" s="1"/>
  <c r="B186" i="11"/>
  <c r="B186" i="17" s="1"/>
  <c r="C186" i="11"/>
  <c r="C186" i="17" s="1"/>
  <c r="D186" i="11"/>
  <c r="D186" i="17" s="1"/>
  <c r="A187" i="11"/>
  <c r="A187" i="17" s="1"/>
  <c r="B187" i="11"/>
  <c r="B187" i="17" s="1"/>
  <c r="C187" i="11"/>
  <c r="C187" i="17" s="1"/>
  <c r="D187" i="11"/>
  <c r="D187" i="17" s="1"/>
  <c r="A188" i="11"/>
  <c r="A188" i="17" s="1"/>
  <c r="B188" i="11"/>
  <c r="B188" i="17" s="1"/>
  <c r="C188" i="11"/>
  <c r="C188" i="17" s="1"/>
  <c r="D188" i="11"/>
  <c r="D188" i="17" s="1"/>
  <c r="A189" i="11"/>
  <c r="A189" i="17" s="1"/>
  <c r="B189" i="11"/>
  <c r="B189" i="17" s="1"/>
  <c r="C189" i="11"/>
  <c r="C189" i="17" s="1"/>
  <c r="D189" i="11"/>
  <c r="D189" i="17" s="1"/>
  <c r="A190" i="11"/>
  <c r="A190" i="17" s="1"/>
  <c r="B190" i="11"/>
  <c r="B190" i="17" s="1"/>
  <c r="C190" i="11"/>
  <c r="C190" i="17" s="1"/>
  <c r="D190" i="11"/>
  <c r="D190" i="17" s="1"/>
  <c r="A191" i="11"/>
  <c r="A191" i="17" s="1"/>
  <c r="B191" i="11"/>
  <c r="B191" i="17" s="1"/>
  <c r="C191" i="11"/>
  <c r="C191" i="17" s="1"/>
  <c r="D191" i="11"/>
  <c r="D191" i="17" s="1"/>
  <c r="A192" i="11"/>
  <c r="A192" i="17" s="1"/>
  <c r="B192" i="11"/>
  <c r="B192" i="17" s="1"/>
  <c r="C192" i="11"/>
  <c r="C192" i="17" s="1"/>
  <c r="D192" i="11"/>
  <c r="D192" i="17" s="1"/>
  <c r="A193" i="11"/>
  <c r="A193" i="17" s="1"/>
  <c r="B193" i="11"/>
  <c r="B193" i="17" s="1"/>
  <c r="C193" i="11"/>
  <c r="C193" i="17" s="1"/>
  <c r="D193" i="11"/>
  <c r="D193" i="17" s="1"/>
  <c r="A194" i="11"/>
  <c r="A194" i="17" s="1"/>
  <c r="B194" i="11"/>
  <c r="B194" i="17" s="1"/>
  <c r="C194" i="11"/>
  <c r="C194" i="17" s="1"/>
  <c r="D194" i="11"/>
  <c r="D194" i="17" s="1"/>
  <c r="A195" i="11"/>
  <c r="A195" i="17" s="1"/>
  <c r="B195" i="11"/>
  <c r="B195" i="17" s="1"/>
  <c r="C195" i="11"/>
  <c r="C195" i="17" s="1"/>
  <c r="D195" i="11"/>
  <c r="D195" i="17" s="1"/>
  <c r="A196" i="11"/>
  <c r="A196" i="17" s="1"/>
  <c r="B196" i="11"/>
  <c r="B196" i="17" s="1"/>
  <c r="C196" i="11"/>
  <c r="C196" i="17" s="1"/>
  <c r="D196" i="11"/>
  <c r="D196" i="17" s="1"/>
  <c r="A197" i="11"/>
  <c r="A197" i="17" s="1"/>
  <c r="B197" i="11"/>
  <c r="B197" i="17" s="1"/>
  <c r="C197" i="11"/>
  <c r="C197" i="17" s="1"/>
  <c r="D197" i="11"/>
  <c r="D197" i="17" s="1"/>
  <c r="A198" i="11"/>
  <c r="A198" i="17" s="1"/>
  <c r="B198" i="11"/>
  <c r="B198" i="17" s="1"/>
  <c r="C198" i="11"/>
  <c r="C198" i="17" s="1"/>
  <c r="D198" i="11"/>
  <c r="D198" i="17" s="1"/>
  <c r="A199" i="11"/>
  <c r="A199" i="17" s="1"/>
  <c r="B199" i="11"/>
  <c r="B199" i="17" s="1"/>
  <c r="C199" i="11"/>
  <c r="C199" i="17" s="1"/>
  <c r="D199" i="11"/>
  <c r="D199" i="17" s="1"/>
  <c r="A200" i="11"/>
  <c r="A200" i="17" s="1"/>
  <c r="B200" i="11"/>
  <c r="B200" i="17" s="1"/>
  <c r="C200" i="11"/>
  <c r="C200" i="17" s="1"/>
  <c r="D200" i="11"/>
  <c r="D200" i="17" s="1"/>
  <c r="A201" i="11"/>
  <c r="A201" i="17" s="1"/>
  <c r="B201" i="11"/>
  <c r="B201" i="17" s="1"/>
  <c r="C201" i="11"/>
  <c r="C201" i="17" s="1"/>
  <c r="D201" i="11"/>
  <c r="D201" i="17" s="1"/>
  <c r="A202" i="11"/>
  <c r="A202" i="17" s="1"/>
  <c r="B202" i="11"/>
  <c r="B202" i="17" s="1"/>
  <c r="C202" i="11"/>
  <c r="C202" i="17" s="1"/>
  <c r="D202" i="11"/>
  <c r="D202" i="17" s="1"/>
  <c r="A203" i="11"/>
  <c r="A203" i="17" s="1"/>
  <c r="B203" i="11"/>
  <c r="B203" i="17" s="1"/>
  <c r="C203" i="11"/>
  <c r="C203" i="17" s="1"/>
  <c r="D203" i="11"/>
  <c r="D203" i="17" s="1"/>
  <c r="A204" i="11"/>
  <c r="A204" i="17" s="1"/>
  <c r="B204" i="11"/>
  <c r="B204" i="17" s="1"/>
  <c r="C204" i="11"/>
  <c r="C204" i="17" s="1"/>
  <c r="D204" i="11"/>
  <c r="D204" i="17" s="1"/>
  <c r="A205" i="11"/>
  <c r="A205" i="17" s="1"/>
  <c r="B205" i="11"/>
  <c r="B205" i="17" s="1"/>
  <c r="C205" i="11"/>
  <c r="C205" i="17" s="1"/>
  <c r="D205" i="11"/>
  <c r="D205" i="17" s="1"/>
  <c r="A206" i="11"/>
  <c r="A206" i="17" s="1"/>
  <c r="B206" i="11"/>
  <c r="B206" i="17" s="1"/>
  <c r="C206" i="11"/>
  <c r="C206" i="17" s="1"/>
  <c r="D206" i="11"/>
  <c r="D206" i="17" s="1"/>
  <c r="A207" i="11"/>
  <c r="A207" i="17" s="1"/>
  <c r="B207" i="11"/>
  <c r="B207" i="17" s="1"/>
  <c r="C207" i="11"/>
  <c r="C207" i="17" s="1"/>
  <c r="D207" i="11"/>
  <c r="D207" i="17" s="1"/>
  <c r="A208" i="11"/>
  <c r="A208" i="17" s="1"/>
  <c r="B208" i="11"/>
  <c r="B208" i="17" s="1"/>
  <c r="C208" i="11"/>
  <c r="C208" i="17" s="1"/>
  <c r="D208" i="11"/>
  <c r="D208" i="17" s="1"/>
  <c r="D2" i="12"/>
  <c r="I2" i="12"/>
  <c r="D3" i="12"/>
  <c r="D4" i="12"/>
  <c r="A9" i="12"/>
  <c r="A9" i="13" s="1"/>
  <c r="B9" i="12"/>
  <c r="B9" i="13" s="1"/>
  <c r="C9" i="12"/>
  <c r="C9" i="13" s="1"/>
  <c r="D9" i="12"/>
  <c r="D9" i="13" s="1"/>
  <c r="A10" i="12"/>
  <c r="A10" i="13" s="1"/>
  <c r="B10" i="12"/>
  <c r="B10" i="13" s="1"/>
  <c r="C10" i="12"/>
  <c r="C10" i="13" s="1"/>
  <c r="D10" i="12"/>
  <c r="D10" i="13" s="1"/>
  <c r="A11" i="12"/>
  <c r="A11" i="13" s="1"/>
  <c r="B11" i="12"/>
  <c r="B11" i="13" s="1"/>
  <c r="C11" i="12"/>
  <c r="C11" i="13" s="1"/>
  <c r="D11" i="12"/>
  <c r="D11" i="13" s="1"/>
  <c r="A12" i="12"/>
  <c r="A12" i="13" s="1"/>
  <c r="B12" i="12"/>
  <c r="B12" i="13" s="1"/>
  <c r="C12" i="12"/>
  <c r="C12" i="13" s="1"/>
  <c r="D12" i="12"/>
  <c r="D12" i="13" s="1"/>
  <c r="A13" i="12"/>
  <c r="A13" i="13" s="1"/>
  <c r="B13" i="12"/>
  <c r="B13" i="13" s="1"/>
  <c r="C13" i="12"/>
  <c r="C13" i="13" s="1"/>
  <c r="D13" i="12"/>
  <c r="D13" i="13" s="1"/>
  <c r="A14" i="12"/>
  <c r="A14" i="13" s="1"/>
  <c r="B14" i="12"/>
  <c r="B14" i="13" s="1"/>
  <c r="C14" i="12"/>
  <c r="C14" i="13" s="1"/>
  <c r="D14" i="12"/>
  <c r="D14" i="13" s="1"/>
  <c r="A15" i="12"/>
  <c r="A15" i="13" s="1"/>
  <c r="B15" i="12"/>
  <c r="B15" i="13" s="1"/>
  <c r="C15" i="12"/>
  <c r="C15" i="13" s="1"/>
  <c r="D15" i="12"/>
  <c r="D15" i="13" s="1"/>
  <c r="A16" i="12"/>
  <c r="A16" i="13" s="1"/>
  <c r="B16" i="12"/>
  <c r="B16" i="13" s="1"/>
  <c r="C16" i="12"/>
  <c r="C16" i="13" s="1"/>
  <c r="D16" i="12"/>
  <c r="D16" i="13" s="1"/>
  <c r="A17" i="12"/>
  <c r="A17" i="13" s="1"/>
  <c r="B17" i="12"/>
  <c r="B17" i="13" s="1"/>
  <c r="C17" i="12"/>
  <c r="C17" i="13" s="1"/>
  <c r="D17" i="12"/>
  <c r="D17" i="13" s="1"/>
  <c r="A18" i="12"/>
  <c r="A18" i="13" s="1"/>
  <c r="B18" i="12"/>
  <c r="B18" i="13" s="1"/>
  <c r="C18" i="12"/>
  <c r="C18" i="13" s="1"/>
  <c r="D18" i="12"/>
  <c r="D18" i="13" s="1"/>
  <c r="A19" i="12"/>
  <c r="A19" i="13" s="1"/>
  <c r="B19" i="12"/>
  <c r="B19" i="13" s="1"/>
  <c r="C19" i="12"/>
  <c r="C19" i="13" s="1"/>
  <c r="D19" i="12"/>
  <c r="D19" i="13" s="1"/>
  <c r="A20" i="12"/>
  <c r="A20" i="13" s="1"/>
  <c r="B20" i="12"/>
  <c r="B20" i="13" s="1"/>
  <c r="C20" i="12"/>
  <c r="C20" i="13" s="1"/>
  <c r="D20" i="12"/>
  <c r="D20" i="13" s="1"/>
  <c r="A21" i="12"/>
  <c r="A21" i="13" s="1"/>
  <c r="B21" i="12"/>
  <c r="B21" i="13" s="1"/>
  <c r="C21" i="12"/>
  <c r="C21" i="13" s="1"/>
  <c r="D21" i="12"/>
  <c r="D21" i="13" s="1"/>
  <c r="A22" i="12"/>
  <c r="A22" i="13" s="1"/>
  <c r="B22" i="12"/>
  <c r="B22" i="13" s="1"/>
  <c r="C22" i="12"/>
  <c r="C22" i="13" s="1"/>
  <c r="D22" i="12"/>
  <c r="D22" i="13" s="1"/>
  <c r="A23" i="12"/>
  <c r="A23" i="13" s="1"/>
  <c r="B23" i="12"/>
  <c r="B23" i="13" s="1"/>
  <c r="C23" i="12"/>
  <c r="C23" i="13" s="1"/>
  <c r="D23" i="12"/>
  <c r="D23" i="13" s="1"/>
  <c r="A24" i="12"/>
  <c r="A24" i="13" s="1"/>
  <c r="B24" i="12"/>
  <c r="B24" i="13" s="1"/>
  <c r="C24" i="12"/>
  <c r="C24" i="13" s="1"/>
  <c r="D24" i="12"/>
  <c r="D24" i="13" s="1"/>
  <c r="A25" i="12"/>
  <c r="A25" i="13" s="1"/>
  <c r="B25" i="12"/>
  <c r="B25" i="13" s="1"/>
  <c r="C25" i="12"/>
  <c r="C25" i="13" s="1"/>
  <c r="D25" i="12"/>
  <c r="D25" i="13" s="1"/>
  <c r="A26" i="12"/>
  <c r="A26" i="13" s="1"/>
  <c r="B26" i="12"/>
  <c r="B26" i="13" s="1"/>
  <c r="C26" i="12"/>
  <c r="C26" i="13" s="1"/>
  <c r="D26" i="12"/>
  <c r="D26" i="13" s="1"/>
  <c r="A27" i="12"/>
  <c r="A27" i="13" s="1"/>
  <c r="B27" i="12"/>
  <c r="B27" i="13" s="1"/>
  <c r="C27" i="12"/>
  <c r="C27" i="13" s="1"/>
  <c r="D27" i="12"/>
  <c r="D27" i="13" s="1"/>
  <c r="A28" i="12"/>
  <c r="A28" i="13" s="1"/>
  <c r="B28" i="12"/>
  <c r="B28" i="13" s="1"/>
  <c r="C28" i="12"/>
  <c r="C28" i="13" s="1"/>
  <c r="D28" i="12"/>
  <c r="D28" i="13" s="1"/>
  <c r="A29" i="12"/>
  <c r="A29" i="13" s="1"/>
  <c r="B29" i="12"/>
  <c r="B29" i="13" s="1"/>
  <c r="C29" i="12"/>
  <c r="C29" i="13" s="1"/>
  <c r="D29" i="12"/>
  <c r="D29" i="13" s="1"/>
  <c r="A30" i="12"/>
  <c r="A30" i="13" s="1"/>
  <c r="B30" i="12"/>
  <c r="B30" i="13" s="1"/>
  <c r="C30" i="12"/>
  <c r="C30" i="13" s="1"/>
  <c r="D30" i="12"/>
  <c r="D30" i="13" s="1"/>
  <c r="A31" i="12"/>
  <c r="A31" i="13" s="1"/>
  <c r="B31" i="12"/>
  <c r="B31" i="13" s="1"/>
  <c r="C31" i="12"/>
  <c r="C31" i="13" s="1"/>
  <c r="D31" i="12"/>
  <c r="D31" i="13" s="1"/>
  <c r="A32" i="12"/>
  <c r="A32" i="13" s="1"/>
  <c r="B32" i="12"/>
  <c r="B32" i="13" s="1"/>
  <c r="C32" i="12"/>
  <c r="C32" i="13" s="1"/>
  <c r="D32" i="12"/>
  <c r="D32" i="13" s="1"/>
  <c r="A33" i="12"/>
  <c r="A33" i="13" s="1"/>
  <c r="B33" i="12"/>
  <c r="B33" i="13" s="1"/>
  <c r="C33" i="12"/>
  <c r="C33" i="13" s="1"/>
  <c r="D33" i="12"/>
  <c r="D33" i="13" s="1"/>
  <c r="A34" i="12"/>
  <c r="A34" i="13" s="1"/>
  <c r="B34" i="12"/>
  <c r="B34" i="13" s="1"/>
  <c r="C34" i="12"/>
  <c r="C34" i="13" s="1"/>
  <c r="D34" i="12"/>
  <c r="D34" i="13" s="1"/>
  <c r="A35" i="12"/>
  <c r="A35" i="13" s="1"/>
  <c r="B35" i="12"/>
  <c r="B35" i="13" s="1"/>
  <c r="C35" i="12"/>
  <c r="C35" i="13" s="1"/>
  <c r="D35" i="12"/>
  <c r="D35" i="13" s="1"/>
  <c r="A36" i="12"/>
  <c r="A36" i="13" s="1"/>
  <c r="B36" i="12"/>
  <c r="B36" i="13" s="1"/>
  <c r="C36" i="12"/>
  <c r="C36" i="13" s="1"/>
  <c r="D36" i="12"/>
  <c r="D36" i="13" s="1"/>
  <c r="A37" i="12"/>
  <c r="A37" i="13" s="1"/>
  <c r="B37" i="12"/>
  <c r="B37" i="13" s="1"/>
  <c r="C37" i="12"/>
  <c r="C37" i="13" s="1"/>
  <c r="D37" i="12"/>
  <c r="D37" i="13" s="1"/>
  <c r="A38" i="12"/>
  <c r="A38" i="13" s="1"/>
  <c r="B38" i="12"/>
  <c r="B38" i="13" s="1"/>
  <c r="C38" i="12"/>
  <c r="C38" i="13" s="1"/>
  <c r="D38" i="12"/>
  <c r="D38" i="13" s="1"/>
  <c r="A39" i="12"/>
  <c r="A39" i="13" s="1"/>
  <c r="B39" i="12"/>
  <c r="B39" i="13" s="1"/>
  <c r="C39" i="12"/>
  <c r="C39" i="13" s="1"/>
  <c r="D39" i="12"/>
  <c r="D39" i="13" s="1"/>
  <c r="A40" i="12"/>
  <c r="A40" i="13" s="1"/>
  <c r="B40" i="12"/>
  <c r="B40" i="13" s="1"/>
  <c r="C40" i="12"/>
  <c r="C40" i="13" s="1"/>
  <c r="D40" i="12"/>
  <c r="D40" i="13" s="1"/>
  <c r="A41" i="12"/>
  <c r="A41" i="13" s="1"/>
  <c r="B41" i="12"/>
  <c r="B41" i="13" s="1"/>
  <c r="C41" i="12"/>
  <c r="C41" i="13" s="1"/>
  <c r="D41" i="12"/>
  <c r="D41" i="13" s="1"/>
  <c r="A42" i="12"/>
  <c r="A42" i="13" s="1"/>
  <c r="B42" i="12"/>
  <c r="B42" i="13" s="1"/>
  <c r="C42" i="12"/>
  <c r="C42" i="13" s="1"/>
  <c r="D42" i="12"/>
  <c r="D42" i="13" s="1"/>
  <c r="A43" i="12"/>
  <c r="A43" i="13" s="1"/>
  <c r="B43" i="12"/>
  <c r="B43" i="13" s="1"/>
  <c r="C43" i="12"/>
  <c r="C43" i="13" s="1"/>
  <c r="D43" i="12"/>
  <c r="D43" i="13" s="1"/>
  <c r="A44" i="12"/>
  <c r="A44" i="13" s="1"/>
  <c r="B44" i="12"/>
  <c r="B44" i="13" s="1"/>
  <c r="C44" i="12"/>
  <c r="C44" i="13" s="1"/>
  <c r="D44" i="12"/>
  <c r="D44" i="13" s="1"/>
  <c r="A45" i="12"/>
  <c r="A45" i="13" s="1"/>
  <c r="B45" i="12"/>
  <c r="B45" i="13" s="1"/>
  <c r="C45" i="12"/>
  <c r="C45" i="13" s="1"/>
  <c r="D45" i="12"/>
  <c r="D45" i="13" s="1"/>
  <c r="A46" i="12"/>
  <c r="A46" i="13" s="1"/>
  <c r="B46" i="12"/>
  <c r="B46" i="13" s="1"/>
  <c r="C46" i="12"/>
  <c r="C46" i="13" s="1"/>
  <c r="D46" i="12"/>
  <c r="D46" i="13" s="1"/>
  <c r="A47" i="12"/>
  <c r="A47" i="13" s="1"/>
  <c r="B47" i="12"/>
  <c r="B47" i="13" s="1"/>
  <c r="C47" i="12"/>
  <c r="C47" i="13" s="1"/>
  <c r="D47" i="12"/>
  <c r="D47" i="13" s="1"/>
  <c r="A48" i="12"/>
  <c r="A48" i="13" s="1"/>
  <c r="B48" i="12"/>
  <c r="B48" i="13" s="1"/>
  <c r="C48" i="12"/>
  <c r="C48" i="13" s="1"/>
  <c r="D48" i="12"/>
  <c r="D48" i="13" s="1"/>
  <c r="A49" i="12"/>
  <c r="A49" i="13" s="1"/>
  <c r="B49" i="12"/>
  <c r="B49" i="13" s="1"/>
  <c r="C49" i="12"/>
  <c r="C49" i="13" s="1"/>
  <c r="D49" i="12"/>
  <c r="D49" i="13" s="1"/>
  <c r="A50" i="12"/>
  <c r="A50" i="13" s="1"/>
  <c r="B50" i="12"/>
  <c r="B50" i="13" s="1"/>
  <c r="C50" i="12"/>
  <c r="C50" i="13" s="1"/>
  <c r="D50" i="12"/>
  <c r="D50" i="13" s="1"/>
  <c r="A51" i="12"/>
  <c r="A51" i="13" s="1"/>
  <c r="B51" i="12"/>
  <c r="B51" i="13" s="1"/>
  <c r="C51" i="12"/>
  <c r="C51" i="13" s="1"/>
  <c r="D51" i="12"/>
  <c r="D51" i="13" s="1"/>
  <c r="A52" i="12"/>
  <c r="A52" i="13" s="1"/>
  <c r="B52" i="12"/>
  <c r="B52" i="13" s="1"/>
  <c r="C52" i="12"/>
  <c r="C52" i="13" s="1"/>
  <c r="D52" i="12"/>
  <c r="D52" i="13" s="1"/>
  <c r="A53" i="12"/>
  <c r="A53" i="13" s="1"/>
  <c r="B53" i="12"/>
  <c r="B53" i="13" s="1"/>
  <c r="C53" i="12"/>
  <c r="C53" i="13" s="1"/>
  <c r="D53" i="12"/>
  <c r="D53" i="13" s="1"/>
  <c r="A54" i="12"/>
  <c r="A54" i="13" s="1"/>
  <c r="B54" i="12"/>
  <c r="B54" i="13" s="1"/>
  <c r="C54" i="12"/>
  <c r="C54" i="13" s="1"/>
  <c r="D54" i="12"/>
  <c r="D54" i="13" s="1"/>
  <c r="A55" i="12"/>
  <c r="A55" i="13" s="1"/>
  <c r="B55" i="12"/>
  <c r="B55" i="13" s="1"/>
  <c r="C55" i="12"/>
  <c r="C55" i="13" s="1"/>
  <c r="D55" i="12"/>
  <c r="D55" i="13" s="1"/>
  <c r="A56" i="12"/>
  <c r="A56" i="13" s="1"/>
  <c r="B56" i="12"/>
  <c r="B56" i="13" s="1"/>
  <c r="C56" i="12"/>
  <c r="C56" i="13" s="1"/>
  <c r="D56" i="12"/>
  <c r="D56" i="13" s="1"/>
  <c r="A57" i="12"/>
  <c r="A57" i="13" s="1"/>
  <c r="B57" i="12"/>
  <c r="B57" i="13" s="1"/>
  <c r="C57" i="12"/>
  <c r="C57" i="13" s="1"/>
  <c r="D57" i="12"/>
  <c r="D57" i="13" s="1"/>
  <c r="A58" i="12"/>
  <c r="A58" i="13" s="1"/>
  <c r="B58" i="12"/>
  <c r="B58" i="13" s="1"/>
  <c r="C58" i="12"/>
  <c r="C58" i="13" s="1"/>
  <c r="D58" i="12"/>
  <c r="D58" i="13" s="1"/>
  <c r="A59" i="12"/>
  <c r="A59" i="13" s="1"/>
  <c r="B59" i="12"/>
  <c r="B59" i="13" s="1"/>
  <c r="C59" i="12"/>
  <c r="C59" i="13" s="1"/>
  <c r="D59" i="12"/>
  <c r="D59" i="13" s="1"/>
  <c r="A60" i="12"/>
  <c r="A60" i="13" s="1"/>
  <c r="B60" i="12"/>
  <c r="B60" i="13" s="1"/>
  <c r="C60" i="12"/>
  <c r="C60" i="13" s="1"/>
  <c r="D60" i="12"/>
  <c r="D60" i="13" s="1"/>
  <c r="A61" i="12"/>
  <c r="A61" i="13" s="1"/>
  <c r="B61" i="12"/>
  <c r="B61" i="13" s="1"/>
  <c r="C61" i="12"/>
  <c r="C61" i="13" s="1"/>
  <c r="D61" i="12"/>
  <c r="D61" i="13" s="1"/>
  <c r="A62" i="12"/>
  <c r="A62" i="13" s="1"/>
  <c r="B62" i="12"/>
  <c r="B62" i="13" s="1"/>
  <c r="C62" i="12"/>
  <c r="C62" i="13" s="1"/>
  <c r="D62" i="12"/>
  <c r="D62" i="13" s="1"/>
  <c r="A63" i="12"/>
  <c r="A63" i="13" s="1"/>
  <c r="B63" i="12"/>
  <c r="B63" i="13" s="1"/>
  <c r="C63" i="12"/>
  <c r="C63" i="13" s="1"/>
  <c r="D63" i="12"/>
  <c r="D63" i="13" s="1"/>
  <c r="A64" i="12"/>
  <c r="A64" i="13" s="1"/>
  <c r="B64" i="12"/>
  <c r="B64" i="13" s="1"/>
  <c r="C64" i="12"/>
  <c r="C64" i="13" s="1"/>
  <c r="D64" i="12"/>
  <c r="D64" i="13" s="1"/>
  <c r="A65" i="12"/>
  <c r="A65" i="13" s="1"/>
  <c r="B65" i="12"/>
  <c r="B65" i="13" s="1"/>
  <c r="C65" i="12"/>
  <c r="C65" i="13" s="1"/>
  <c r="D65" i="12"/>
  <c r="D65" i="13" s="1"/>
  <c r="A66" i="12"/>
  <c r="A66" i="13" s="1"/>
  <c r="B66" i="12"/>
  <c r="B66" i="13" s="1"/>
  <c r="C66" i="12"/>
  <c r="C66" i="13" s="1"/>
  <c r="D66" i="12"/>
  <c r="D66" i="13" s="1"/>
  <c r="A67" i="12"/>
  <c r="A67" i="13" s="1"/>
  <c r="B67" i="12"/>
  <c r="B67" i="13" s="1"/>
  <c r="C67" i="12"/>
  <c r="C67" i="13" s="1"/>
  <c r="D67" i="12"/>
  <c r="D67" i="13" s="1"/>
  <c r="A68" i="12"/>
  <c r="A68" i="13" s="1"/>
  <c r="B68" i="12"/>
  <c r="B68" i="13" s="1"/>
  <c r="C68" i="12"/>
  <c r="C68" i="13" s="1"/>
  <c r="D68" i="12"/>
  <c r="D68" i="13" s="1"/>
  <c r="A69" i="12"/>
  <c r="A69" i="13" s="1"/>
  <c r="B69" i="12"/>
  <c r="B69" i="13" s="1"/>
  <c r="C69" i="12"/>
  <c r="C69" i="13" s="1"/>
  <c r="D69" i="12"/>
  <c r="D69" i="13" s="1"/>
  <c r="A70" i="12"/>
  <c r="A70" i="13" s="1"/>
  <c r="B70" i="12"/>
  <c r="B70" i="13" s="1"/>
  <c r="C70" i="12"/>
  <c r="C70" i="13" s="1"/>
  <c r="D70" i="12"/>
  <c r="D70" i="13" s="1"/>
  <c r="A71" i="12"/>
  <c r="A71" i="13" s="1"/>
  <c r="B71" i="12"/>
  <c r="B71" i="13" s="1"/>
  <c r="C71" i="12"/>
  <c r="C71" i="13" s="1"/>
  <c r="D71" i="12"/>
  <c r="D71" i="13" s="1"/>
  <c r="A72" i="12"/>
  <c r="A72" i="13" s="1"/>
  <c r="B72" i="12"/>
  <c r="B72" i="13" s="1"/>
  <c r="C72" i="12"/>
  <c r="C72" i="13" s="1"/>
  <c r="D72" i="12"/>
  <c r="D72" i="13" s="1"/>
  <c r="A73" i="12"/>
  <c r="A73" i="13" s="1"/>
  <c r="B73" i="12"/>
  <c r="B73" i="13" s="1"/>
  <c r="C73" i="12"/>
  <c r="C73" i="13" s="1"/>
  <c r="D73" i="12"/>
  <c r="D73" i="13" s="1"/>
  <c r="A74" i="12"/>
  <c r="A74" i="13" s="1"/>
  <c r="B74" i="12"/>
  <c r="B74" i="13" s="1"/>
  <c r="C74" i="12"/>
  <c r="C74" i="13" s="1"/>
  <c r="D74" i="12"/>
  <c r="D74" i="13" s="1"/>
  <c r="A75" i="12"/>
  <c r="A75" i="13" s="1"/>
  <c r="B75" i="12"/>
  <c r="B75" i="13" s="1"/>
  <c r="C75" i="12"/>
  <c r="C75" i="13" s="1"/>
  <c r="D75" i="12"/>
  <c r="D75" i="13" s="1"/>
  <c r="A76" i="12"/>
  <c r="A76" i="13" s="1"/>
  <c r="B76" i="12"/>
  <c r="B76" i="13" s="1"/>
  <c r="C76" i="12"/>
  <c r="C76" i="13" s="1"/>
  <c r="D76" i="12"/>
  <c r="D76" i="13" s="1"/>
  <c r="A77" i="12"/>
  <c r="A77" i="13" s="1"/>
  <c r="B77" i="12"/>
  <c r="B77" i="13" s="1"/>
  <c r="C77" i="12"/>
  <c r="C77" i="13" s="1"/>
  <c r="D77" i="12"/>
  <c r="D77" i="13" s="1"/>
  <c r="A78" i="12"/>
  <c r="A78" i="13" s="1"/>
  <c r="B78" i="12"/>
  <c r="B78" i="13" s="1"/>
  <c r="C78" i="12"/>
  <c r="C78" i="13" s="1"/>
  <c r="D78" i="12"/>
  <c r="D78" i="13" s="1"/>
  <c r="A79" i="12"/>
  <c r="A79" i="13" s="1"/>
  <c r="B79" i="12"/>
  <c r="B79" i="13" s="1"/>
  <c r="C79" i="12"/>
  <c r="C79" i="13" s="1"/>
  <c r="D79" i="12"/>
  <c r="D79" i="13" s="1"/>
  <c r="A80" i="12"/>
  <c r="A80" i="13" s="1"/>
  <c r="B80" i="12"/>
  <c r="B80" i="13" s="1"/>
  <c r="C80" i="12"/>
  <c r="C80" i="13" s="1"/>
  <c r="D80" i="12"/>
  <c r="D80" i="13" s="1"/>
  <c r="A81" i="12"/>
  <c r="A81" i="13" s="1"/>
  <c r="B81" i="12"/>
  <c r="B81" i="13" s="1"/>
  <c r="C81" i="12"/>
  <c r="C81" i="13" s="1"/>
  <c r="D81" i="12"/>
  <c r="D81" i="13" s="1"/>
  <c r="A82" i="12"/>
  <c r="A82" i="13" s="1"/>
  <c r="B82" i="12"/>
  <c r="B82" i="13" s="1"/>
  <c r="C82" i="12"/>
  <c r="C82" i="13" s="1"/>
  <c r="D82" i="12"/>
  <c r="D82" i="13" s="1"/>
  <c r="A83" i="12"/>
  <c r="A83" i="13" s="1"/>
  <c r="B83" i="12"/>
  <c r="B83" i="13" s="1"/>
  <c r="C83" i="12"/>
  <c r="C83" i="13" s="1"/>
  <c r="D83" i="12"/>
  <c r="D83" i="13" s="1"/>
  <c r="A84" i="12"/>
  <c r="A84" i="13" s="1"/>
  <c r="B84" i="12"/>
  <c r="B84" i="13" s="1"/>
  <c r="C84" i="12"/>
  <c r="C84" i="13" s="1"/>
  <c r="D84" i="12"/>
  <c r="D84" i="13" s="1"/>
  <c r="A85" i="12"/>
  <c r="A85" i="13" s="1"/>
  <c r="B85" i="12"/>
  <c r="B85" i="13" s="1"/>
  <c r="C85" i="12"/>
  <c r="C85" i="13" s="1"/>
  <c r="D85" i="12"/>
  <c r="D85" i="13" s="1"/>
  <c r="A86" i="12"/>
  <c r="A86" i="13" s="1"/>
  <c r="B86" i="12"/>
  <c r="B86" i="13" s="1"/>
  <c r="C86" i="12"/>
  <c r="C86" i="13" s="1"/>
  <c r="D86" i="12"/>
  <c r="D86" i="13" s="1"/>
  <c r="A87" i="12"/>
  <c r="A87" i="13" s="1"/>
  <c r="B87" i="12"/>
  <c r="B87" i="13" s="1"/>
  <c r="C87" i="12"/>
  <c r="C87" i="13" s="1"/>
  <c r="D87" i="12"/>
  <c r="D87" i="13" s="1"/>
  <c r="A88" i="12"/>
  <c r="A88" i="13" s="1"/>
  <c r="B88" i="12"/>
  <c r="B88" i="13" s="1"/>
  <c r="C88" i="12"/>
  <c r="C88" i="13" s="1"/>
  <c r="D88" i="12"/>
  <c r="D88" i="13" s="1"/>
  <c r="A89" i="12"/>
  <c r="A89" i="13" s="1"/>
  <c r="B89" i="12"/>
  <c r="B89" i="13" s="1"/>
  <c r="C89" i="12"/>
  <c r="C89" i="13" s="1"/>
  <c r="D89" i="12"/>
  <c r="D89" i="13" s="1"/>
  <c r="A90" i="12"/>
  <c r="A90" i="13" s="1"/>
  <c r="B90" i="12"/>
  <c r="B90" i="13" s="1"/>
  <c r="C90" i="12"/>
  <c r="C90" i="13" s="1"/>
  <c r="D90" i="12"/>
  <c r="D90" i="13" s="1"/>
  <c r="A91" i="12"/>
  <c r="A91" i="13" s="1"/>
  <c r="B91" i="12"/>
  <c r="B91" i="13" s="1"/>
  <c r="C91" i="12"/>
  <c r="C91" i="13" s="1"/>
  <c r="D91" i="12"/>
  <c r="D91" i="13" s="1"/>
  <c r="A92" i="12"/>
  <c r="A92" i="13" s="1"/>
  <c r="B92" i="12"/>
  <c r="B92" i="13" s="1"/>
  <c r="C92" i="12"/>
  <c r="C92" i="13" s="1"/>
  <c r="D92" i="12"/>
  <c r="D92" i="13" s="1"/>
  <c r="A93" i="12"/>
  <c r="A93" i="13" s="1"/>
  <c r="B93" i="12"/>
  <c r="B93" i="13" s="1"/>
  <c r="C93" i="12"/>
  <c r="C93" i="13" s="1"/>
  <c r="D93" i="12"/>
  <c r="D93" i="13" s="1"/>
  <c r="A94" i="12"/>
  <c r="A94" i="13" s="1"/>
  <c r="B94" i="12"/>
  <c r="B94" i="13" s="1"/>
  <c r="C94" i="12"/>
  <c r="C94" i="13" s="1"/>
  <c r="D94" i="12"/>
  <c r="D94" i="13" s="1"/>
  <c r="A95" i="12"/>
  <c r="A95" i="13" s="1"/>
  <c r="B95" i="12"/>
  <c r="B95" i="13" s="1"/>
  <c r="C95" i="12"/>
  <c r="C95" i="13" s="1"/>
  <c r="D95" i="12"/>
  <c r="D95" i="13" s="1"/>
  <c r="A96" i="12"/>
  <c r="A96" i="13" s="1"/>
  <c r="B96" i="12"/>
  <c r="B96" i="13" s="1"/>
  <c r="C96" i="12"/>
  <c r="C96" i="13" s="1"/>
  <c r="D96" i="12"/>
  <c r="D96" i="13" s="1"/>
  <c r="A97" i="12"/>
  <c r="A97" i="13" s="1"/>
  <c r="B97" i="12"/>
  <c r="B97" i="13" s="1"/>
  <c r="C97" i="12"/>
  <c r="C97" i="13" s="1"/>
  <c r="D97" i="12"/>
  <c r="D97" i="13" s="1"/>
  <c r="A98" i="12"/>
  <c r="A98" i="13" s="1"/>
  <c r="B98" i="12"/>
  <c r="B98" i="13" s="1"/>
  <c r="C98" i="12"/>
  <c r="C98" i="13" s="1"/>
  <c r="D98" i="12"/>
  <c r="D98" i="13" s="1"/>
  <c r="A99" i="12"/>
  <c r="A99" i="13" s="1"/>
  <c r="B99" i="12"/>
  <c r="B99" i="13" s="1"/>
  <c r="C99" i="12"/>
  <c r="C99" i="13" s="1"/>
  <c r="D99" i="12"/>
  <c r="D99" i="13" s="1"/>
  <c r="A100" i="12"/>
  <c r="A100" i="13" s="1"/>
  <c r="B100" i="12"/>
  <c r="B100" i="13" s="1"/>
  <c r="C100" i="12"/>
  <c r="C100" i="13" s="1"/>
  <c r="D100" i="12"/>
  <c r="D100" i="13" s="1"/>
  <c r="A101" i="12"/>
  <c r="A101" i="13" s="1"/>
  <c r="B101" i="12"/>
  <c r="B101" i="13" s="1"/>
  <c r="C101" i="12"/>
  <c r="C101" i="13" s="1"/>
  <c r="D101" i="12"/>
  <c r="D101" i="13" s="1"/>
  <c r="A102" i="12"/>
  <c r="A102" i="13" s="1"/>
  <c r="B102" i="12"/>
  <c r="B102" i="13" s="1"/>
  <c r="C102" i="12"/>
  <c r="C102" i="13" s="1"/>
  <c r="D102" i="12"/>
  <c r="D102" i="13" s="1"/>
  <c r="A103" i="12"/>
  <c r="A103" i="13" s="1"/>
  <c r="B103" i="12"/>
  <c r="B103" i="13" s="1"/>
  <c r="C103" i="12"/>
  <c r="C103" i="13" s="1"/>
  <c r="D103" i="12"/>
  <c r="D103" i="13" s="1"/>
  <c r="A104" i="12"/>
  <c r="A104" i="13" s="1"/>
  <c r="B104" i="12"/>
  <c r="B104" i="13" s="1"/>
  <c r="C104" i="12"/>
  <c r="C104" i="13" s="1"/>
  <c r="D104" i="12"/>
  <c r="D104" i="13" s="1"/>
  <c r="A105" i="12"/>
  <c r="A105" i="13" s="1"/>
  <c r="B105" i="12"/>
  <c r="B105" i="13" s="1"/>
  <c r="C105" i="12"/>
  <c r="C105" i="13" s="1"/>
  <c r="D105" i="12"/>
  <c r="D105" i="13" s="1"/>
  <c r="A106" i="12"/>
  <c r="A106" i="13" s="1"/>
  <c r="B106" i="12"/>
  <c r="B106" i="13" s="1"/>
  <c r="C106" i="12"/>
  <c r="C106" i="13" s="1"/>
  <c r="D106" i="12"/>
  <c r="D106" i="13" s="1"/>
  <c r="A107" i="12"/>
  <c r="A107" i="13" s="1"/>
  <c r="B107" i="12"/>
  <c r="B107" i="13" s="1"/>
  <c r="C107" i="12"/>
  <c r="C107" i="13" s="1"/>
  <c r="D107" i="12"/>
  <c r="D107" i="13" s="1"/>
  <c r="A108" i="12"/>
  <c r="A108" i="13" s="1"/>
  <c r="B108" i="12"/>
  <c r="B108" i="13" s="1"/>
  <c r="C108" i="12"/>
  <c r="C108" i="13" s="1"/>
  <c r="D108" i="12"/>
  <c r="D108" i="13" s="1"/>
  <c r="A109" i="12"/>
  <c r="A109" i="13" s="1"/>
  <c r="B109" i="12"/>
  <c r="B109" i="13" s="1"/>
  <c r="C109" i="12"/>
  <c r="C109" i="13" s="1"/>
  <c r="D109" i="12"/>
  <c r="D109" i="13" s="1"/>
  <c r="A110" i="12"/>
  <c r="A110" i="13" s="1"/>
  <c r="B110" i="12"/>
  <c r="B110" i="13" s="1"/>
  <c r="C110" i="12"/>
  <c r="C110" i="13" s="1"/>
  <c r="D110" i="12"/>
  <c r="D110" i="13" s="1"/>
  <c r="A111" i="12"/>
  <c r="A111" i="13" s="1"/>
  <c r="B111" i="12"/>
  <c r="B111" i="13" s="1"/>
  <c r="C111" i="12"/>
  <c r="C111" i="13" s="1"/>
  <c r="D111" i="12"/>
  <c r="D111" i="13" s="1"/>
  <c r="A112" i="12"/>
  <c r="A112" i="13" s="1"/>
  <c r="B112" i="12"/>
  <c r="B112" i="13" s="1"/>
  <c r="C112" i="12"/>
  <c r="C112" i="13" s="1"/>
  <c r="D112" i="12"/>
  <c r="D112" i="13" s="1"/>
  <c r="A113" i="12"/>
  <c r="A113" i="13" s="1"/>
  <c r="B113" i="12"/>
  <c r="B113" i="13" s="1"/>
  <c r="C113" i="12"/>
  <c r="C113" i="13" s="1"/>
  <c r="D113" i="12"/>
  <c r="D113" i="13" s="1"/>
  <c r="A114" i="12"/>
  <c r="A114" i="13" s="1"/>
  <c r="B114" i="12"/>
  <c r="B114" i="13" s="1"/>
  <c r="C114" i="12"/>
  <c r="C114" i="13" s="1"/>
  <c r="D114" i="12"/>
  <c r="D114" i="13" s="1"/>
  <c r="A115" i="12"/>
  <c r="A115" i="13" s="1"/>
  <c r="B115" i="12"/>
  <c r="B115" i="13" s="1"/>
  <c r="C115" i="12"/>
  <c r="C115" i="13" s="1"/>
  <c r="D115" i="12"/>
  <c r="D115" i="13" s="1"/>
  <c r="A116" i="12"/>
  <c r="A116" i="13" s="1"/>
  <c r="B116" i="12"/>
  <c r="B116" i="13" s="1"/>
  <c r="C116" i="12"/>
  <c r="C116" i="13" s="1"/>
  <c r="D116" i="12"/>
  <c r="D116" i="13" s="1"/>
  <c r="A117" i="12"/>
  <c r="A117" i="13" s="1"/>
  <c r="B117" i="12"/>
  <c r="B117" i="13" s="1"/>
  <c r="C117" i="12"/>
  <c r="C117" i="13" s="1"/>
  <c r="D117" i="12"/>
  <c r="D117" i="13" s="1"/>
  <c r="A118" i="12"/>
  <c r="A118" i="13" s="1"/>
  <c r="B118" i="12"/>
  <c r="B118" i="13" s="1"/>
  <c r="C118" i="12"/>
  <c r="C118" i="13" s="1"/>
  <c r="D118" i="12"/>
  <c r="D118" i="13" s="1"/>
  <c r="A119" i="12"/>
  <c r="A119" i="13" s="1"/>
  <c r="B119" i="12"/>
  <c r="B119" i="13" s="1"/>
  <c r="C119" i="12"/>
  <c r="C119" i="13" s="1"/>
  <c r="D119" i="12"/>
  <c r="D119" i="13" s="1"/>
  <c r="A120" i="12"/>
  <c r="A120" i="13" s="1"/>
  <c r="B120" i="12"/>
  <c r="B120" i="13" s="1"/>
  <c r="C120" i="12"/>
  <c r="C120" i="13" s="1"/>
  <c r="D120" i="12"/>
  <c r="D120" i="13" s="1"/>
  <c r="A121" i="12"/>
  <c r="A121" i="13" s="1"/>
  <c r="B121" i="12"/>
  <c r="B121" i="13" s="1"/>
  <c r="C121" i="12"/>
  <c r="C121" i="13" s="1"/>
  <c r="D121" i="12"/>
  <c r="D121" i="13" s="1"/>
  <c r="A122" i="12"/>
  <c r="A122" i="13" s="1"/>
  <c r="B122" i="12"/>
  <c r="B122" i="13" s="1"/>
  <c r="C122" i="12"/>
  <c r="C122" i="13" s="1"/>
  <c r="D122" i="12"/>
  <c r="D122" i="13" s="1"/>
  <c r="A123" i="12"/>
  <c r="A123" i="13" s="1"/>
  <c r="B123" i="12"/>
  <c r="B123" i="13" s="1"/>
  <c r="C123" i="12"/>
  <c r="C123" i="13" s="1"/>
  <c r="D123" i="12"/>
  <c r="D123" i="13" s="1"/>
  <c r="A124" i="12"/>
  <c r="A124" i="13" s="1"/>
  <c r="B124" i="12"/>
  <c r="B124" i="13" s="1"/>
  <c r="C124" i="12"/>
  <c r="C124" i="13" s="1"/>
  <c r="D124" i="12"/>
  <c r="D124" i="13" s="1"/>
  <c r="A125" i="12"/>
  <c r="A125" i="13" s="1"/>
  <c r="B125" i="12"/>
  <c r="B125" i="13" s="1"/>
  <c r="C125" i="12"/>
  <c r="C125" i="13" s="1"/>
  <c r="D125" i="12"/>
  <c r="D125" i="13" s="1"/>
  <c r="A126" i="12"/>
  <c r="A126" i="13" s="1"/>
  <c r="B126" i="12"/>
  <c r="B126" i="13" s="1"/>
  <c r="C126" i="12"/>
  <c r="C126" i="13" s="1"/>
  <c r="D126" i="12"/>
  <c r="D126" i="13" s="1"/>
  <c r="A127" i="12"/>
  <c r="A127" i="13" s="1"/>
  <c r="B127" i="12"/>
  <c r="B127" i="13" s="1"/>
  <c r="C127" i="12"/>
  <c r="C127" i="13" s="1"/>
  <c r="D127" i="12"/>
  <c r="D127" i="13" s="1"/>
  <c r="A128" i="12"/>
  <c r="A128" i="13" s="1"/>
  <c r="B128" i="12"/>
  <c r="B128" i="13" s="1"/>
  <c r="C128" i="12"/>
  <c r="C128" i="13" s="1"/>
  <c r="D128" i="12"/>
  <c r="D128" i="13" s="1"/>
  <c r="A129" i="12"/>
  <c r="A129" i="13" s="1"/>
  <c r="B129" i="12"/>
  <c r="B129" i="13" s="1"/>
  <c r="C129" i="12"/>
  <c r="C129" i="13" s="1"/>
  <c r="D129" i="12"/>
  <c r="D129" i="13" s="1"/>
  <c r="A130" i="12"/>
  <c r="A130" i="13" s="1"/>
  <c r="B130" i="12"/>
  <c r="B130" i="13" s="1"/>
  <c r="C130" i="12"/>
  <c r="C130" i="13" s="1"/>
  <c r="D130" i="12"/>
  <c r="D130" i="13" s="1"/>
  <c r="A131" i="12"/>
  <c r="A131" i="13" s="1"/>
  <c r="B131" i="12"/>
  <c r="B131" i="13" s="1"/>
  <c r="C131" i="12"/>
  <c r="C131" i="13" s="1"/>
  <c r="D131" i="12"/>
  <c r="D131" i="13" s="1"/>
  <c r="A132" i="12"/>
  <c r="A132" i="13" s="1"/>
  <c r="B132" i="12"/>
  <c r="B132" i="13" s="1"/>
  <c r="C132" i="12"/>
  <c r="C132" i="13" s="1"/>
  <c r="D132" i="12"/>
  <c r="D132" i="13" s="1"/>
  <c r="A133" i="12"/>
  <c r="A133" i="13" s="1"/>
  <c r="B133" i="12"/>
  <c r="B133" i="13" s="1"/>
  <c r="C133" i="12"/>
  <c r="C133" i="13" s="1"/>
  <c r="D133" i="12"/>
  <c r="D133" i="13" s="1"/>
  <c r="A134" i="12"/>
  <c r="A134" i="13" s="1"/>
  <c r="B134" i="12"/>
  <c r="B134" i="13" s="1"/>
  <c r="C134" i="12"/>
  <c r="C134" i="13" s="1"/>
  <c r="D134" i="12"/>
  <c r="D134" i="13" s="1"/>
  <c r="A135" i="12"/>
  <c r="A135" i="13" s="1"/>
  <c r="B135" i="12"/>
  <c r="B135" i="13" s="1"/>
  <c r="C135" i="12"/>
  <c r="C135" i="13" s="1"/>
  <c r="D135" i="12"/>
  <c r="D135" i="13" s="1"/>
  <c r="A136" i="12"/>
  <c r="A136" i="13" s="1"/>
  <c r="B136" i="12"/>
  <c r="B136" i="13" s="1"/>
  <c r="C136" i="12"/>
  <c r="C136" i="13" s="1"/>
  <c r="D136" i="12"/>
  <c r="D136" i="13" s="1"/>
  <c r="A137" i="12"/>
  <c r="A137" i="13" s="1"/>
  <c r="B137" i="12"/>
  <c r="B137" i="13" s="1"/>
  <c r="C137" i="12"/>
  <c r="C137" i="13" s="1"/>
  <c r="D137" i="12"/>
  <c r="D137" i="13" s="1"/>
  <c r="A138" i="12"/>
  <c r="A138" i="13" s="1"/>
  <c r="B138" i="12"/>
  <c r="B138" i="13" s="1"/>
  <c r="C138" i="12"/>
  <c r="C138" i="13" s="1"/>
  <c r="D138" i="12"/>
  <c r="D138" i="13" s="1"/>
  <c r="A139" i="12"/>
  <c r="A139" i="13" s="1"/>
  <c r="B139" i="12"/>
  <c r="B139" i="13" s="1"/>
  <c r="C139" i="12"/>
  <c r="C139" i="13" s="1"/>
  <c r="D139" i="12"/>
  <c r="D139" i="13" s="1"/>
  <c r="A140" i="12"/>
  <c r="A140" i="13" s="1"/>
  <c r="B140" i="12"/>
  <c r="B140" i="13" s="1"/>
  <c r="C140" i="12"/>
  <c r="C140" i="13" s="1"/>
  <c r="D140" i="12"/>
  <c r="D140" i="13" s="1"/>
  <c r="A141" i="12"/>
  <c r="A141" i="13" s="1"/>
  <c r="B141" i="12"/>
  <c r="B141" i="13" s="1"/>
  <c r="C141" i="12"/>
  <c r="C141" i="13" s="1"/>
  <c r="D141" i="12"/>
  <c r="D141" i="13" s="1"/>
  <c r="A142" i="12"/>
  <c r="A142" i="13" s="1"/>
  <c r="B142" i="12"/>
  <c r="B142" i="13" s="1"/>
  <c r="C142" i="12"/>
  <c r="C142" i="13" s="1"/>
  <c r="D142" i="12"/>
  <c r="D142" i="13" s="1"/>
  <c r="A143" i="12"/>
  <c r="A143" i="13" s="1"/>
  <c r="B143" i="12"/>
  <c r="B143" i="13" s="1"/>
  <c r="C143" i="12"/>
  <c r="C143" i="13" s="1"/>
  <c r="D143" i="12"/>
  <c r="D143" i="13" s="1"/>
  <c r="A144" i="12"/>
  <c r="A144" i="13" s="1"/>
  <c r="B144" i="12"/>
  <c r="B144" i="13" s="1"/>
  <c r="C144" i="12"/>
  <c r="C144" i="13" s="1"/>
  <c r="D144" i="12"/>
  <c r="D144" i="13" s="1"/>
  <c r="A145" i="12"/>
  <c r="A145" i="13" s="1"/>
  <c r="B145" i="12"/>
  <c r="B145" i="13" s="1"/>
  <c r="C145" i="12"/>
  <c r="C145" i="13" s="1"/>
  <c r="D145" i="12"/>
  <c r="D145" i="13" s="1"/>
  <c r="A146" i="12"/>
  <c r="A146" i="13" s="1"/>
  <c r="B146" i="12"/>
  <c r="B146" i="13" s="1"/>
  <c r="C146" i="12"/>
  <c r="C146" i="13" s="1"/>
  <c r="D146" i="12"/>
  <c r="D146" i="13" s="1"/>
  <c r="A147" i="12"/>
  <c r="A147" i="13" s="1"/>
  <c r="B147" i="12"/>
  <c r="B147" i="13" s="1"/>
  <c r="C147" i="12"/>
  <c r="C147" i="13" s="1"/>
  <c r="D147" i="12"/>
  <c r="D147" i="13" s="1"/>
  <c r="A148" i="12"/>
  <c r="A148" i="13" s="1"/>
  <c r="B148" i="12"/>
  <c r="B148" i="13" s="1"/>
  <c r="C148" i="12"/>
  <c r="C148" i="13" s="1"/>
  <c r="D148" i="12"/>
  <c r="D148" i="13" s="1"/>
  <c r="A149" i="12"/>
  <c r="A149" i="13" s="1"/>
  <c r="B149" i="12"/>
  <c r="B149" i="13" s="1"/>
  <c r="C149" i="12"/>
  <c r="C149" i="13" s="1"/>
  <c r="D149" i="12"/>
  <c r="D149" i="13" s="1"/>
  <c r="A150" i="12"/>
  <c r="A150" i="13" s="1"/>
  <c r="B150" i="12"/>
  <c r="B150" i="13" s="1"/>
  <c r="C150" i="12"/>
  <c r="C150" i="13" s="1"/>
  <c r="D150" i="12"/>
  <c r="D150" i="13" s="1"/>
  <c r="A151" i="12"/>
  <c r="A151" i="13" s="1"/>
  <c r="B151" i="12"/>
  <c r="B151" i="13" s="1"/>
  <c r="C151" i="12"/>
  <c r="C151" i="13" s="1"/>
  <c r="D151" i="12"/>
  <c r="D151" i="13" s="1"/>
  <c r="A152" i="12"/>
  <c r="A152" i="13" s="1"/>
  <c r="B152" i="12"/>
  <c r="B152" i="13" s="1"/>
  <c r="C152" i="12"/>
  <c r="C152" i="13" s="1"/>
  <c r="D152" i="12"/>
  <c r="D152" i="13" s="1"/>
  <c r="A153" i="12"/>
  <c r="A153" i="13" s="1"/>
  <c r="B153" i="12"/>
  <c r="B153" i="13" s="1"/>
  <c r="C153" i="12"/>
  <c r="C153" i="13" s="1"/>
  <c r="D153" i="12"/>
  <c r="D153" i="13" s="1"/>
  <c r="A154" i="12"/>
  <c r="A154" i="13" s="1"/>
  <c r="B154" i="12"/>
  <c r="B154" i="13" s="1"/>
  <c r="C154" i="12"/>
  <c r="C154" i="13" s="1"/>
  <c r="D154" i="12"/>
  <c r="D154" i="13" s="1"/>
  <c r="A155" i="12"/>
  <c r="A155" i="13" s="1"/>
  <c r="B155" i="12"/>
  <c r="B155" i="13" s="1"/>
  <c r="C155" i="12"/>
  <c r="C155" i="13" s="1"/>
  <c r="D155" i="12"/>
  <c r="D155" i="13" s="1"/>
  <c r="A156" i="12"/>
  <c r="A156" i="13" s="1"/>
  <c r="B156" i="12"/>
  <c r="B156" i="13" s="1"/>
  <c r="C156" i="12"/>
  <c r="C156" i="13" s="1"/>
  <c r="D156" i="12"/>
  <c r="D156" i="13" s="1"/>
  <c r="A157" i="12"/>
  <c r="A157" i="13" s="1"/>
  <c r="B157" i="12"/>
  <c r="B157" i="13" s="1"/>
  <c r="C157" i="12"/>
  <c r="C157" i="13" s="1"/>
  <c r="D157" i="12"/>
  <c r="D157" i="13" s="1"/>
  <c r="A158" i="12"/>
  <c r="A158" i="13" s="1"/>
  <c r="B158" i="12"/>
  <c r="B158" i="13" s="1"/>
  <c r="C158" i="12"/>
  <c r="C158" i="13" s="1"/>
  <c r="D158" i="12"/>
  <c r="D158" i="13" s="1"/>
  <c r="A159" i="12"/>
  <c r="A159" i="13" s="1"/>
  <c r="B159" i="12"/>
  <c r="B159" i="13" s="1"/>
  <c r="C159" i="12"/>
  <c r="C159" i="13" s="1"/>
  <c r="D159" i="12"/>
  <c r="D159" i="13" s="1"/>
  <c r="A160" i="12"/>
  <c r="A160" i="13" s="1"/>
  <c r="B160" i="12"/>
  <c r="B160" i="13" s="1"/>
  <c r="C160" i="12"/>
  <c r="C160" i="13" s="1"/>
  <c r="D160" i="12"/>
  <c r="D160" i="13" s="1"/>
  <c r="A161" i="12"/>
  <c r="A161" i="13" s="1"/>
  <c r="B161" i="12"/>
  <c r="B161" i="13" s="1"/>
  <c r="C161" i="12"/>
  <c r="C161" i="13" s="1"/>
  <c r="D161" i="12"/>
  <c r="D161" i="13" s="1"/>
  <c r="A162" i="12"/>
  <c r="A162" i="13" s="1"/>
  <c r="B162" i="12"/>
  <c r="B162" i="13" s="1"/>
  <c r="C162" i="12"/>
  <c r="C162" i="13" s="1"/>
  <c r="D162" i="12"/>
  <c r="D162" i="13" s="1"/>
  <c r="A163" i="12"/>
  <c r="A163" i="13" s="1"/>
  <c r="B163" i="12"/>
  <c r="B163" i="13" s="1"/>
  <c r="C163" i="12"/>
  <c r="C163" i="13" s="1"/>
  <c r="D163" i="12"/>
  <c r="D163" i="13" s="1"/>
  <c r="A164" i="12"/>
  <c r="A164" i="13" s="1"/>
  <c r="B164" i="12"/>
  <c r="B164" i="13" s="1"/>
  <c r="C164" i="12"/>
  <c r="C164" i="13" s="1"/>
  <c r="D164" i="12"/>
  <c r="D164" i="13" s="1"/>
  <c r="A165" i="12"/>
  <c r="A165" i="13" s="1"/>
  <c r="B165" i="12"/>
  <c r="B165" i="13" s="1"/>
  <c r="C165" i="12"/>
  <c r="C165" i="13" s="1"/>
  <c r="D165" i="12"/>
  <c r="D165" i="13" s="1"/>
  <c r="A166" i="12"/>
  <c r="A166" i="13" s="1"/>
  <c r="B166" i="12"/>
  <c r="B166" i="13" s="1"/>
  <c r="C166" i="12"/>
  <c r="C166" i="13" s="1"/>
  <c r="D166" i="12"/>
  <c r="D166" i="13" s="1"/>
  <c r="A167" i="12"/>
  <c r="A167" i="13" s="1"/>
  <c r="B167" i="12"/>
  <c r="B167" i="13" s="1"/>
  <c r="C167" i="12"/>
  <c r="C167" i="13" s="1"/>
  <c r="D167" i="12"/>
  <c r="D167" i="13" s="1"/>
  <c r="A168" i="12"/>
  <c r="A168" i="13" s="1"/>
  <c r="B168" i="12"/>
  <c r="B168" i="13" s="1"/>
  <c r="C168" i="12"/>
  <c r="C168" i="13" s="1"/>
  <c r="D168" i="12"/>
  <c r="D168" i="13" s="1"/>
  <c r="A169" i="12"/>
  <c r="A169" i="13" s="1"/>
  <c r="B169" i="12"/>
  <c r="B169" i="13" s="1"/>
  <c r="C169" i="12"/>
  <c r="C169" i="13" s="1"/>
  <c r="D169" i="12"/>
  <c r="D169" i="13" s="1"/>
  <c r="A170" i="12"/>
  <c r="A170" i="13" s="1"/>
  <c r="B170" i="12"/>
  <c r="B170" i="13" s="1"/>
  <c r="C170" i="12"/>
  <c r="C170" i="13" s="1"/>
  <c r="D170" i="12"/>
  <c r="D170" i="13" s="1"/>
  <c r="A171" i="12"/>
  <c r="A171" i="13" s="1"/>
  <c r="B171" i="12"/>
  <c r="B171" i="13" s="1"/>
  <c r="C171" i="12"/>
  <c r="C171" i="13" s="1"/>
  <c r="D171" i="12"/>
  <c r="D171" i="13" s="1"/>
  <c r="A172" i="12"/>
  <c r="A172" i="13" s="1"/>
  <c r="B172" i="12"/>
  <c r="B172" i="13" s="1"/>
  <c r="C172" i="12"/>
  <c r="C172" i="13" s="1"/>
  <c r="D172" i="12"/>
  <c r="D172" i="13" s="1"/>
  <c r="A173" i="12"/>
  <c r="A173" i="13" s="1"/>
  <c r="B173" i="12"/>
  <c r="B173" i="13" s="1"/>
  <c r="C173" i="12"/>
  <c r="C173" i="13" s="1"/>
  <c r="D173" i="12"/>
  <c r="D173" i="13" s="1"/>
  <c r="A174" i="12"/>
  <c r="A174" i="13" s="1"/>
  <c r="B174" i="12"/>
  <c r="B174" i="13" s="1"/>
  <c r="C174" i="12"/>
  <c r="C174" i="13" s="1"/>
  <c r="D174" i="12"/>
  <c r="D174" i="13" s="1"/>
  <c r="A175" i="12"/>
  <c r="A175" i="13" s="1"/>
  <c r="B175" i="12"/>
  <c r="B175" i="13" s="1"/>
  <c r="C175" i="12"/>
  <c r="C175" i="13" s="1"/>
  <c r="D175" i="12"/>
  <c r="D175" i="13" s="1"/>
  <c r="A176" i="12"/>
  <c r="A176" i="13" s="1"/>
  <c r="B176" i="12"/>
  <c r="B176" i="13" s="1"/>
  <c r="C176" i="12"/>
  <c r="C176" i="13" s="1"/>
  <c r="D176" i="12"/>
  <c r="D176" i="13" s="1"/>
  <c r="A177" i="12"/>
  <c r="A177" i="13" s="1"/>
  <c r="B177" i="12"/>
  <c r="B177" i="13" s="1"/>
  <c r="C177" i="12"/>
  <c r="C177" i="13" s="1"/>
  <c r="D177" i="12"/>
  <c r="D177" i="13" s="1"/>
  <c r="A178" i="12"/>
  <c r="A178" i="13" s="1"/>
  <c r="B178" i="12"/>
  <c r="B178" i="13" s="1"/>
  <c r="C178" i="12"/>
  <c r="C178" i="13" s="1"/>
  <c r="D178" i="12"/>
  <c r="D178" i="13" s="1"/>
  <c r="A179" i="12"/>
  <c r="A179" i="13" s="1"/>
  <c r="B179" i="12"/>
  <c r="B179" i="13" s="1"/>
  <c r="C179" i="12"/>
  <c r="C179" i="13" s="1"/>
  <c r="D179" i="12"/>
  <c r="D179" i="13" s="1"/>
  <c r="A180" i="12"/>
  <c r="A180" i="13" s="1"/>
  <c r="B180" i="12"/>
  <c r="B180" i="13" s="1"/>
  <c r="C180" i="12"/>
  <c r="C180" i="13" s="1"/>
  <c r="D180" i="12"/>
  <c r="D180" i="13" s="1"/>
  <c r="A181" i="12"/>
  <c r="A181" i="13" s="1"/>
  <c r="B181" i="12"/>
  <c r="B181" i="13" s="1"/>
  <c r="C181" i="12"/>
  <c r="C181" i="13" s="1"/>
  <c r="D181" i="12"/>
  <c r="D181" i="13" s="1"/>
  <c r="A182" i="12"/>
  <c r="A182" i="13" s="1"/>
  <c r="B182" i="12"/>
  <c r="B182" i="13" s="1"/>
  <c r="C182" i="12"/>
  <c r="C182" i="13" s="1"/>
  <c r="D182" i="12"/>
  <c r="D182" i="13" s="1"/>
  <c r="A183" i="12"/>
  <c r="A183" i="13" s="1"/>
  <c r="B183" i="12"/>
  <c r="B183" i="13" s="1"/>
  <c r="C183" i="12"/>
  <c r="C183" i="13" s="1"/>
  <c r="D183" i="12"/>
  <c r="D183" i="13" s="1"/>
  <c r="A184" i="12"/>
  <c r="A184" i="13" s="1"/>
  <c r="B184" i="12"/>
  <c r="B184" i="13" s="1"/>
  <c r="C184" i="12"/>
  <c r="C184" i="13" s="1"/>
  <c r="D184" i="12"/>
  <c r="D184" i="13" s="1"/>
  <c r="A185" i="12"/>
  <c r="A185" i="13" s="1"/>
  <c r="B185" i="12"/>
  <c r="B185" i="13" s="1"/>
  <c r="C185" i="12"/>
  <c r="C185" i="13" s="1"/>
  <c r="D185" i="12"/>
  <c r="D185" i="13" s="1"/>
  <c r="A186" i="12"/>
  <c r="A186" i="13" s="1"/>
  <c r="B186" i="12"/>
  <c r="B186" i="13" s="1"/>
  <c r="C186" i="12"/>
  <c r="C186" i="13" s="1"/>
  <c r="D186" i="12"/>
  <c r="D186" i="13" s="1"/>
  <c r="A187" i="12"/>
  <c r="A187" i="13" s="1"/>
  <c r="B187" i="12"/>
  <c r="B187" i="13" s="1"/>
  <c r="C187" i="12"/>
  <c r="C187" i="13" s="1"/>
  <c r="D187" i="12"/>
  <c r="D187" i="13" s="1"/>
  <c r="A188" i="12"/>
  <c r="A188" i="13" s="1"/>
  <c r="B188" i="12"/>
  <c r="B188" i="13" s="1"/>
  <c r="C188" i="12"/>
  <c r="C188" i="13" s="1"/>
  <c r="D188" i="12"/>
  <c r="D188" i="13" s="1"/>
  <c r="A189" i="12"/>
  <c r="A189" i="13" s="1"/>
  <c r="B189" i="12"/>
  <c r="B189" i="13" s="1"/>
  <c r="C189" i="12"/>
  <c r="C189" i="13" s="1"/>
  <c r="D189" i="12"/>
  <c r="D189" i="13" s="1"/>
  <c r="A190" i="12"/>
  <c r="A190" i="13" s="1"/>
  <c r="B190" i="12"/>
  <c r="B190" i="13" s="1"/>
  <c r="C190" i="12"/>
  <c r="C190" i="13" s="1"/>
  <c r="D190" i="12"/>
  <c r="D190" i="13" s="1"/>
  <c r="A191" i="12"/>
  <c r="A191" i="13" s="1"/>
  <c r="B191" i="12"/>
  <c r="B191" i="13" s="1"/>
  <c r="C191" i="12"/>
  <c r="C191" i="13" s="1"/>
  <c r="D191" i="12"/>
  <c r="D191" i="13" s="1"/>
  <c r="A192" i="12"/>
  <c r="A192" i="13" s="1"/>
  <c r="B192" i="12"/>
  <c r="B192" i="13" s="1"/>
  <c r="C192" i="12"/>
  <c r="C192" i="13" s="1"/>
  <c r="D192" i="12"/>
  <c r="D192" i="13" s="1"/>
  <c r="A193" i="12"/>
  <c r="A193" i="13" s="1"/>
  <c r="B193" i="12"/>
  <c r="B193" i="13" s="1"/>
  <c r="C193" i="12"/>
  <c r="C193" i="13" s="1"/>
  <c r="D193" i="12"/>
  <c r="D193" i="13" s="1"/>
  <c r="A194" i="12"/>
  <c r="A194" i="13" s="1"/>
  <c r="B194" i="12"/>
  <c r="B194" i="13" s="1"/>
  <c r="C194" i="12"/>
  <c r="C194" i="13" s="1"/>
  <c r="D194" i="12"/>
  <c r="D194" i="13" s="1"/>
  <c r="A195" i="12"/>
  <c r="A195" i="13" s="1"/>
  <c r="B195" i="12"/>
  <c r="B195" i="13" s="1"/>
  <c r="C195" i="12"/>
  <c r="C195" i="13" s="1"/>
  <c r="D195" i="12"/>
  <c r="D195" i="13" s="1"/>
  <c r="A196" i="12"/>
  <c r="A196" i="13" s="1"/>
  <c r="B196" i="12"/>
  <c r="B196" i="13" s="1"/>
  <c r="C196" i="12"/>
  <c r="C196" i="13" s="1"/>
  <c r="D196" i="12"/>
  <c r="D196" i="13" s="1"/>
  <c r="A197" i="12"/>
  <c r="A197" i="13" s="1"/>
  <c r="B197" i="12"/>
  <c r="B197" i="13" s="1"/>
  <c r="C197" i="12"/>
  <c r="C197" i="13" s="1"/>
  <c r="D197" i="12"/>
  <c r="D197" i="13" s="1"/>
  <c r="A198" i="12"/>
  <c r="A198" i="13" s="1"/>
  <c r="B198" i="12"/>
  <c r="B198" i="13" s="1"/>
  <c r="C198" i="12"/>
  <c r="C198" i="13" s="1"/>
  <c r="D198" i="12"/>
  <c r="D198" i="13" s="1"/>
  <c r="A199" i="12"/>
  <c r="A199" i="13" s="1"/>
  <c r="B199" i="12"/>
  <c r="B199" i="13" s="1"/>
  <c r="C199" i="12"/>
  <c r="C199" i="13" s="1"/>
  <c r="D199" i="12"/>
  <c r="D199" i="13" s="1"/>
  <c r="A200" i="12"/>
  <c r="A200" i="13" s="1"/>
  <c r="B200" i="12"/>
  <c r="B200" i="13" s="1"/>
  <c r="C200" i="12"/>
  <c r="C200" i="13" s="1"/>
  <c r="D200" i="12"/>
  <c r="D200" i="13" s="1"/>
  <c r="A201" i="12"/>
  <c r="A201" i="13" s="1"/>
  <c r="B201" i="12"/>
  <c r="B201" i="13" s="1"/>
  <c r="C201" i="12"/>
  <c r="C201" i="13" s="1"/>
  <c r="D201" i="12"/>
  <c r="D201" i="13" s="1"/>
  <c r="A202" i="12"/>
  <c r="A202" i="13" s="1"/>
  <c r="B202" i="12"/>
  <c r="B202" i="13" s="1"/>
  <c r="C202" i="12"/>
  <c r="C202" i="13" s="1"/>
  <c r="D202" i="12"/>
  <c r="D202" i="13" s="1"/>
  <c r="A203" i="12"/>
  <c r="A203" i="13" s="1"/>
  <c r="B203" i="12"/>
  <c r="B203" i="13" s="1"/>
  <c r="C203" i="12"/>
  <c r="C203" i="13" s="1"/>
  <c r="D203" i="12"/>
  <c r="D203" i="13" s="1"/>
  <c r="A204" i="12"/>
  <c r="A204" i="13" s="1"/>
  <c r="B204" i="12"/>
  <c r="B204" i="13" s="1"/>
  <c r="C204" i="12"/>
  <c r="C204" i="13" s="1"/>
  <c r="D204" i="12"/>
  <c r="D204" i="13" s="1"/>
  <c r="A205" i="12"/>
  <c r="A205" i="13" s="1"/>
  <c r="B205" i="12"/>
  <c r="B205" i="13" s="1"/>
  <c r="C205" i="12"/>
  <c r="C205" i="13" s="1"/>
  <c r="D205" i="12"/>
  <c r="D205" i="13" s="1"/>
  <c r="A206" i="12"/>
  <c r="A206" i="13" s="1"/>
  <c r="B206" i="12"/>
  <c r="B206" i="13" s="1"/>
  <c r="C206" i="12"/>
  <c r="C206" i="13" s="1"/>
  <c r="D206" i="12"/>
  <c r="D206" i="13" s="1"/>
  <c r="A207" i="12"/>
  <c r="A207" i="13" s="1"/>
  <c r="B207" i="12"/>
  <c r="B207" i="13" s="1"/>
  <c r="C207" i="12"/>
  <c r="C207" i="13" s="1"/>
  <c r="D207" i="12"/>
  <c r="D207" i="13" s="1"/>
  <c r="A208" i="12"/>
  <c r="A208" i="13" s="1"/>
  <c r="B208" i="12"/>
  <c r="B208" i="13" s="1"/>
  <c r="C208" i="12"/>
  <c r="C208" i="13" s="1"/>
  <c r="D208" i="12"/>
  <c r="D208" i="13" s="1"/>
  <c r="B2" i="10"/>
  <c r="D2" i="10"/>
  <c r="B3" i="10"/>
  <c r="E3" i="10"/>
  <c r="B4" i="10"/>
  <c r="E4" i="10"/>
  <c r="A6" i="10"/>
  <c r="B7" i="10"/>
  <c r="F7" i="10"/>
  <c r="D2" i="15"/>
  <c r="D3" i="15"/>
  <c r="H3" i="15"/>
  <c r="D4" i="15"/>
  <c r="I6" i="15"/>
  <c r="N6" i="15"/>
  <c r="A11" i="15"/>
  <c r="B11" i="15"/>
  <c r="C11" i="15"/>
  <c r="D11" i="15"/>
  <c r="J11" i="15"/>
  <c r="F9" i="11" s="1"/>
  <c r="A12" i="15"/>
  <c r="B12" i="15"/>
  <c r="C12" i="15"/>
  <c r="D12" i="15"/>
  <c r="F10" i="11"/>
  <c r="A13" i="15"/>
  <c r="B13" i="15"/>
  <c r="C13" i="15"/>
  <c r="D13" i="15"/>
  <c r="F13" i="15"/>
  <c r="J13" i="15"/>
  <c r="F11" i="11" s="1"/>
  <c r="A14" i="15"/>
  <c r="B14" i="15"/>
  <c r="C14" i="15"/>
  <c r="D14" i="15"/>
  <c r="F14" i="15"/>
  <c r="J14" i="15"/>
  <c r="F12" i="11" s="1"/>
  <c r="A15" i="15"/>
  <c r="B15" i="15"/>
  <c r="C15" i="15"/>
  <c r="D15" i="15"/>
  <c r="F15" i="15"/>
  <c r="J15" i="15"/>
  <c r="F13" i="11" s="1"/>
  <c r="A16" i="15"/>
  <c r="B16" i="15"/>
  <c r="C16" i="15"/>
  <c r="D16" i="15"/>
  <c r="F16" i="15"/>
  <c r="J16" i="15"/>
  <c r="F14" i="11" s="1"/>
  <c r="A17" i="15"/>
  <c r="B17" i="15"/>
  <c r="C17" i="15"/>
  <c r="D17" i="15"/>
  <c r="F17" i="15"/>
  <c r="J17" i="15"/>
  <c r="F15" i="11" s="1"/>
  <c r="A18" i="15"/>
  <c r="B18" i="15"/>
  <c r="C18" i="15"/>
  <c r="D18" i="15"/>
  <c r="F18" i="15"/>
  <c r="J18" i="15"/>
  <c r="F16" i="11" s="1"/>
  <c r="A19" i="15"/>
  <c r="B19" i="15"/>
  <c r="C19" i="15"/>
  <c r="D19" i="15"/>
  <c r="F19" i="15"/>
  <c r="J19" i="15"/>
  <c r="F17" i="11" s="1"/>
  <c r="A20" i="15"/>
  <c r="B20" i="15"/>
  <c r="C20" i="15"/>
  <c r="D20" i="15"/>
  <c r="F20" i="15"/>
  <c r="J20" i="15"/>
  <c r="F18" i="11" s="1"/>
  <c r="A21" i="15"/>
  <c r="B21" i="15"/>
  <c r="C21" i="15"/>
  <c r="D21" i="15"/>
  <c r="F21" i="15"/>
  <c r="J21" i="15"/>
  <c r="F19" i="11" s="1"/>
  <c r="A22" i="15"/>
  <c r="B22" i="15"/>
  <c r="C22" i="15"/>
  <c r="D22" i="15"/>
  <c r="F22" i="15"/>
  <c r="J22" i="15"/>
  <c r="F20" i="11" s="1"/>
  <c r="A23" i="15"/>
  <c r="B23" i="15"/>
  <c r="C23" i="15"/>
  <c r="D23" i="15"/>
  <c r="F23" i="15"/>
  <c r="J23" i="15"/>
  <c r="F21" i="11" s="1"/>
  <c r="A24" i="15"/>
  <c r="B24" i="15"/>
  <c r="C24" i="15"/>
  <c r="D24" i="15"/>
  <c r="F24" i="15"/>
  <c r="J24" i="15"/>
  <c r="F22" i="11" s="1"/>
  <c r="A25" i="15"/>
  <c r="B25" i="15"/>
  <c r="C25" i="15"/>
  <c r="D25" i="15"/>
  <c r="F25" i="15"/>
  <c r="J25" i="15"/>
  <c r="F23" i="11" s="1"/>
  <c r="A26" i="15"/>
  <c r="B26" i="15"/>
  <c r="C26" i="15"/>
  <c r="D26" i="15"/>
  <c r="F26" i="15"/>
  <c r="J26" i="15"/>
  <c r="F24" i="11" s="1"/>
  <c r="A27" i="15"/>
  <c r="B27" i="15"/>
  <c r="C27" i="15"/>
  <c r="D27" i="15"/>
  <c r="F27" i="15"/>
  <c r="J27" i="15"/>
  <c r="F25" i="11" s="1"/>
  <c r="A28" i="15"/>
  <c r="B28" i="15"/>
  <c r="C28" i="15"/>
  <c r="D28" i="15"/>
  <c r="F28" i="15"/>
  <c r="J28" i="15"/>
  <c r="F26" i="11" s="1"/>
  <c r="A29" i="15"/>
  <c r="B29" i="15"/>
  <c r="C29" i="15"/>
  <c r="D29" i="15"/>
  <c r="F29" i="15"/>
  <c r="J29" i="15"/>
  <c r="F27" i="11" s="1"/>
  <c r="A30" i="15"/>
  <c r="B30" i="15"/>
  <c r="C30" i="15"/>
  <c r="D30" i="15"/>
  <c r="F30" i="15"/>
  <c r="J30" i="15"/>
  <c r="F28" i="11" s="1"/>
  <c r="A31" i="15"/>
  <c r="B31" i="15"/>
  <c r="C31" i="15"/>
  <c r="D31" i="15"/>
  <c r="F31" i="15"/>
  <c r="J31" i="15"/>
  <c r="F29" i="11" s="1"/>
  <c r="A32" i="15"/>
  <c r="B32" i="15"/>
  <c r="C32" i="15"/>
  <c r="D32" i="15"/>
  <c r="F32" i="15"/>
  <c r="J32" i="15"/>
  <c r="F30" i="11" s="1"/>
  <c r="A33" i="15"/>
  <c r="B33" i="15"/>
  <c r="C33" i="15"/>
  <c r="D33" i="15"/>
  <c r="F33" i="15"/>
  <c r="J33" i="15"/>
  <c r="F31" i="11" s="1"/>
  <c r="A34" i="15"/>
  <c r="B34" i="15"/>
  <c r="C34" i="15"/>
  <c r="D34" i="15"/>
  <c r="F34" i="15"/>
  <c r="J34" i="15"/>
  <c r="F32" i="11" s="1"/>
  <c r="A35" i="15"/>
  <c r="B35" i="15"/>
  <c r="C35" i="15"/>
  <c r="D35" i="15"/>
  <c r="F35" i="15"/>
  <c r="J35" i="15"/>
  <c r="F33" i="11" s="1"/>
  <c r="A36" i="15"/>
  <c r="B36" i="15"/>
  <c r="C36" i="15"/>
  <c r="D36" i="15"/>
  <c r="F36" i="15"/>
  <c r="J36" i="15"/>
  <c r="F34" i="11" s="1"/>
  <c r="A37" i="15"/>
  <c r="B37" i="15"/>
  <c r="C37" i="15"/>
  <c r="D37" i="15"/>
  <c r="F37" i="15"/>
  <c r="J37" i="15"/>
  <c r="F35" i="11" s="1"/>
  <c r="A38" i="15"/>
  <c r="B38" i="15"/>
  <c r="C38" i="15"/>
  <c r="D38" i="15"/>
  <c r="F38" i="15"/>
  <c r="J38" i="15"/>
  <c r="F36" i="11" s="1"/>
  <c r="A39" i="15"/>
  <c r="B39" i="15"/>
  <c r="C39" i="15"/>
  <c r="D39" i="15"/>
  <c r="F39" i="15"/>
  <c r="J39" i="15"/>
  <c r="F37" i="11" s="1"/>
  <c r="A40" i="15"/>
  <c r="B40" i="15"/>
  <c r="C40" i="15"/>
  <c r="D40" i="15"/>
  <c r="F40" i="15"/>
  <c r="J40" i="15"/>
  <c r="F38" i="11" s="1"/>
  <c r="A41" i="15"/>
  <c r="B41" i="15"/>
  <c r="C41" i="15"/>
  <c r="D41" i="15"/>
  <c r="F41" i="15"/>
  <c r="J41" i="15"/>
  <c r="F39" i="11" s="1"/>
  <c r="A42" i="15"/>
  <c r="B42" i="15"/>
  <c r="C42" i="15"/>
  <c r="D42" i="15"/>
  <c r="F42" i="15"/>
  <c r="J42" i="15"/>
  <c r="F40" i="11" s="1"/>
  <c r="A43" i="15"/>
  <c r="B43" i="15"/>
  <c r="C43" i="15"/>
  <c r="D43" i="15"/>
  <c r="F43" i="15"/>
  <c r="J43" i="15"/>
  <c r="F41" i="11" s="1"/>
  <c r="A44" i="15"/>
  <c r="B44" i="15"/>
  <c r="C44" i="15"/>
  <c r="D44" i="15"/>
  <c r="F44" i="15"/>
  <c r="J44" i="15"/>
  <c r="F42" i="11" s="1"/>
  <c r="A45" i="15"/>
  <c r="B45" i="15"/>
  <c r="C45" i="15"/>
  <c r="D45" i="15"/>
  <c r="F45" i="15"/>
  <c r="J45" i="15"/>
  <c r="F43" i="11" s="1"/>
  <c r="A46" i="15"/>
  <c r="B46" i="15"/>
  <c r="C46" i="15"/>
  <c r="D46" i="15"/>
  <c r="F46" i="15"/>
  <c r="J46" i="15"/>
  <c r="F44" i="11" s="1"/>
  <c r="A47" i="15"/>
  <c r="B47" i="15"/>
  <c r="C47" i="15"/>
  <c r="D47" i="15"/>
  <c r="F47" i="15"/>
  <c r="J47" i="15"/>
  <c r="F45" i="11" s="1"/>
  <c r="A48" i="15"/>
  <c r="B48" i="15"/>
  <c r="C48" i="15"/>
  <c r="D48" i="15"/>
  <c r="F48" i="15"/>
  <c r="J48" i="15"/>
  <c r="F46" i="11" s="1"/>
  <c r="A49" i="15"/>
  <c r="B49" i="15"/>
  <c r="C49" i="15"/>
  <c r="D49" i="15"/>
  <c r="F49" i="15"/>
  <c r="J49" i="15"/>
  <c r="F47" i="11" s="1"/>
  <c r="A50" i="15"/>
  <c r="B50" i="15"/>
  <c r="C50" i="15"/>
  <c r="D50" i="15"/>
  <c r="F50" i="15"/>
  <c r="J50" i="15"/>
  <c r="F48" i="11" s="1"/>
  <c r="A51" i="15"/>
  <c r="B51" i="15"/>
  <c r="C51" i="15"/>
  <c r="D51" i="15"/>
  <c r="F51" i="15"/>
  <c r="J51" i="15"/>
  <c r="F49" i="11" s="1"/>
  <c r="A52" i="15"/>
  <c r="B52" i="15"/>
  <c r="C52" i="15"/>
  <c r="D52" i="15"/>
  <c r="F52" i="15"/>
  <c r="J52" i="15"/>
  <c r="F50" i="11" s="1"/>
  <c r="A53" i="15"/>
  <c r="B53" i="15"/>
  <c r="C53" i="15"/>
  <c r="D53" i="15"/>
  <c r="F53" i="15"/>
  <c r="J53" i="15"/>
  <c r="F51" i="11" s="1"/>
  <c r="A54" i="15"/>
  <c r="B54" i="15"/>
  <c r="C54" i="15"/>
  <c r="D54" i="15"/>
  <c r="F54" i="15"/>
  <c r="J54" i="15"/>
  <c r="F52" i="11" s="1"/>
  <c r="A55" i="15"/>
  <c r="B55" i="15"/>
  <c r="C55" i="15"/>
  <c r="D55" i="15"/>
  <c r="F55" i="15"/>
  <c r="J55" i="15"/>
  <c r="F53" i="11" s="1"/>
  <c r="A56" i="15"/>
  <c r="B56" i="15"/>
  <c r="C56" i="15"/>
  <c r="D56" i="15"/>
  <c r="F56" i="15"/>
  <c r="J56" i="15"/>
  <c r="F54" i="11" s="1"/>
  <c r="A57" i="15"/>
  <c r="B57" i="15"/>
  <c r="C57" i="15"/>
  <c r="D57" i="15"/>
  <c r="F57" i="15"/>
  <c r="J57" i="15"/>
  <c r="F55" i="11" s="1"/>
  <c r="A58" i="15"/>
  <c r="B58" i="15"/>
  <c r="C58" i="15"/>
  <c r="D58" i="15"/>
  <c r="F58" i="15"/>
  <c r="J58" i="15"/>
  <c r="F56" i="11" s="1"/>
  <c r="A59" i="15"/>
  <c r="B59" i="15"/>
  <c r="C59" i="15"/>
  <c r="D59" i="15"/>
  <c r="F59" i="15"/>
  <c r="J59" i="15"/>
  <c r="F57" i="11" s="1"/>
  <c r="A60" i="15"/>
  <c r="B60" i="15"/>
  <c r="C60" i="15"/>
  <c r="D60" i="15"/>
  <c r="F60" i="15"/>
  <c r="J60" i="15"/>
  <c r="F58" i="11" s="1"/>
  <c r="A61" i="15"/>
  <c r="B61" i="15"/>
  <c r="C61" i="15"/>
  <c r="D61" i="15"/>
  <c r="F61" i="15"/>
  <c r="J61" i="15"/>
  <c r="F59" i="11" s="1"/>
  <c r="A62" i="15"/>
  <c r="B62" i="15"/>
  <c r="C62" i="15"/>
  <c r="D62" i="15"/>
  <c r="F62" i="15"/>
  <c r="J62" i="15"/>
  <c r="F60" i="11" s="1"/>
  <c r="A63" i="15"/>
  <c r="B63" i="15"/>
  <c r="C63" i="15"/>
  <c r="D63" i="15"/>
  <c r="F63" i="15"/>
  <c r="J63" i="15"/>
  <c r="F61" i="11" s="1"/>
  <c r="A64" i="15"/>
  <c r="B64" i="15"/>
  <c r="C64" i="15"/>
  <c r="D64" i="15"/>
  <c r="F64" i="15"/>
  <c r="J64" i="15"/>
  <c r="F62" i="11" s="1"/>
  <c r="A65" i="15"/>
  <c r="B65" i="15"/>
  <c r="C65" i="15"/>
  <c r="D65" i="15"/>
  <c r="F65" i="15"/>
  <c r="J65" i="15"/>
  <c r="F63" i="11" s="1"/>
  <c r="A66" i="15"/>
  <c r="B66" i="15"/>
  <c r="C66" i="15"/>
  <c r="D66" i="15"/>
  <c r="F66" i="15"/>
  <c r="J66" i="15"/>
  <c r="F64" i="11" s="1"/>
  <c r="A67" i="15"/>
  <c r="B67" i="15"/>
  <c r="C67" i="15"/>
  <c r="D67" i="15"/>
  <c r="F67" i="15"/>
  <c r="J67" i="15"/>
  <c r="F65" i="11" s="1"/>
  <c r="A68" i="15"/>
  <c r="B68" i="15"/>
  <c r="C68" i="15"/>
  <c r="D68" i="15"/>
  <c r="F68" i="15"/>
  <c r="J68" i="15"/>
  <c r="F66" i="11" s="1"/>
  <c r="A69" i="15"/>
  <c r="B69" i="15"/>
  <c r="C69" i="15"/>
  <c r="D69" i="15"/>
  <c r="F69" i="15"/>
  <c r="J69" i="15"/>
  <c r="F67" i="11" s="1"/>
  <c r="A70" i="15"/>
  <c r="B70" i="15"/>
  <c r="C70" i="15"/>
  <c r="D70" i="15"/>
  <c r="F70" i="15"/>
  <c r="J70" i="15"/>
  <c r="F68" i="11" s="1"/>
  <c r="A71" i="15"/>
  <c r="B71" i="15"/>
  <c r="C71" i="15"/>
  <c r="D71" i="15"/>
  <c r="F71" i="15"/>
  <c r="J71" i="15"/>
  <c r="F69" i="11" s="1"/>
  <c r="A72" i="15"/>
  <c r="B72" i="15"/>
  <c r="C72" i="15"/>
  <c r="D72" i="15"/>
  <c r="F72" i="15"/>
  <c r="J72" i="15"/>
  <c r="F70" i="11" s="1"/>
  <c r="A73" i="15"/>
  <c r="B73" i="15"/>
  <c r="C73" i="15"/>
  <c r="D73" i="15"/>
  <c r="F73" i="15"/>
  <c r="J73" i="15"/>
  <c r="F71" i="11" s="1"/>
  <c r="A74" i="15"/>
  <c r="B74" i="15"/>
  <c r="C74" i="15"/>
  <c r="D74" i="15"/>
  <c r="F74" i="15"/>
  <c r="J74" i="15"/>
  <c r="F72" i="11" s="1"/>
  <c r="A75" i="15"/>
  <c r="B75" i="15"/>
  <c r="C75" i="15"/>
  <c r="D75" i="15"/>
  <c r="F75" i="15"/>
  <c r="J75" i="15"/>
  <c r="F73" i="11" s="1"/>
  <c r="A76" i="15"/>
  <c r="B76" i="15"/>
  <c r="C76" i="15"/>
  <c r="D76" i="15"/>
  <c r="F76" i="15"/>
  <c r="J76" i="15"/>
  <c r="F74" i="11" s="1"/>
  <c r="A77" i="15"/>
  <c r="B77" i="15"/>
  <c r="C77" i="15"/>
  <c r="D77" i="15"/>
  <c r="F77" i="15"/>
  <c r="J77" i="15"/>
  <c r="F75" i="11" s="1"/>
  <c r="A78" i="15"/>
  <c r="B78" i="15"/>
  <c r="C78" i="15"/>
  <c r="D78" i="15"/>
  <c r="F78" i="15"/>
  <c r="J78" i="15"/>
  <c r="F76" i="11" s="1"/>
  <c r="A79" i="15"/>
  <c r="B79" i="15"/>
  <c r="C79" i="15"/>
  <c r="D79" i="15"/>
  <c r="F79" i="15"/>
  <c r="J79" i="15"/>
  <c r="F77" i="11" s="1"/>
  <c r="A80" i="15"/>
  <c r="B80" i="15"/>
  <c r="C80" i="15"/>
  <c r="D80" i="15"/>
  <c r="F80" i="15"/>
  <c r="J80" i="15"/>
  <c r="F78" i="11" s="1"/>
  <c r="A81" i="15"/>
  <c r="B81" i="15"/>
  <c r="C81" i="15"/>
  <c r="D81" i="15"/>
  <c r="F81" i="15"/>
  <c r="J81" i="15"/>
  <c r="F79" i="11" s="1"/>
  <c r="A82" i="15"/>
  <c r="B82" i="15"/>
  <c r="C82" i="15"/>
  <c r="D82" i="15"/>
  <c r="F82" i="15"/>
  <c r="J82" i="15"/>
  <c r="F80" i="11" s="1"/>
  <c r="A83" i="15"/>
  <c r="B83" i="15"/>
  <c r="C83" i="15"/>
  <c r="D83" i="15"/>
  <c r="F83" i="15"/>
  <c r="J83" i="15"/>
  <c r="F81" i="11" s="1"/>
  <c r="A84" i="15"/>
  <c r="B84" i="15"/>
  <c r="C84" i="15"/>
  <c r="D84" i="15"/>
  <c r="F84" i="15"/>
  <c r="J84" i="15"/>
  <c r="F82" i="11" s="1"/>
  <c r="A85" i="15"/>
  <c r="B85" i="15"/>
  <c r="C85" i="15"/>
  <c r="D85" i="15"/>
  <c r="F85" i="15"/>
  <c r="J85" i="15"/>
  <c r="F83" i="11" s="1"/>
  <c r="A86" i="15"/>
  <c r="B86" i="15"/>
  <c r="C86" i="15"/>
  <c r="D86" i="15"/>
  <c r="F86" i="15"/>
  <c r="J86" i="15"/>
  <c r="F84" i="11" s="1"/>
  <c r="A87" i="15"/>
  <c r="B87" i="15"/>
  <c r="C87" i="15"/>
  <c r="D87" i="15"/>
  <c r="F87" i="15"/>
  <c r="J87" i="15"/>
  <c r="F85" i="11" s="1"/>
  <c r="A88" i="15"/>
  <c r="B88" i="15"/>
  <c r="C88" i="15"/>
  <c r="D88" i="15"/>
  <c r="F88" i="15"/>
  <c r="J88" i="15"/>
  <c r="F86" i="11" s="1"/>
  <c r="A89" i="15"/>
  <c r="B89" i="15"/>
  <c r="C89" i="15"/>
  <c r="D89" i="15"/>
  <c r="F89" i="15"/>
  <c r="J89" i="15"/>
  <c r="F87" i="11" s="1"/>
  <c r="A90" i="15"/>
  <c r="B90" i="15"/>
  <c r="C90" i="15"/>
  <c r="D90" i="15"/>
  <c r="F90" i="15"/>
  <c r="J90" i="15"/>
  <c r="F88" i="11" s="1"/>
  <c r="A91" i="15"/>
  <c r="B91" i="15"/>
  <c r="C91" i="15"/>
  <c r="D91" i="15"/>
  <c r="F91" i="15"/>
  <c r="J91" i="15"/>
  <c r="F89" i="11" s="1"/>
  <c r="A92" i="15"/>
  <c r="B92" i="15"/>
  <c r="C92" i="15"/>
  <c r="D92" i="15"/>
  <c r="F92" i="15"/>
  <c r="J92" i="15"/>
  <c r="F90" i="11" s="1"/>
  <c r="A93" i="15"/>
  <c r="B93" i="15"/>
  <c r="C93" i="15"/>
  <c r="D93" i="15"/>
  <c r="F93" i="15"/>
  <c r="J93" i="15"/>
  <c r="F91" i="11" s="1"/>
  <c r="A94" i="15"/>
  <c r="B94" i="15"/>
  <c r="C94" i="15"/>
  <c r="D94" i="15"/>
  <c r="F94" i="15"/>
  <c r="J94" i="15"/>
  <c r="F92" i="11" s="1"/>
  <c r="A95" i="15"/>
  <c r="B95" i="15"/>
  <c r="C95" i="15"/>
  <c r="D95" i="15"/>
  <c r="F95" i="15"/>
  <c r="J95" i="15"/>
  <c r="F93" i="11" s="1"/>
  <c r="A96" i="15"/>
  <c r="B96" i="15"/>
  <c r="C96" i="15"/>
  <c r="D96" i="15"/>
  <c r="F96" i="15"/>
  <c r="J96" i="15"/>
  <c r="F94" i="11" s="1"/>
  <c r="A97" i="15"/>
  <c r="B97" i="15"/>
  <c r="C97" i="15"/>
  <c r="D97" i="15"/>
  <c r="F97" i="15"/>
  <c r="J97" i="15"/>
  <c r="F95" i="11" s="1"/>
  <c r="A98" i="15"/>
  <c r="B98" i="15"/>
  <c r="C98" i="15"/>
  <c r="D98" i="15"/>
  <c r="F98" i="15"/>
  <c r="J98" i="15"/>
  <c r="F96" i="11" s="1"/>
  <c r="A99" i="15"/>
  <c r="B99" i="15"/>
  <c r="C99" i="15"/>
  <c r="D99" i="15"/>
  <c r="F99" i="15"/>
  <c r="J99" i="15"/>
  <c r="F97" i="11" s="1"/>
  <c r="A100" i="15"/>
  <c r="B100" i="15"/>
  <c r="C100" i="15"/>
  <c r="D100" i="15"/>
  <c r="F100" i="15"/>
  <c r="J100" i="15"/>
  <c r="F98" i="11" s="1"/>
  <c r="A101" i="15"/>
  <c r="B101" i="15"/>
  <c r="C101" i="15"/>
  <c r="D101" i="15"/>
  <c r="F101" i="15"/>
  <c r="J101" i="15"/>
  <c r="F99" i="11" s="1"/>
  <c r="A102" i="15"/>
  <c r="B102" i="15"/>
  <c r="C102" i="15"/>
  <c r="D102" i="15"/>
  <c r="F102" i="15"/>
  <c r="J102" i="15"/>
  <c r="F100" i="11" s="1"/>
  <c r="A103" i="15"/>
  <c r="B103" i="15"/>
  <c r="C103" i="15"/>
  <c r="D103" i="15"/>
  <c r="F103" i="15"/>
  <c r="J103" i="15"/>
  <c r="F101" i="11" s="1"/>
  <c r="A104" i="15"/>
  <c r="B104" i="15"/>
  <c r="C104" i="15"/>
  <c r="D104" i="15"/>
  <c r="F104" i="15"/>
  <c r="J104" i="15"/>
  <c r="F102" i="11" s="1"/>
  <c r="A105" i="15"/>
  <c r="B105" i="15"/>
  <c r="C105" i="15"/>
  <c r="D105" i="15"/>
  <c r="F105" i="15"/>
  <c r="J105" i="15"/>
  <c r="F103" i="11" s="1"/>
  <c r="A106" i="15"/>
  <c r="B106" i="15"/>
  <c r="C106" i="15"/>
  <c r="D106" i="15"/>
  <c r="F106" i="15"/>
  <c r="J106" i="15"/>
  <c r="F104" i="11" s="1"/>
  <c r="A107" i="15"/>
  <c r="B107" i="15"/>
  <c r="C107" i="15"/>
  <c r="D107" i="15"/>
  <c r="F107" i="15"/>
  <c r="J107" i="15"/>
  <c r="F105" i="11" s="1"/>
  <c r="A108" i="15"/>
  <c r="B108" i="15"/>
  <c r="C108" i="15"/>
  <c r="D108" i="15"/>
  <c r="F108" i="15"/>
  <c r="J108" i="15"/>
  <c r="F106" i="11" s="1"/>
  <c r="A109" i="15"/>
  <c r="B109" i="15"/>
  <c r="C109" i="15"/>
  <c r="D109" i="15"/>
  <c r="F109" i="15"/>
  <c r="J109" i="15"/>
  <c r="F107" i="11" s="1"/>
  <c r="A110" i="15"/>
  <c r="B110" i="15"/>
  <c r="C110" i="15"/>
  <c r="D110" i="15"/>
  <c r="F110" i="15"/>
  <c r="J110" i="15"/>
  <c r="F108" i="11" s="1"/>
  <c r="A111" i="15"/>
  <c r="B111" i="15"/>
  <c r="C111" i="15"/>
  <c r="D111" i="15"/>
  <c r="F111" i="15"/>
  <c r="J111" i="15"/>
  <c r="F109" i="11" s="1"/>
  <c r="A112" i="15"/>
  <c r="B112" i="15"/>
  <c r="C112" i="15"/>
  <c r="D112" i="15"/>
  <c r="F112" i="15"/>
  <c r="J112" i="15"/>
  <c r="F110" i="11" s="1"/>
  <c r="A113" i="15"/>
  <c r="B113" i="15"/>
  <c r="C113" i="15"/>
  <c r="D113" i="15"/>
  <c r="F113" i="15"/>
  <c r="J113" i="15"/>
  <c r="F111" i="11" s="1"/>
  <c r="A114" i="15"/>
  <c r="B114" i="15"/>
  <c r="C114" i="15"/>
  <c r="D114" i="15"/>
  <c r="F114" i="15"/>
  <c r="J114" i="15"/>
  <c r="F112" i="11" s="1"/>
  <c r="A115" i="15"/>
  <c r="B115" i="15"/>
  <c r="C115" i="15"/>
  <c r="D115" i="15"/>
  <c r="F115" i="15"/>
  <c r="J115" i="15"/>
  <c r="F113" i="11" s="1"/>
  <c r="A116" i="15"/>
  <c r="B116" i="15"/>
  <c r="C116" i="15"/>
  <c r="D116" i="15"/>
  <c r="F116" i="15"/>
  <c r="J116" i="15"/>
  <c r="F114" i="11" s="1"/>
  <c r="A117" i="15"/>
  <c r="B117" i="15"/>
  <c r="C117" i="15"/>
  <c r="D117" i="15"/>
  <c r="F117" i="15"/>
  <c r="J117" i="15"/>
  <c r="F115" i="11" s="1"/>
  <c r="A118" i="15"/>
  <c r="B118" i="15"/>
  <c r="C118" i="15"/>
  <c r="D118" i="15"/>
  <c r="F118" i="15"/>
  <c r="J118" i="15"/>
  <c r="F116" i="11" s="1"/>
  <c r="A119" i="15"/>
  <c r="B119" i="15"/>
  <c r="C119" i="15"/>
  <c r="D119" i="15"/>
  <c r="F119" i="15"/>
  <c r="J119" i="15"/>
  <c r="F117" i="11" s="1"/>
  <c r="A120" i="15"/>
  <c r="B120" i="15"/>
  <c r="C120" i="15"/>
  <c r="D120" i="15"/>
  <c r="F120" i="15"/>
  <c r="J120" i="15"/>
  <c r="F118" i="11" s="1"/>
  <c r="A121" i="15"/>
  <c r="B121" i="15"/>
  <c r="C121" i="15"/>
  <c r="D121" i="15"/>
  <c r="F121" i="15"/>
  <c r="J121" i="15"/>
  <c r="F119" i="11" s="1"/>
  <c r="A122" i="15"/>
  <c r="B122" i="15"/>
  <c r="C122" i="15"/>
  <c r="D122" i="15"/>
  <c r="F122" i="15"/>
  <c r="J122" i="15"/>
  <c r="F120" i="11" s="1"/>
  <c r="A123" i="15"/>
  <c r="B123" i="15"/>
  <c r="C123" i="15"/>
  <c r="D123" i="15"/>
  <c r="F123" i="15"/>
  <c r="J123" i="15"/>
  <c r="F121" i="11" s="1"/>
  <c r="A124" i="15"/>
  <c r="B124" i="15"/>
  <c r="C124" i="15"/>
  <c r="D124" i="15"/>
  <c r="F124" i="15"/>
  <c r="J124" i="15"/>
  <c r="F122" i="11" s="1"/>
  <c r="A125" i="15"/>
  <c r="B125" i="15"/>
  <c r="C125" i="15"/>
  <c r="D125" i="15"/>
  <c r="F125" i="15"/>
  <c r="J125" i="15"/>
  <c r="F123" i="11" s="1"/>
  <c r="A126" i="15"/>
  <c r="B126" i="15"/>
  <c r="C126" i="15"/>
  <c r="D126" i="15"/>
  <c r="F126" i="15"/>
  <c r="J126" i="15"/>
  <c r="F124" i="11" s="1"/>
  <c r="A127" i="15"/>
  <c r="B127" i="15"/>
  <c r="C127" i="15"/>
  <c r="D127" i="15"/>
  <c r="F127" i="15"/>
  <c r="J127" i="15"/>
  <c r="F125" i="11" s="1"/>
  <c r="A128" i="15"/>
  <c r="B128" i="15"/>
  <c r="C128" i="15"/>
  <c r="D128" i="15"/>
  <c r="F128" i="15"/>
  <c r="J128" i="15"/>
  <c r="F126" i="11" s="1"/>
  <c r="A129" i="15"/>
  <c r="B129" i="15"/>
  <c r="C129" i="15"/>
  <c r="D129" i="15"/>
  <c r="F129" i="15"/>
  <c r="J129" i="15"/>
  <c r="F127" i="11" s="1"/>
  <c r="A130" i="15"/>
  <c r="B130" i="15"/>
  <c r="C130" i="15"/>
  <c r="D130" i="15"/>
  <c r="F130" i="15"/>
  <c r="J130" i="15"/>
  <c r="F128" i="11" s="1"/>
  <c r="A131" i="15"/>
  <c r="B131" i="15"/>
  <c r="C131" i="15"/>
  <c r="D131" i="15"/>
  <c r="F131" i="15"/>
  <c r="J131" i="15"/>
  <c r="F129" i="11" s="1"/>
  <c r="A132" i="15"/>
  <c r="B132" i="15"/>
  <c r="C132" i="15"/>
  <c r="D132" i="15"/>
  <c r="F132" i="15"/>
  <c r="J132" i="15"/>
  <c r="F130" i="11" s="1"/>
  <c r="A133" i="15"/>
  <c r="B133" i="15"/>
  <c r="C133" i="15"/>
  <c r="D133" i="15"/>
  <c r="F133" i="15"/>
  <c r="J133" i="15"/>
  <c r="F131" i="11" s="1"/>
  <c r="A134" i="15"/>
  <c r="B134" i="15"/>
  <c r="C134" i="15"/>
  <c r="D134" i="15"/>
  <c r="F134" i="15"/>
  <c r="J134" i="15"/>
  <c r="F132" i="11" s="1"/>
  <c r="A135" i="15"/>
  <c r="B135" i="15"/>
  <c r="C135" i="15"/>
  <c r="D135" i="15"/>
  <c r="F135" i="15"/>
  <c r="J135" i="15"/>
  <c r="F133" i="11" s="1"/>
  <c r="A136" i="15"/>
  <c r="B136" i="15"/>
  <c r="C136" i="15"/>
  <c r="D136" i="15"/>
  <c r="F136" i="15"/>
  <c r="J136" i="15"/>
  <c r="F134" i="11" s="1"/>
  <c r="A137" i="15"/>
  <c r="B137" i="15"/>
  <c r="C137" i="15"/>
  <c r="D137" i="15"/>
  <c r="F137" i="15"/>
  <c r="J137" i="15"/>
  <c r="F135" i="11" s="1"/>
  <c r="A138" i="15"/>
  <c r="B138" i="15"/>
  <c r="C138" i="15"/>
  <c r="D138" i="15"/>
  <c r="F138" i="15"/>
  <c r="J138" i="15"/>
  <c r="F136" i="11" s="1"/>
  <c r="A139" i="15"/>
  <c r="B139" i="15"/>
  <c r="C139" i="15"/>
  <c r="D139" i="15"/>
  <c r="F139" i="15"/>
  <c r="J139" i="15"/>
  <c r="F137" i="11" s="1"/>
  <c r="A140" i="15"/>
  <c r="B140" i="15"/>
  <c r="C140" i="15"/>
  <c r="D140" i="15"/>
  <c r="F140" i="15"/>
  <c r="J140" i="15"/>
  <c r="F138" i="11" s="1"/>
  <c r="A141" i="15"/>
  <c r="B141" i="15"/>
  <c r="C141" i="15"/>
  <c r="D141" i="15"/>
  <c r="F141" i="15"/>
  <c r="J141" i="15"/>
  <c r="F139" i="11" s="1"/>
  <c r="A142" i="15"/>
  <c r="B142" i="15"/>
  <c r="C142" i="15"/>
  <c r="D142" i="15"/>
  <c r="F142" i="15"/>
  <c r="J142" i="15"/>
  <c r="F140" i="11" s="1"/>
  <c r="A143" i="15"/>
  <c r="B143" i="15"/>
  <c r="C143" i="15"/>
  <c r="D143" i="15"/>
  <c r="F143" i="15"/>
  <c r="J143" i="15"/>
  <c r="F141" i="11" s="1"/>
  <c r="A144" i="15"/>
  <c r="B144" i="15"/>
  <c r="C144" i="15"/>
  <c r="D144" i="15"/>
  <c r="F144" i="15"/>
  <c r="J144" i="15"/>
  <c r="F142" i="11" s="1"/>
  <c r="A145" i="15"/>
  <c r="B145" i="15"/>
  <c r="C145" i="15"/>
  <c r="D145" i="15"/>
  <c r="F145" i="15"/>
  <c r="J145" i="15"/>
  <c r="F143" i="11" s="1"/>
  <c r="A146" i="15"/>
  <c r="B146" i="15"/>
  <c r="C146" i="15"/>
  <c r="D146" i="15"/>
  <c r="F146" i="15"/>
  <c r="J146" i="15"/>
  <c r="F144" i="11" s="1"/>
  <c r="A147" i="15"/>
  <c r="B147" i="15"/>
  <c r="C147" i="15"/>
  <c r="D147" i="15"/>
  <c r="F147" i="15"/>
  <c r="J147" i="15"/>
  <c r="F145" i="11" s="1"/>
  <c r="A148" i="15"/>
  <c r="B148" i="15"/>
  <c r="C148" i="15"/>
  <c r="D148" i="15"/>
  <c r="F148" i="15"/>
  <c r="J148" i="15"/>
  <c r="F146" i="11" s="1"/>
  <c r="A149" i="15"/>
  <c r="B149" i="15"/>
  <c r="C149" i="15"/>
  <c r="D149" i="15"/>
  <c r="F149" i="15"/>
  <c r="J149" i="15"/>
  <c r="F147" i="11" s="1"/>
  <c r="A150" i="15"/>
  <c r="B150" i="15"/>
  <c r="C150" i="15"/>
  <c r="D150" i="15"/>
  <c r="F150" i="15"/>
  <c r="J150" i="15"/>
  <c r="F148" i="11" s="1"/>
  <c r="A151" i="15"/>
  <c r="B151" i="15"/>
  <c r="C151" i="15"/>
  <c r="D151" i="15"/>
  <c r="F151" i="15"/>
  <c r="J151" i="15"/>
  <c r="F149" i="11" s="1"/>
  <c r="A152" i="15"/>
  <c r="B152" i="15"/>
  <c r="C152" i="15"/>
  <c r="D152" i="15"/>
  <c r="F152" i="15"/>
  <c r="J152" i="15"/>
  <c r="F150" i="11" s="1"/>
  <c r="A153" i="15"/>
  <c r="B153" i="15"/>
  <c r="C153" i="15"/>
  <c r="D153" i="15"/>
  <c r="F153" i="15"/>
  <c r="J153" i="15"/>
  <c r="F151" i="11" s="1"/>
  <c r="A154" i="15"/>
  <c r="B154" i="15"/>
  <c r="C154" i="15"/>
  <c r="D154" i="15"/>
  <c r="F154" i="15"/>
  <c r="J154" i="15"/>
  <c r="F152" i="11" s="1"/>
  <c r="A155" i="15"/>
  <c r="B155" i="15"/>
  <c r="C155" i="15"/>
  <c r="D155" i="15"/>
  <c r="F155" i="15"/>
  <c r="J155" i="15"/>
  <c r="F153" i="11" s="1"/>
  <c r="A156" i="15"/>
  <c r="B156" i="15"/>
  <c r="C156" i="15"/>
  <c r="D156" i="15"/>
  <c r="F156" i="15"/>
  <c r="J156" i="15"/>
  <c r="F154" i="11" s="1"/>
  <c r="A157" i="15"/>
  <c r="B157" i="15"/>
  <c r="C157" i="15"/>
  <c r="D157" i="15"/>
  <c r="F157" i="15"/>
  <c r="J157" i="15"/>
  <c r="F155" i="11" s="1"/>
  <c r="A158" i="15"/>
  <c r="B158" i="15"/>
  <c r="C158" i="15"/>
  <c r="D158" i="15"/>
  <c r="F158" i="15"/>
  <c r="J158" i="15"/>
  <c r="F156" i="11" s="1"/>
  <c r="A159" i="15"/>
  <c r="B159" i="15"/>
  <c r="C159" i="15"/>
  <c r="D159" i="15"/>
  <c r="F159" i="15"/>
  <c r="J159" i="15"/>
  <c r="F157" i="11" s="1"/>
  <c r="A160" i="15"/>
  <c r="B160" i="15"/>
  <c r="C160" i="15"/>
  <c r="D160" i="15"/>
  <c r="F160" i="15"/>
  <c r="J160" i="15"/>
  <c r="F158" i="11" s="1"/>
  <c r="A161" i="15"/>
  <c r="B161" i="15"/>
  <c r="C161" i="15"/>
  <c r="D161" i="15"/>
  <c r="F161" i="15"/>
  <c r="J161" i="15"/>
  <c r="F159" i="11" s="1"/>
  <c r="A162" i="15"/>
  <c r="B162" i="15"/>
  <c r="C162" i="15"/>
  <c r="D162" i="15"/>
  <c r="F162" i="15"/>
  <c r="J162" i="15"/>
  <c r="F160" i="11" s="1"/>
  <c r="A163" i="15"/>
  <c r="B163" i="15"/>
  <c r="C163" i="15"/>
  <c r="D163" i="15"/>
  <c r="F163" i="15"/>
  <c r="J163" i="15"/>
  <c r="F161" i="11" s="1"/>
  <c r="A164" i="15"/>
  <c r="B164" i="15"/>
  <c r="C164" i="15"/>
  <c r="D164" i="15"/>
  <c r="F164" i="15"/>
  <c r="J164" i="15"/>
  <c r="F162" i="11" s="1"/>
  <c r="A165" i="15"/>
  <c r="B165" i="15"/>
  <c r="C165" i="15"/>
  <c r="D165" i="15"/>
  <c r="F165" i="15"/>
  <c r="J165" i="15"/>
  <c r="F163" i="11" s="1"/>
  <c r="A166" i="15"/>
  <c r="B166" i="15"/>
  <c r="C166" i="15"/>
  <c r="D166" i="15"/>
  <c r="F166" i="15"/>
  <c r="J166" i="15"/>
  <c r="F164" i="11" s="1"/>
  <c r="A167" i="15"/>
  <c r="B167" i="15"/>
  <c r="C167" i="15"/>
  <c r="D167" i="15"/>
  <c r="F167" i="15"/>
  <c r="J167" i="15"/>
  <c r="F165" i="11" s="1"/>
  <c r="A168" i="15"/>
  <c r="B168" i="15"/>
  <c r="C168" i="15"/>
  <c r="D168" i="15"/>
  <c r="F168" i="15"/>
  <c r="J168" i="15"/>
  <c r="F166" i="11" s="1"/>
  <c r="A169" i="15"/>
  <c r="B169" i="15"/>
  <c r="C169" i="15"/>
  <c r="D169" i="15"/>
  <c r="F169" i="15"/>
  <c r="J169" i="15"/>
  <c r="F167" i="11" s="1"/>
  <c r="A170" i="15"/>
  <c r="B170" i="15"/>
  <c r="C170" i="15"/>
  <c r="D170" i="15"/>
  <c r="F170" i="15"/>
  <c r="J170" i="15"/>
  <c r="F168" i="11" s="1"/>
  <c r="A171" i="15"/>
  <c r="B171" i="15"/>
  <c r="C171" i="15"/>
  <c r="D171" i="15"/>
  <c r="F171" i="15"/>
  <c r="J171" i="15"/>
  <c r="F169" i="11" s="1"/>
  <c r="A172" i="15"/>
  <c r="B172" i="15"/>
  <c r="C172" i="15"/>
  <c r="D172" i="15"/>
  <c r="F172" i="15"/>
  <c r="J172" i="15"/>
  <c r="F170" i="11" s="1"/>
  <c r="A173" i="15"/>
  <c r="B173" i="15"/>
  <c r="C173" i="15"/>
  <c r="D173" i="15"/>
  <c r="F173" i="15"/>
  <c r="J173" i="15"/>
  <c r="F171" i="11" s="1"/>
  <c r="A174" i="15"/>
  <c r="B174" i="15"/>
  <c r="C174" i="15"/>
  <c r="D174" i="15"/>
  <c r="F174" i="15"/>
  <c r="J174" i="15"/>
  <c r="F172" i="11" s="1"/>
  <c r="A175" i="15"/>
  <c r="B175" i="15"/>
  <c r="C175" i="15"/>
  <c r="D175" i="15"/>
  <c r="F175" i="15"/>
  <c r="J175" i="15"/>
  <c r="F173" i="11" s="1"/>
  <c r="A176" i="15"/>
  <c r="B176" i="15"/>
  <c r="C176" i="15"/>
  <c r="D176" i="15"/>
  <c r="F176" i="15"/>
  <c r="J176" i="15"/>
  <c r="F174" i="11" s="1"/>
  <c r="A177" i="15"/>
  <c r="B177" i="15"/>
  <c r="C177" i="15"/>
  <c r="D177" i="15"/>
  <c r="F177" i="15"/>
  <c r="J177" i="15"/>
  <c r="F175" i="11" s="1"/>
  <c r="A178" i="15"/>
  <c r="B178" i="15"/>
  <c r="C178" i="15"/>
  <c r="D178" i="15"/>
  <c r="F178" i="15"/>
  <c r="J178" i="15"/>
  <c r="F176" i="11" s="1"/>
  <c r="A179" i="15"/>
  <c r="B179" i="15"/>
  <c r="C179" i="15"/>
  <c r="D179" i="15"/>
  <c r="F179" i="15"/>
  <c r="J179" i="15"/>
  <c r="F177" i="11" s="1"/>
  <c r="A180" i="15"/>
  <c r="B180" i="15"/>
  <c r="C180" i="15"/>
  <c r="D180" i="15"/>
  <c r="F180" i="15"/>
  <c r="J180" i="15"/>
  <c r="F178" i="11" s="1"/>
  <c r="A181" i="15"/>
  <c r="B181" i="15"/>
  <c r="C181" i="15"/>
  <c r="D181" i="15"/>
  <c r="F181" i="15"/>
  <c r="J181" i="15"/>
  <c r="F179" i="11" s="1"/>
  <c r="A182" i="15"/>
  <c r="B182" i="15"/>
  <c r="C182" i="15"/>
  <c r="D182" i="15"/>
  <c r="F182" i="15"/>
  <c r="J182" i="15"/>
  <c r="F180" i="11" s="1"/>
  <c r="A183" i="15"/>
  <c r="B183" i="15"/>
  <c r="C183" i="15"/>
  <c r="D183" i="15"/>
  <c r="F183" i="15"/>
  <c r="J183" i="15"/>
  <c r="F181" i="11" s="1"/>
  <c r="A184" i="15"/>
  <c r="B184" i="15"/>
  <c r="C184" i="15"/>
  <c r="D184" i="15"/>
  <c r="F184" i="15"/>
  <c r="J184" i="15"/>
  <c r="F182" i="11" s="1"/>
  <c r="A185" i="15"/>
  <c r="B185" i="15"/>
  <c r="C185" i="15"/>
  <c r="D185" i="15"/>
  <c r="F185" i="15"/>
  <c r="J185" i="15"/>
  <c r="F183" i="11" s="1"/>
  <c r="A186" i="15"/>
  <c r="B186" i="15"/>
  <c r="C186" i="15"/>
  <c r="D186" i="15"/>
  <c r="F186" i="15"/>
  <c r="J186" i="15"/>
  <c r="F184" i="11" s="1"/>
  <c r="A187" i="15"/>
  <c r="B187" i="15"/>
  <c r="C187" i="15"/>
  <c r="D187" i="15"/>
  <c r="F187" i="15"/>
  <c r="J187" i="15"/>
  <c r="F185" i="11" s="1"/>
  <c r="A188" i="15"/>
  <c r="B188" i="15"/>
  <c r="C188" i="15"/>
  <c r="D188" i="15"/>
  <c r="F188" i="15"/>
  <c r="J188" i="15"/>
  <c r="F186" i="11" s="1"/>
  <c r="A189" i="15"/>
  <c r="B189" i="15"/>
  <c r="C189" i="15"/>
  <c r="D189" i="15"/>
  <c r="F189" i="15"/>
  <c r="J189" i="15"/>
  <c r="F187" i="11" s="1"/>
  <c r="A190" i="15"/>
  <c r="B190" i="15"/>
  <c r="C190" i="15"/>
  <c r="D190" i="15"/>
  <c r="F190" i="15"/>
  <c r="J190" i="15"/>
  <c r="F188" i="11" s="1"/>
  <c r="A191" i="15"/>
  <c r="B191" i="15"/>
  <c r="C191" i="15"/>
  <c r="D191" i="15"/>
  <c r="F191" i="15"/>
  <c r="J191" i="15"/>
  <c r="F189" i="11" s="1"/>
  <c r="A192" i="15"/>
  <c r="B192" i="15"/>
  <c r="C192" i="15"/>
  <c r="D192" i="15"/>
  <c r="F192" i="15"/>
  <c r="J192" i="15"/>
  <c r="F190" i="11" s="1"/>
  <c r="A193" i="15"/>
  <c r="B193" i="15"/>
  <c r="C193" i="15"/>
  <c r="D193" i="15"/>
  <c r="F193" i="15"/>
  <c r="J193" i="15"/>
  <c r="F191" i="11" s="1"/>
  <c r="A194" i="15"/>
  <c r="B194" i="15"/>
  <c r="C194" i="15"/>
  <c r="D194" i="15"/>
  <c r="F194" i="15"/>
  <c r="J194" i="15"/>
  <c r="F192" i="11" s="1"/>
  <c r="A195" i="15"/>
  <c r="B195" i="15"/>
  <c r="C195" i="15"/>
  <c r="D195" i="15"/>
  <c r="F195" i="15"/>
  <c r="J195" i="15"/>
  <c r="F193" i="11" s="1"/>
  <c r="A196" i="15"/>
  <c r="B196" i="15"/>
  <c r="C196" i="15"/>
  <c r="D196" i="15"/>
  <c r="F196" i="15"/>
  <c r="J196" i="15"/>
  <c r="F194" i="11" s="1"/>
  <c r="A197" i="15"/>
  <c r="B197" i="15"/>
  <c r="C197" i="15"/>
  <c r="D197" i="15"/>
  <c r="F197" i="15"/>
  <c r="J197" i="15"/>
  <c r="F195" i="11" s="1"/>
  <c r="A198" i="15"/>
  <c r="B198" i="15"/>
  <c r="C198" i="15"/>
  <c r="D198" i="15"/>
  <c r="F198" i="15"/>
  <c r="J198" i="15"/>
  <c r="F196" i="11" s="1"/>
  <c r="A199" i="15"/>
  <c r="B199" i="15"/>
  <c r="C199" i="15"/>
  <c r="D199" i="15"/>
  <c r="F199" i="15"/>
  <c r="J199" i="15"/>
  <c r="F197" i="11" s="1"/>
  <c r="A200" i="15"/>
  <c r="B200" i="15"/>
  <c r="C200" i="15"/>
  <c r="D200" i="15"/>
  <c r="F200" i="15"/>
  <c r="J200" i="15"/>
  <c r="F198" i="11" s="1"/>
  <c r="A201" i="15"/>
  <c r="B201" i="15"/>
  <c r="C201" i="15"/>
  <c r="D201" i="15"/>
  <c r="F201" i="15"/>
  <c r="J201" i="15"/>
  <c r="F199" i="11" s="1"/>
  <c r="A202" i="15"/>
  <c r="B202" i="15"/>
  <c r="C202" i="15"/>
  <c r="D202" i="15"/>
  <c r="F202" i="15"/>
  <c r="J202" i="15"/>
  <c r="F200" i="11" s="1"/>
  <c r="A203" i="15"/>
  <c r="B203" i="15"/>
  <c r="C203" i="15"/>
  <c r="D203" i="15"/>
  <c r="F203" i="15"/>
  <c r="J203" i="15"/>
  <c r="F201" i="11" s="1"/>
  <c r="A204" i="15"/>
  <c r="B204" i="15"/>
  <c r="C204" i="15"/>
  <c r="D204" i="15"/>
  <c r="F204" i="15"/>
  <c r="J204" i="15"/>
  <c r="F202" i="11" s="1"/>
  <c r="A205" i="15"/>
  <c r="B205" i="15"/>
  <c r="C205" i="15"/>
  <c r="D205" i="15"/>
  <c r="F205" i="15"/>
  <c r="J205" i="15"/>
  <c r="F203" i="11" s="1"/>
  <c r="A206" i="15"/>
  <c r="B206" i="15"/>
  <c r="C206" i="15"/>
  <c r="D206" i="15"/>
  <c r="F206" i="15"/>
  <c r="J206" i="15"/>
  <c r="F204" i="11" s="1"/>
  <c r="A207" i="15"/>
  <c r="B207" i="15"/>
  <c r="C207" i="15"/>
  <c r="D207" i="15"/>
  <c r="F207" i="15"/>
  <c r="J207" i="15"/>
  <c r="F205" i="11" s="1"/>
  <c r="A208" i="15"/>
  <c r="B208" i="15"/>
  <c r="C208" i="15"/>
  <c r="D208" i="15"/>
  <c r="F208" i="15"/>
  <c r="J208" i="15"/>
  <c r="F206" i="11" s="1"/>
  <c r="A209" i="15"/>
  <c r="B209" i="15"/>
  <c r="C209" i="15"/>
  <c r="D209" i="15"/>
  <c r="F209" i="15"/>
  <c r="J209" i="15"/>
  <c r="F207" i="11" s="1"/>
  <c r="A210" i="15"/>
  <c r="B210" i="15"/>
  <c r="C210" i="15"/>
  <c r="D210" i="15"/>
  <c r="F210" i="15"/>
  <c r="J210" i="15"/>
  <c r="F208" i="11" s="1"/>
  <c r="D2" i="3"/>
  <c r="D3" i="3"/>
  <c r="H3" i="3"/>
  <c r="D4" i="3"/>
  <c r="I6" i="3"/>
  <c r="N6" i="3"/>
  <c r="A11" i="3"/>
  <c r="B11" i="3"/>
  <c r="C11" i="3"/>
  <c r="D11" i="3"/>
  <c r="A12" i="3"/>
  <c r="B12" i="3"/>
  <c r="C12" i="3"/>
  <c r="D12" i="3"/>
  <c r="A13" i="3"/>
  <c r="B13" i="3"/>
  <c r="C13" i="3"/>
  <c r="D13" i="3"/>
  <c r="A14" i="3"/>
  <c r="B14" i="3"/>
  <c r="C14" i="3"/>
  <c r="D14" i="3"/>
  <c r="F12" i="12"/>
  <c r="A15" i="3"/>
  <c r="B15" i="3"/>
  <c r="C15" i="3"/>
  <c r="D15" i="3"/>
  <c r="A16" i="3"/>
  <c r="B16" i="3"/>
  <c r="C16" i="3"/>
  <c r="D16" i="3"/>
  <c r="F14" i="12"/>
  <c r="A17" i="3"/>
  <c r="B17" i="3"/>
  <c r="C17" i="3"/>
  <c r="D17" i="3"/>
  <c r="A18" i="3"/>
  <c r="B18" i="3"/>
  <c r="C18" i="3"/>
  <c r="D18" i="3"/>
  <c r="J18" i="3"/>
  <c r="F16" i="12" s="1"/>
  <c r="A19" i="3"/>
  <c r="B19" i="3"/>
  <c r="C19" i="3"/>
  <c r="D19" i="3"/>
  <c r="A20" i="3"/>
  <c r="B20" i="3"/>
  <c r="C20" i="3"/>
  <c r="D20" i="3"/>
  <c r="F18" i="12"/>
  <c r="A21" i="3"/>
  <c r="B21" i="3"/>
  <c r="C21" i="3"/>
  <c r="D21" i="3"/>
  <c r="A22" i="3"/>
  <c r="B22" i="3"/>
  <c r="C22" i="3"/>
  <c r="D22" i="3"/>
  <c r="F22" i="3"/>
  <c r="J22" i="3"/>
  <c r="F20" i="12" s="1"/>
  <c r="A23" i="3"/>
  <c r="B23" i="3"/>
  <c r="C23" i="3"/>
  <c r="D23" i="3"/>
  <c r="F23" i="3"/>
  <c r="J23" i="3"/>
  <c r="A24" i="3"/>
  <c r="B24" i="3"/>
  <c r="C24" i="3"/>
  <c r="D24" i="3"/>
  <c r="F24" i="3"/>
  <c r="J24" i="3"/>
  <c r="F22" i="12" s="1"/>
  <c r="K24" i="3"/>
  <c r="G22" i="12" s="1"/>
  <c r="H22" i="12" s="1"/>
  <c r="A25" i="3"/>
  <c r="B25" i="3"/>
  <c r="C25" i="3"/>
  <c r="D25" i="3"/>
  <c r="F25" i="3"/>
  <c r="J25" i="3"/>
  <c r="A26" i="3"/>
  <c r="B26" i="3"/>
  <c r="C26" i="3"/>
  <c r="D26" i="3"/>
  <c r="F26" i="3"/>
  <c r="J26" i="3"/>
  <c r="F24" i="12" s="1"/>
  <c r="A27" i="3"/>
  <c r="B27" i="3"/>
  <c r="C27" i="3"/>
  <c r="D27" i="3"/>
  <c r="F27" i="3"/>
  <c r="J27" i="3"/>
  <c r="A28" i="3"/>
  <c r="B28" i="3"/>
  <c r="C28" i="3"/>
  <c r="D28" i="3"/>
  <c r="F28" i="3"/>
  <c r="J28" i="3"/>
  <c r="F26" i="12" s="1"/>
  <c r="A29" i="3"/>
  <c r="B29" i="3"/>
  <c r="C29" i="3"/>
  <c r="D29" i="3"/>
  <c r="F29" i="3"/>
  <c r="J29" i="3"/>
  <c r="A30" i="3"/>
  <c r="B30" i="3"/>
  <c r="C30" i="3"/>
  <c r="D30" i="3"/>
  <c r="F30" i="3"/>
  <c r="J30" i="3"/>
  <c r="F28" i="12" s="1"/>
  <c r="A31" i="3"/>
  <c r="B31" i="3"/>
  <c r="C31" i="3"/>
  <c r="D31" i="3"/>
  <c r="F31" i="3"/>
  <c r="J31" i="3"/>
  <c r="A32" i="3"/>
  <c r="B32" i="3"/>
  <c r="C32" i="3"/>
  <c r="D32" i="3"/>
  <c r="F32" i="3"/>
  <c r="J32" i="3"/>
  <c r="F30" i="12" s="1"/>
  <c r="A33" i="3"/>
  <c r="B33" i="3"/>
  <c r="C33" i="3"/>
  <c r="D33" i="3"/>
  <c r="F33" i="3"/>
  <c r="J33" i="3"/>
  <c r="A34" i="3"/>
  <c r="B34" i="3"/>
  <c r="C34" i="3"/>
  <c r="D34" i="3"/>
  <c r="F34" i="3"/>
  <c r="J34" i="3"/>
  <c r="F32" i="12" s="1"/>
  <c r="A35" i="3"/>
  <c r="B35" i="3"/>
  <c r="C35" i="3"/>
  <c r="D35" i="3"/>
  <c r="F35" i="3"/>
  <c r="J35" i="3"/>
  <c r="A36" i="3"/>
  <c r="B36" i="3"/>
  <c r="C36" i="3"/>
  <c r="D36" i="3"/>
  <c r="F36" i="3"/>
  <c r="J36" i="3"/>
  <c r="F34" i="12" s="1"/>
  <c r="K36" i="3"/>
  <c r="G34" i="12" s="1"/>
  <c r="H34" i="12" s="1"/>
  <c r="A37" i="3"/>
  <c r="B37" i="3"/>
  <c r="C37" i="3"/>
  <c r="D37" i="3"/>
  <c r="F37" i="3"/>
  <c r="J37" i="3"/>
  <c r="A38" i="3"/>
  <c r="B38" i="3"/>
  <c r="C38" i="3"/>
  <c r="D38" i="3"/>
  <c r="F38" i="3"/>
  <c r="J38" i="3"/>
  <c r="F36" i="12" s="1"/>
  <c r="A39" i="3"/>
  <c r="B39" i="3"/>
  <c r="C39" i="3"/>
  <c r="D39" i="3"/>
  <c r="F39" i="3"/>
  <c r="J39" i="3"/>
  <c r="A40" i="3"/>
  <c r="B40" i="3"/>
  <c r="C40" i="3"/>
  <c r="D40" i="3"/>
  <c r="F40" i="3"/>
  <c r="J40" i="3"/>
  <c r="F38" i="12" s="1"/>
  <c r="K40" i="3"/>
  <c r="G38" i="12" s="1"/>
  <c r="H38" i="12" s="1"/>
  <c r="A41" i="3"/>
  <c r="B41" i="3"/>
  <c r="C41" i="3"/>
  <c r="D41" i="3"/>
  <c r="F41" i="3"/>
  <c r="J41" i="3"/>
  <c r="A42" i="3"/>
  <c r="B42" i="3"/>
  <c r="C42" i="3"/>
  <c r="D42" i="3"/>
  <c r="F42" i="3"/>
  <c r="J42" i="3"/>
  <c r="F40" i="12" s="1"/>
  <c r="A43" i="3"/>
  <c r="B43" i="3"/>
  <c r="C43" i="3"/>
  <c r="D43" i="3"/>
  <c r="F43" i="3"/>
  <c r="J43" i="3"/>
  <c r="A44" i="3"/>
  <c r="B44" i="3"/>
  <c r="C44" i="3"/>
  <c r="D44" i="3"/>
  <c r="F44" i="3"/>
  <c r="J44" i="3"/>
  <c r="F42" i="12" s="1"/>
  <c r="A45" i="3"/>
  <c r="B45" i="3"/>
  <c r="C45" i="3"/>
  <c r="D45" i="3"/>
  <c r="F45" i="3"/>
  <c r="J45" i="3"/>
  <c r="A46" i="3"/>
  <c r="B46" i="3"/>
  <c r="C46" i="3"/>
  <c r="D46" i="3"/>
  <c r="F46" i="3"/>
  <c r="J46" i="3"/>
  <c r="F44" i="12" s="1"/>
  <c r="A47" i="3"/>
  <c r="B47" i="3"/>
  <c r="C47" i="3"/>
  <c r="D47" i="3"/>
  <c r="F47" i="3"/>
  <c r="J47" i="3"/>
  <c r="A48" i="3"/>
  <c r="B48" i="3"/>
  <c r="C48" i="3"/>
  <c r="D48" i="3"/>
  <c r="F48" i="3"/>
  <c r="J48" i="3"/>
  <c r="F46" i="12" s="1"/>
  <c r="K48" i="3"/>
  <c r="G46" i="12" s="1"/>
  <c r="H46" i="12" s="1"/>
  <c r="A49" i="3"/>
  <c r="B49" i="3"/>
  <c r="C49" i="3"/>
  <c r="D49" i="3"/>
  <c r="F49" i="3"/>
  <c r="J49" i="3"/>
  <c r="A50" i="3"/>
  <c r="B50" i="3"/>
  <c r="C50" i="3"/>
  <c r="D50" i="3"/>
  <c r="F50" i="3"/>
  <c r="J50" i="3"/>
  <c r="F48" i="12" s="1"/>
  <c r="A51" i="3"/>
  <c r="B51" i="3"/>
  <c r="C51" i="3"/>
  <c r="D51" i="3"/>
  <c r="F51" i="3"/>
  <c r="J51" i="3"/>
  <c r="A52" i="3"/>
  <c r="B52" i="3"/>
  <c r="C52" i="3"/>
  <c r="D52" i="3"/>
  <c r="F52" i="3"/>
  <c r="J52" i="3"/>
  <c r="F50" i="12" s="1"/>
  <c r="A53" i="3"/>
  <c r="B53" i="3"/>
  <c r="C53" i="3"/>
  <c r="D53" i="3"/>
  <c r="F53" i="3"/>
  <c r="J53" i="3"/>
  <c r="A54" i="3"/>
  <c r="B54" i="3"/>
  <c r="C54" i="3"/>
  <c r="D54" i="3"/>
  <c r="F54" i="3"/>
  <c r="J54" i="3"/>
  <c r="F52" i="12" s="1"/>
  <c r="A55" i="3"/>
  <c r="B55" i="3"/>
  <c r="C55" i="3"/>
  <c r="D55" i="3"/>
  <c r="F55" i="3"/>
  <c r="J55" i="3"/>
  <c r="A56" i="3"/>
  <c r="B56" i="3"/>
  <c r="C56" i="3"/>
  <c r="D56" i="3"/>
  <c r="F56" i="3"/>
  <c r="J56" i="3"/>
  <c r="F54" i="12" s="1"/>
  <c r="K56" i="3"/>
  <c r="G54" i="12" s="1"/>
  <c r="H54" i="12" s="1"/>
  <c r="A57" i="3"/>
  <c r="B57" i="3"/>
  <c r="C57" i="3"/>
  <c r="D57" i="3"/>
  <c r="F57" i="3"/>
  <c r="J57" i="3"/>
  <c r="A58" i="3"/>
  <c r="B58" i="3"/>
  <c r="C58" i="3"/>
  <c r="D58" i="3"/>
  <c r="F58" i="3"/>
  <c r="J58" i="3"/>
  <c r="F56" i="12" s="1"/>
  <c r="A59" i="3"/>
  <c r="B59" i="3"/>
  <c r="C59" i="3"/>
  <c r="D59" i="3"/>
  <c r="F59" i="3"/>
  <c r="J59" i="3"/>
  <c r="A60" i="3"/>
  <c r="B60" i="3"/>
  <c r="C60" i="3"/>
  <c r="D60" i="3"/>
  <c r="F60" i="3"/>
  <c r="J60" i="3"/>
  <c r="F58" i="12" s="1"/>
  <c r="A61" i="3"/>
  <c r="B61" i="3"/>
  <c r="C61" i="3"/>
  <c r="D61" i="3"/>
  <c r="F61" i="3"/>
  <c r="J61" i="3"/>
  <c r="A62" i="3"/>
  <c r="B62" i="3"/>
  <c r="C62" i="3"/>
  <c r="D62" i="3"/>
  <c r="F62" i="3"/>
  <c r="J62" i="3"/>
  <c r="F60" i="12" s="1"/>
  <c r="A63" i="3"/>
  <c r="B63" i="3"/>
  <c r="C63" i="3"/>
  <c r="D63" i="3"/>
  <c r="F63" i="3"/>
  <c r="J63" i="3"/>
  <c r="A64" i="3"/>
  <c r="B64" i="3"/>
  <c r="C64" i="3"/>
  <c r="D64" i="3"/>
  <c r="F64" i="3"/>
  <c r="J64" i="3"/>
  <c r="F62" i="12" s="1"/>
  <c r="K64" i="3"/>
  <c r="A65" i="3"/>
  <c r="B65" i="3"/>
  <c r="C65" i="3"/>
  <c r="D65" i="3"/>
  <c r="F65" i="3"/>
  <c r="J65" i="3"/>
  <c r="A66" i="3"/>
  <c r="B66" i="3"/>
  <c r="C66" i="3"/>
  <c r="D66" i="3"/>
  <c r="F66" i="3"/>
  <c r="J66" i="3"/>
  <c r="F64" i="12" s="1"/>
  <c r="A67" i="3"/>
  <c r="B67" i="3"/>
  <c r="C67" i="3"/>
  <c r="D67" i="3"/>
  <c r="F67" i="3"/>
  <c r="J67" i="3"/>
  <c r="A68" i="3"/>
  <c r="B68" i="3"/>
  <c r="C68" i="3"/>
  <c r="D68" i="3"/>
  <c r="F68" i="3"/>
  <c r="J68" i="3"/>
  <c r="F66" i="12" s="1"/>
  <c r="K68" i="3"/>
  <c r="A69" i="3"/>
  <c r="B69" i="3"/>
  <c r="C69" i="3"/>
  <c r="D69" i="3"/>
  <c r="F69" i="3"/>
  <c r="J69" i="3"/>
  <c r="A70" i="3"/>
  <c r="B70" i="3"/>
  <c r="C70" i="3"/>
  <c r="D70" i="3"/>
  <c r="F70" i="3"/>
  <c r="J70" i="3"/>
  <c r="F68" i="12" s="1"/>
  <c r="A71" i="3"/>
  <c r="B71" i="3"/>
  <c r="C71" i="3"/>
  <c r="D71" i="3"/>
  <c r="F71" i="3"/>
  <c r="J71" i="3"/>
  <c r="A72" i="3"/>
  <c r="B72" i="3"/>
  <c r="C72" i="3"/>
  <c r="D72" i="3"/>
  <c r="F72" i="3"/>
  <c r="J72" i="3"/>
  <c r="F70" i="12" s="1"/>
  <c r="K72" i="3"/>
  <c r="A73" i="3"/>
  <c r="B73" i="3"/>
  <c r="C73" i="3"/>
  <c r="D73" i="3"/>
  <c r="F73" i="3"/>
  <c r="J73" i="3"/>
  <c r="A74" i="3"/>
  <c r="B74" i="3"/>
  <c r="C74" i="3"/>
  <c r="D74" i="3"/>
  <c r="F74" i="3"/>
  <c r="J74" i="3"/>
  <c r="F72" i="12" s="1"/>
  <c r="A75" i="3"/>
  <c r="B75" i="3"/>
  <c r="C75" i="3"/>
  <c r="D75" i="3"/>
  <c r="F75" i="3"/>
  <c r="J75" i="3"/>
  <c r="A76" i="3"/>
  <c r="B76" i="3"/>
  <c r="C76" i="3"/>
  <c r="D76" i="3"/>
  <c r="F76" i="3"/>
  <c r="J76" i="3"/>
  <c r="F74" i="12" s="1"/>
  <c r="A77" i="3"/>
  <c r="B77" i="3"/>
  <c r="C77" i="3"/>
  <c r="D77" i="3"/>
  <c r="F77" i="3"/>
  <c r="J77" i="3"/>
  <c r="A78" i="3"/>
  <c r="B78" i="3"/>
  <c r="C78" i="3"/>
  <c r="D78" i="3"/>
  <c r="F78" i="3"/>
  <c r="J78" i="3"/>
  <c r="F76" i="12" s="1"/>
  <c r="A79" i="3"/>
  <c r="B79" i="3"/>
  <c r="C79" i="3"/>
  <c r="D79" i="3"/>
  <c r="F79" i="3"/>
  <c r="J79" i="3"/>
  <c r="A80" i="3"/>
  <c r="B80" i="3"/>
  <c r="C80" i="3"/>
  <c r="D80" i="3"/>
  <c r="F80" i="3"/>
  <c r="J80" i="3"/>
  <c r="F78" i="12" s="1"/>
  <c r="K80" i="3"/>
  <c r="A81" i="3"/>
  <c r="B81" i="3"/>
  <c r="C81" i="3"/>
  <c r="D81" i="3"/>
  <c r="F81" i="3"/>
  <c r="J81" i="3"/>
  <c r="A82" i="3"/>
  <c r="B82" i="3"/>
  <c r="C82" i="3"/>
  <c r="D82" i="3"/>
  <c r="F82" i="3"/>
  <c r="J82" i="3"/>
  <c r="F80" i="12" s="1"/>
  <c r="A83" i="3"/>
  <c r="B83" i="3"/>
  <c r="C83" i="3"/>
  <c r="D83" i="3"/>
  <c r="F83" i="3"/>
  <c r="J83" i="3"/>
  <c r="A84" i="3"/>
  <c r="B84" i="3"/>
  <c r="C84" i="3"/>
  <c r="D84" i="3"/>
  <c r="F84" i="3"/>
  <c r="J84" i="3"/>
  <c r="F82" i="12" s="1"/>
  <c r="A85" i="3"/>
  <c r="B85" i="3"/>
  <c r="C85" i="3"/>
  <c r="D85" i="3"/>
  <c r="F85" i="3"/>
  <c r="J85" i="3"/>
  <c r="A86" i="3"/>
  <c r="B86" i="3"/>
  <c r="C86" i="3"/>
  <c r="D86" i="3"/>
  <c r="F86" i="3"/>
  <c r="J86" i="3"/>
  <c r="F84" i="12" s="1"/>
  <c r="A87" i="3"/>
  <c r="B87" i="3"/>
  <c r="C87" i="3"/>
  <c r="D87" i="3"/>
  <c r="F87" i="3"/>
  <c r="J87" i="3"/>
  <c r="A88" i="3"/>
  <c r="B88" i="3"/>
  <c r="C88" i="3"/>
  <c r="D88" i="3"/>
  <c r="F88" i="3"/>
  <c r="J88" i="3"/>
  <c r="F86" i="12" s="1"/>
  <c r="K88" i="3"/>
  <c r="A89" i="3"/>
  <c r="B89" i="3"/>
  <c r="C89" i="3"/>
  <c r="D89" i="3"/>
  <c r="F89" i="3"/>
  <c r="J89" i="3"/>
  <c r="A90" i="3"/>
  <c r="B90" i="3"/>
  <c r="C90" i="3"/>
  <c r="D90" i="3"/>
  <c r="F90" i="3"/>
  <c r="J90" i="3"/>
  <c r="F88" i="12" s="1"/>
  <c r="A91" i="3"/>
  <c r="B91" i="3"/>
  <c r="C91" i="3"/>
  <c r="D91" i="3"/>
  <c r="F91" i="3"/>
  <c r="J91" i="3"/>
  <c r="A92" i="3"/>
  <c r="B92" i="3"/>
  <c r="C92" i="3"/>
  <c r="D92" i="3"/>
  <c r="F92" i="3"/>
  <c r="J92" i="3"/>
  <c r="F90" i="12" s="1"/>
  <c r="A93" i="3"/>
  <c r="B93" i="3"/>
  <c r="C93" i="3"/>
  <c r="D93" i="3"/>
  <c r="F93" i="3"/>
  <c r="J93" i="3"/>
  <c r="A94" i="3"/>
  <c r="B94" i="3"/>
  <c r="C94" i="3"/>
  <c r="D94" i="3"/>
  <c r="F94" i="3"/>
  <c r="J94" i="3"/>
  <c r="F92" i="12" s="1"/>
  <c r="A95" i="3"/>
  <c r="B95" i="3"/>
  <c r="C95" i="3"/>
  <c r="D95" i="3"/>
  <c r="F95" i="3"/>
  <c r="J95" i="3"/>
  <c r="A96" i="3"/>
  <c r="B96" i="3"/>
  <c r="C96" i="3"/>
  <c r="D96" i="3"/>
  <c r="F96" i="3"/>
  <c r="J96" i="3"/>
  <c r="F94" i="12" s="1"/>
  <c r="K96" i="3"/>
  <c r="A97" i="3"/>
  <c r="B97" i="3"/>
  <c r="C97" i="3"/>
  <c r="D97" i="3"/>
  <c r="F97" i="3"/>
  <c r="J97" i="3"/>
  <c r="A98" i="3"/>
  <c r="B98" i="3"/>
  <c r="C98" i="3"/>
  <c r="D98" i="3"/>
  <c r="F98" i="3"/>
  <c r="J98" i="3"/>
  <c r="F96" i="12" s="1"/>
  <c r="A99" i="3"/>
  <c r="B99" i="3"/>
  <c r="C99" i="3"/>
  <c r="D99" i="3"/>
  <c r="F99" i="3"/>
  <c r="J99" i="3"/>
  <c r="A100" i="3"/>
  <c r="B100" i="3"/>
  <c r="C100" i="3"/>
  <c r="D100" i="3"/>
  <c r="F100" i="3"/>
  <c r="J100" i="3"/>
  <c r="F98" i="12" s="1"/>
  <c r="K100" i="3"/>
  <c r="A101" i="3"/>
  <c r="B101" i="3"/>
  <c r="C101" i="3"/>
  <c r="D101" i="3"/>
  <c r="F101" i="3"/>
  <c r="J101" i="3"/>
  <c r="A102" i="3"/>
  <c r="B102" i="3"/>
  <c r="C102" i="3"/>
  <c r="D102" i="3"/>
  <c r="F102" i="3"/>
  <c r="J102" i="3"/>
  <c r="F100" i="12" s="1"/>
  <c r="A103" i="3"/>
  <c r="B103" i="3"/>
  <c r="C103" i="3"/>
  <c r="D103" i="3"/>
  <c r="F103" i="3"/>
  <c r="J103" i="3"/>
  <c r="A104" i="3"/>
  <c r="B104" i="3"/>
  <c r="C104" i="3"/>
  <c r="D104" i="3"/>
  <c r="F104" i="3"/>
  <c r="J104" i="3"/>
  <c r="F102" i="12" s="1"/>
  <c r="K104" i="3"/>
  <c r="A105" i="3"/>
  <c r="B105" i="3"/>
  <c r="C105" i="3"/>
  <c r="D105" i="3"/>
  <c r="F105" i="3"/>
  <c r="J105" i="3"/>
  <c r="A106" i="3"/>
  <c r="B106" i="3"/>
  <c r="C106" i="3"/>
  <c r="D106" i="3"/>
  <c r="F106" i="3"/>
  <c r="J106" i="3"/>
  <c r="F104" i="12" s="1"/>
  <c r="A107" i="3"/>
  <c r="B107" i="3"/>
  <c r="C107" i="3"/>
  <c r="D107" i="3"/>
  <c r="F107" i="3"/>
  <c r="J107" i="3"/>
  <c r="A108" i="3"/>
  <c r="B108" i="3"/>
  <c r="C108" i="3"/>
  <c r="D108" i="3"/>
  <c r="F108" i="3"/>
  <c r="J108" i="3"/>
  <c r="F106" i="12" s="1"/>
  <c r="A109" i="3"/>
  <c r="B109" i="3"/>
  <c r="C109" i="3"/>
  <c r="D109" i="3"/>
  <c r="F109" i="3"/>
  <c r="J109" i="3"/>
  <c r="A110" i="3"/>
  <c r="B110" i="3"/>
  <c r="C110" i="3"/>
  <c r="D110" i="3"/>
  <c r="F110" i="3"/>
  <c r="J110" i="3"/>
  <c r="F108" i="12" s="1"/>
  <c r="A111" i="3"/>
  <c r="B111" i="3"/>
  <c r="C111" i="3"/>
  <c r="D111" i="3"/>
  <c r="F111" i="3"/>
  <c r="J111" i="3"/>
  <c r="A112" i="3"/>
  <c r="B112" i="3"/>
  <c r="C112" i="3"/>
  <c r="D112" i="3"/>
  <c r="F112" i="3"/>
  <c r="J112" i="3"/>
  <c r="F110" i="12" s="1"/>
  <c r="K112" i="3"/>
  <c r="A113" i="3"/>
  <c r="B113" i="3"/>
  <c r="C113" i="3"/>
  <c r="D113" i="3"/>
  <c r="F113" i="3"/>
  <c r="J113" i="3"/>
  <c r="A114" i="3"/>
  <c r="B114" i="3"/>
  <c r="C114" i="3"/>
  <c r="D114" i="3"/>
  <c r="F114" i="3"/>
  <c r="J114" i="3"/>
  <c r="F112" i="12" s="1"/>
  <c r="A115" i="3"/>
  <c r="B115" i="3"/>
  <c r="C115" i="3"/>
  <c r="D115" i="3"/>
  <c r="F115" i="3"/>
  <c r="J115" i="3"/>
  <c r="A116" i="3"/>
  <c r="B116" i="3"/>
  <c r="C116" i="3"/>
  <c r="D116" i="3"/>
  <c r="F116" i="3"/>
  <c r="J116" i="3"/>
  <c r="F114" i="12" s="1"/>
  <c r="A117" i="3"/>
  <c r="B117" i="3"/>
  <c r="C117" i="3"/>
  <c r="D117" i="3"/>
  <c r="F117" i="3"/>
  <c r="J117" i="3"/>
  <c r="A118" i="3"/>
  <c r="B118" i="3"/>
  <c r="C118" i="3"/>
  <c r="D118" i="3"/>
  <c r="F118" i="3"/>
  <c r="J118" i="3"/>
  <c r="F116" i="12" s="1"/>
  <c r="A119" i="3"/>
  <c r="B119" i="3"/>
  <c r="C119" i="3"/>
  <c r="D119" i="3"/>
  <c r="F119" i="3"/>
  <c r="J119" i="3"/>
  <c r="A120" i="3"/>
  <c r="B120" i="3"/>
  <c r="C120" i="3"/>
  <c r="D120" i="3"/>
  <c r="F120" i="3"/>
  <c r="J120" i="3"/>
  <c r="F118" i="12" s="1"/>
  <c r="K120" i="3"/>
  <c r="A121" i="3"/>
  <c r="B121" i="3"/>
  <c r="C121" i="3"/>
  <c r="D121" i="3"/>
  <c r="F121" i="3"/>
  <c r="J121" i="3"/>
  <c r="A122" i="3"/>
  <c r="B122" i="3"/>
  <c r="C122" i="3"/>
  <c r="D122" i="3"/>
  <c r="F122" i="3"/>
  <c r="J122" i="3"/>
  <c r="F120" i="12" s="1"/>
  <c r="A123" i="3"/>
  <c r="B123" i="3"/>
  <c r="C123" i="3"/>
  <c r="D123" i="3"/>
  <c r="F123" i="3"/>
  <c r="J123" i="3"/>
  <c r="A124" i="3"/>
  <c r="B124" i="3"/>
  <c r="C124" i="3"/>
  <c r="D124" i="3"/>
  <c r="F124" i="3"/>
  <c r="J124" i="3"/>
  <c r="F122" i="12" s="1"/>
  <c r="A125" i="3"/>
  <c r="B125" i="3"/>
  <c r="C125" i="3"/>
  <c r="D125" i="3"/>
  <c r="F125" i="3"/>
  <c r="J125" i="3"/>
  <c r="A126" i="3"/>
  <c r="B126" i="3"/>
  <c r="C126" i="3"/>
  <c r="D126" i="3"/>
  <c r="F126" i="3"/>
  <c r="J126" i="3"/>
  <c r="F124" i="12" s="1"/>
  <c r="A127" i="3"/>
  <c r="B127" i="3"/>
  <c r="C127" i="3"/>
  <c r="D127" i="3"/>
  <c r="F127" i="3"/>
  <c r="J127" i="3"/>
  <c r="A128" i="3"/>
  <c r="B128" i="3"/>
  <c r="C128" i="3"/>
  <c r="D128" i="3"/>
  <c r="F128" i="3"/>
  <c r="J128" i="3"/>
  <c r="F126" i="12" s="1"/>
  <c r="K128" i="3"/>
  <c r="A129" i="3"/>
  <c r="B129" i="3"/>
  <c r="C129" i="3"/>
  <c r="D129" i="3"/>
  <c r="F129" i="3"/>
  <c r="J129" i="3"/>
  <c r="A130" i="3"/>
  <c r="B130" i="3"/>
  <c r="C130" i="3"/>
  <c r="D130" i="3"/>
  <c r="F130" i="3"/>
  <c r="J130" i="3"/>
  <c r="F128" i="12" s="1"/>
  <c r="A131" i="3"/>
  <c r="B131" i="3"/>
  <c r="C131" i="3"/>
  <c r="D131" i="3"/>
  <c r="F131" i="3"/>
  <c r="J131" i="3"/>
  <c r="A132" i="3"/>
  <c r="B132" i="3"/>
  <c r="C132" i="3"/>
  <c r="D132" i="3"/>
  <c r="F132" i="3"/>
  <c r="J132" i="3"/>
  <c r="F130" i="12" s="1"/>
  <c r="K132" i="3"/>
  <c r="A133" i="3"/>
  <c r="B133" i="3"/>
  <c r="C133" i="3"/>
  <c r="D133" i="3"/>
  <c r="F133" i="3"/>
  <c r="J133" i="3"/>
  <c r="A134" i="3"/>
  <c r="B134" i="3"/>
  <c r="C134" i="3"/>
  <c r="D134" i="3"/>
  <c r="F134" i="3"/>
  <c r="J134" i="3"/>
  <c r="F132" i="12" s="1"/>
  <c r="A135" i="3"/>
  <c r="B135" i="3"/>
  <c r="C135" i="3"/>
  <c r="D135" i="3"/>
  <c r="F135" i="3"/>
  <c r="J135" i="3"/>
  <c r="A136" i="3"/>
  <c r="B136" i="3"/>
  <c r="C136" i="3"/>
  <c r="D136" i="3"/>
  <c r="F136" i="3"/>
  <c r="J136" i="3"/>
  <c r="F134" i="12" s="1"/>
  <c r="K136" i="3"/>
  <c r="A137" i="3"/>
  <c r="B137" i="3"/>
  <c r="C137" i="3"/>
  <c r="D137" i="3"/>
  <c r="F137" i="3"/>
  <c r="J137" i="3"/>
  <c r="A138" i="3"/>
  <c r="B138" i="3"/>
  <c r="C138" i="3"/>
  <c r="D138" i="3"/>
  <c r="F138" i="3"/>
  <c r="J138" i="3"/>
  <c r="F136" i="12" s="1"/>
  <c r="A139" i="3"/>
  <c r="B139" i="3"/>
  <c r="C139" i="3"/>
  <c r="D139" i="3"/>
  <c r="F139" i="3"/>
  <c r="J139" i="3"/>
  <c r="A140" i="3"/>
  <c r="B140" i="3"/>
  <c r="C140" i="3"/>
  <c r="D140" i="3"/>
  <c r="F140" i="3"/>
  <c r="J140" i="3"/>
  <c r="F138" i="12" s="1"/>
  <c r="A141" i="3"/>
  <c r="B141" i="3"/>
  <c r="C141" i="3"/>
  <c r="D141" i="3"/>
  <c r="F141" i="3"/>
  <c r="J141" i="3"/>
  <c r="A142" i="3"/>
  <c r="B142" i="3"/>
  <c r="C142" i="3"/>
  <c r="D142" i="3"/>
  <c r="F142" i="3"/>
  <c r="J142" i="3"/>
  <c r="F140" i="12" s="1"/>
  <c r="A143" i="3"/>
  <c r="B143" i="3"/>
  <c r="C143" i="3"/>
  <c r="D143" i="3"/>
  <c r="F143" i="3"/>
  <c r="J143" i="3"/>
  <c r="A144" i="3"/>
  <c r="B144" i="3"/>
  <c r="C144" i="3"/>
  <c r="D144" i="3"/>
  <c r="F144" i="3"/>
  <c r="J144" i="3"/>
  <c r="F142" i="12" s="1"/>
  <c r="K144" i="3"/>
  <c r="A145" i="3"/>
  <c r="B145" i="3"/>
  <c r="C145" i="3"/>
  <c r="D145" i="3"/>
  <c r="F145" i="3"/>
  <c r="J145" i="3"/>
  <c r="A146" i="3"/>
  <c r="B146" i="3"/>
  <c r="C146" i="3"/>
  <c r="D146" i="3"/>
  <c r="F146" i="3"/>
  <c r="J146" i="3"/>
  <c r="F144" i="12" s="1"/>
  <c r="A147" i="3"/>
  <c r="B147" i="3"/>
  <c r="C147" i="3"/>
  <c r="D147" i="3"/>
  <c r="F147" i="3"/>
  <c r="J147" i="3"/>
  <c r="A148" i="3"/>
  <c r="B148" i="3"/>
  <c r="C148" i="3"/>
  <c r="D148" i="3"/>
  <c r="F148" i="3"/>
  <c r="J148" i="3"/>
  <c r="F146" i="12" s="1"/>
  <c r="A149" i="3"/>
  <c r="B149" i="3"/>
  <c r="C149" i="3"/>
  <c r="D149" i="3"/>
  <c r="F149" i="3"/>
  <c r="J149" i="3"/>
  <c r="A150" i="3"/>
  <c r="B150" i="3"/>
  <c r="C150" i="3"/>
  <c r="D150" i="3"/>
  <c r="F150" i="3"/>
  <c r="J150" i="3"/>
  <c r="F148" i="12" s="1"/>
  <c r="A151" i="3"/>
  <c r="B151" i="3"/>
  <c r="C151" i="3"/>
  <c r="D151" i="3"/>
  <c r="F151" i="3"/>
  <c r="J151" i="3"/>
  <c r="A152" i="3"/>
  <c r="B152" i="3"/>
  <c r="C152" i="3"/>
  <c r="D152" i="3"/>
  <c r="F152" i="3"/>
  <c r="J152" i="3"/>
  <c r="F150" i="12" s="1"/>
  <c r="K152" i="3"/>
  <c r="A153" i="3"/>
  <c r="B153" i="3"/>
  <c r="C153" i="3"/>
  <c r="D153" i="3"/>
  <c r="F153" i="3"/>
  <c r="J153" i="3"/>
  <c r="A154" i="3"/>
  <c r="B154" i="3"/>
  <c r="C154" i="3"/>
  <c r="D154" i="3"/>
  <c r="F154" i="3"/>
  <c r="J154" i="3"/>
  <c r="F152" i="12" s="1"/>
  <c r="A155" i="3"/>
  <c r="B155" i="3"/>
  <c r="C155" i="3"/>
  <c r="D155" i="3"/>
  <c r="F155" i="3"/>
  <c r="J155" i="3"/>
  <c r="A156" i="3"/>
  <c r="B156" i="3"/>
  <c r="C156" i="3"/>
  <c r="D156" i="3"/>
  <c r="F156" i="3"/>
  <c r="J156" i="3"/>
  <c r="F154" i="12" s="1"/>
  <c r="A157" i="3"/>
  <c r="B157" i="3"/>
  <c r="C157" i="3"/>
  <c r="D157" i="3"/>
  <c r="F157" i="3"/>
  <c r="J157" i="3"/>
  <c r="A158" i="3"/>
  <c r="B158" i="3"/>
  <c r="C158" i="3"/>
  <c r="D158" i="3"/>
  <c r="F158" i="3"/>
  <c r="J158" i="3"/>
  <c r="F156" i="12" s="1"/>
  <c r="A159" i="3"/>
  <c r="B159" i="3"/>
  <c r="C159" i="3"/>
  <c r="D159" i="3"/>
  <c r="F159" i="3"/>
  <c r="J159" i="3"/>
  <c r="A160" i="3"/>
  <c r="B160" i="3"/>
  <c r="C160" i="3"/>
  <c r="D160" i="3"/>
  <c r="F160" i="3"/>
  <c r="J160" i="3"/>
  <c r="F158" i="12" s="1"/>
  <c r="K160" i="3"/>
  <c r="A161" i="3"/>
  <c r="B161" i="3"/>
  <c r="C161" i="3"/>
  <c r="D161" i="3"/>
  <c r="F161" i="3"/>
  <c r="J161" i="3"/>
  <c r="F159" i="12" s="1"/>
  <c r="A162" i="3"/>
  <c r="B162" i="3"/>
  <c r="C162" i="3"/>
  <c r="D162" i="3"/>
  <c r="F162" i="3"/>
  <c r="J162" i="3"/>
  <c r="F160" i="12" s="1"/>
  <c r="A163" i="3"/>
  <c r="B163" i="3"/>
  <c r="C163" i="3"/>
  <c r="D163" i="3"/>
  <c r="F163" i="3"/>
  <c r="J163" i="3"/>
  <c r="F161" i="12" s="1"/>
  <c r="A164" i="3"/>
  <c r="B164" i="3"/>
  <c r="C164" i="3"/>
  <c r="D164" i="3"/>
  <c r="F164" i="3"/>
  <c r="J164" i="3"/>
  <c r="F162" i="12" s="1"/>
  <c r="K164" i="3"/>
  <c r="A165" i="3"/>
  <c r="B165" i="3"/>
  <c r="C165" i="3"/>
  <c r="D165" i="3"/>
  <c r="F165" i="3"/>
  <c r="J165" i="3"/>
  <c r="F163" i="12" s="1"/>
  <c r="A166" i="3"/>
  <c r="B166" i="3"/>
  <c r="C166" i="3"/>
  <c r="D166" i="3"/>
  <c r="F166" i="3"/>
  <c r="J166" i="3"/>
  <c r="F164" i="12" s="1"/>
  <c r="A167" i="3"/>
  <c r="B167" i="3"/>
  <c r="C167" i="3"/>
  <c r="D167" i="3"/>
  <c r="F167" i="3"/>
  <c r="J167" i="3"/>
  <c r="F165" i="12" s="1"/>
  <c r="A168" i="3"/>
  <c r="B168" i="3"/>
  <c r="C168" i="3"/>
  <c r="D168" i="3"/>
  <c r="F168" i="3"/>
  <c r="J168" i="3"/>
  <c r="F166" i="12" s="1"/>
  <c r="K168" i="3"/>
  <c r="A169" i="3"/>
  <c r="B169" i="3"/>
  <c r="C169" i="3"/>
  <c r="D169" i="3"/>
  <c r="F169" i="3"/>
  <c r="J169" i="3"/>
  <c r="F167" i="12" s="1"/>
  <c r="A170" i="3"/>
  <c r="B170" i="3"/>
  <c r="C170" i="3"/>
  <c r="D170" i="3"/>
  <c r="F170" i="3"/>
  <c r="J170" i="3"/>
  <c r="F168" i="12" s="1"/>
  <c r="A171" i="3"/>
  <c r="B171" i="3"/>
  <c r="C171" i="3"/>
  <c r="D171" i="3"/>
  <c r="F171" i="3"/>
  <c r="J171" i="3"/>
  <c r="F169" i="12" s="1"/>
  <c r="A172" i="3"/>
  <c r="B172" i="3"/>
  <c r="C172" i="3"/>
  <c r="D172" i="3"/>
  <c r="F172" i="3"/>
  <c r="J172" i="3"/>
  <c r="F170" i="12" s="1"/>
  <c r="A173" i="3"/>
  <c r="B173" i="3"/>
  <c r="C173" i="3"/>
  <c r="D173" i="3"/>
  <c r="F173" i="3"/>
  <c r="J173" i="3"/>
  <c r="F171" i="12" s="1"/>
  <c r="A174" i="3"/>
  <c r="B174" i="3"/>
  <c r="C174" i="3"/>
  <c r="D174" i="3"/>
  <c r="F174" i="3"/>
  <c r="J174" i="3"/>
  <c r="F172" i="12" s="1"/>
  <c r="A175" i="3"/>
  <c r="B175" i="3"/>
  <c r="C175" i="3"/>
  <c r="D175" i="3"/>
  <c r="F175" i="3"/>
  <c r="J175" i="3"/>
  <c r="A176" i="3"/>
  <c r="B176" i="3"/>
  <c r="C176" i="3"/>
  <c r="D176" i="3"/>
  <c r="F176" i="3"/>
  <c r="J176" i="3"/>
  <c r="F174" i="12" s="1"/>
  <c r="K176" i="3"/>
  <c r="A177" i="3"/>
  <c r="B177" i="3"/>
  <c r="C177" i="3"/>
  <c r="D177" i="3"/>
  <c r="F177" i="3"/>
  <c r="J177" i="3"/>
  <c r="A178" i="3"/>
  <c r="B178" i="3"/>
  <c r="C178" i="3"/>
  <c r="D178" i="3"/>
  <c r="F178" i="3"/>
  <c r="J178" i="3"/>
  <c r="F176" i="12" s="1"/>
  <c r="A179" i="3"/>
  <c r="B179" i="3"/>
  <c r="C179" i="3"/>
  <c r="D179" i="3"/>
  <c r="F179" i="3"/>
  <c r="J179" i="3"/>
  <c r="A180" i="3"/>
  <c r="B180" i="3"/>
  <c r="C180" i="3"/>
  <c r="D180" i="3"/>
  <c r="F180" i="3"/>
  <c r="J180" i="3"/>
  <c r="F178" i="12" s="1"/>
  <c r="A181" i="3"/>
  <c r="B181" i="3"/>
  <c r="C181" i="3"/>
  <c r="D181" i="3"/>
  <c r="F181" i="3"/>
  <c r="J181" i="3"/>
  <c r="A182" i="3"/>
  <c r="B182" i="3"/>
  <c r="C182" i="3"/>
  <c r="D182" i="3"/>
  <c r="F182" i="3"/>
  <c r="J182" i="3"/>
  <c r="F180" i="12" s="1"/>
  <c r="A183" i="3"/>
  <c r="B183" i="3"/>
  <c r="C183" i="3"/>
  <c r="D183" i="3"/>
  <c r="F183" i="3"/>
  <c r="J183" i="3"/>
  <c r="A184" i="3"/>
  <c r="B184" i="3"/>
  <c r="C184" i="3"/>
  <c r="D184" i="3"/>
  <c r="F184" i="3"/>
  <c r="J184" i="3"/>
  <c r="F182" i="12" s="1"/>
  <c r="K184" i="3"/>
  <c r="A185" i="3"/>
  <c r="B185" i="3"/>
  <c r="C185" i="3"/>
  <c r="D185" i="3"/>
  <c r="F185" i="3"/>
  <c r="J185" i="3"/>
  <c r="A186" i="3"/>
  <c r="B186" i="3"/>
  <c r="C186" i="3"/>
  <c r="D186" i="3"/>
  <c r="F186" i="3"/>
  <c r="J186" i="3"/>
  <c r="F184" i="12" s="1"/>
  <c r="A187" i="3"/>
  <c r="B187" i="3"/>
  <c r="C187" i="3"/>
  <c r="D187" i="3"/>
  <c r="F187" i="3"/>
  <c r="J187" i="3"/>
  <c r="A188" i="3"/>
  <c r="B188" i="3"/>
  <c r="C188" i="3"/>
  <c r="D188" i="3"/>
  <c r="F188" i="3"/>
  <c r="J188" i="3"/>
  <c r="F186" i="12" s="1"/>
  <c r="A189" i="3"/>
  <c r="B189" i="3"/>
  <c r="C189" i="3"/>
  <c r="D189" i="3"/>
  <c r="F189" i="3"/>
  <c r="J189" i="3"/>
  <c r="A190" i="3"/>
  <c r="B190" i="3"/>
  <c r="C190" i="3"/>
  <c r="D190" i="3"/>
  <c r="F190" i="3"/>
  <c r="J190" i="3"/>
  <c r="F188" i="12" s="1"/>
  <c r="A191" i="3"/>
  <c r="B191" i="3"/>
  <c r="C191" i="3"/>
  <c r="D191" i="3"/>
  <c r="F191" i="3"/>
  <c r="J191" i="3"/>
  <c r="A192" i="3"/>
  <c r="B192" i="3"/>
  <c r="C192" i="3"/>
  <c r="D192" i="3"/>
  <c r="F192" i="3"/>
  <c r="J192" i="3"/>
  <c r="F190" i="12" s="1"/>
  <c r="K192" i="3"/>
  <c r="A193" i="3"/>
  <c r="B193" i="3"/>
  <c r="C193" i="3"/>
  <c r="D193" i="3"/>
  <c r="F193" i="3"/>
  <c r="J193" i="3"/>
  <c r="A194" i="3"/>
  <c r="B194" i="3"/>
  <c r="C194" i="3"/>
  <c r="D194" i="3"/>
  <c r="F194" i="3"/>
  <c r="J194" i="3"/>
  <c r="F192" i="12" s="1"/>
  <c r="A195" i="3"/>
  <c r="B195" i="3"/>
  <c r="C195" i="3"/>
  <c r="D195" i="3"/>
  <c r="F195" i="3"/>
  <c r="J195" i="3"/>
  <c r="A196" i="3"/>
  <c r="B196" i="3"/>
  <c r="C196" i="3"/>
  <c r="D196" i="3"/>
  <c r="F196" i="3"/>
  <c r="J196" i="3"/>
  <c r="F194" i="12" s="1"/>
  <c r="K196" i="3"/>
  <c r="A197" i="3"/>
  <c r="B197" i="3"/>
  <c r="C197" i="3"/>
  <c r="D197" i="3"/>
  <c r="F197" i="3"/>
  <c r="J197" i="3"/>
  <c r="A198" i="3"/>
  <c r="B198" i="3"/>
  <c r="C198" i="3"/>
  <c r="D198" i="3"/>
  <c r="F198" i="3"/>
  <c r="J198" i="3"/>
  <c r="F196" i="12" s="1"/>
  <c r="A199" i="3"/>
  <c r="B199" i="3"/>
  <c r="C199" i="3"/>
  <c r="D199" i="3"/>
  <c r="F199" i="3"/>
  <c r="J199" i="3"/>
  <c r="A200" i="3"/>
  <c r="B200" i="3"/>
  <c r="C200" i="3"/>
  <c r="D200" i="3"/>
  <c r="F200" i="3"/>
  <c r="J200" i="3"/>
  <c r="F198" i="12" s="1"/>
  <c r="K200" i="3"/>
  <c r="A201" i="3"/>
  <c r="B201" i="3"/>
  <c r="C201" i="3"/>
  <c r="D201" i="3"/>
  <c r="F201" i="3"/>
  <c r="J201" i="3"/>
  <c r="A202" i="3"/>
  <c r="B202" i="3"/>
  <c r="C202" i="3"/>
  <c r="D202" i="3"/>
  <c r="F202" i="3"/>
  <c r="J202" i="3"/>
  <c r="F200" i="12" s="1"/>
  <c r="A203" i="3"/>
  <c r="B203" i="3"/>
  <c r="C203" i="3"/>
  <c r="D203" i="3"/>
  <c r="F203" i="3"/>
  <c r="J203" i="3"/>
  <c r="A204" i="3"/>
  <c r="B204" i="3"/>
  <c r="C204" i="3"/>
  <c r="D204" i="3"/>
  <c r="F204" i="3"/>
  <c r="J204" i="3"/>
  <c r="F202" i="12" s="1"/>
  <c r="A205" i="3"/>
  <c r="B205" i="3"/>
  <c r="C205" i="3"/>
  <c r="D205" i="3"/>
  <c r="F205" i="3"/>
  <c r="J205" i="3"/>
  <c r="A206" i="3"/>
  <c r="B206" i="3"/>
  <c r="C206" i="3"/>
  <c r="D206" i="3"/>
  <c r="F206" i="3"/>
  <c r="J206" i="3"/>
  <c r="F204" i="12" s="1"/>
  <c r="A207" i="3"/>
  <c r="B207" i="3"/>
  <c r="C207" i="3"/>
  <c r="D207" i="3"/>
  <c r="F207" i="3"/>
  <c r="J207" i="3"/>
  <c r="A208" i="3"/>
  <c r="B208" i="3"/>
  <c r="C208" i="3"/>
  <c r="D208" i="3"/>
  <c r="F208" i="3"/>
  <c r="J208" i="3"/>
  <c r="F206" i="12" s="1"/>
  <c r="K208" i="3"/>
  <c r="A209" i="3"/>
  <c r="B209" i="3"/>
  <c r="C209" i="3"/>
  <c r="D209" i="3"/>
  <c r="F209" i="3"/>
  <c r="J209" i="3"/>
  <c r="A210" i="3"/>
  <c r="B210" i="3"/>
  <c r="C210" i="3"/>
  <c r="D210" i="3"/>
  <c r="F210" i="3"/>
  <c r="J210" i="3"/>
  <c r="F208" i="12" s="1"/>
  <c r="B2" i="7"/>
  <c r="D2" i="7"/>
  <c r="B3" i="7"/>
  <c r="E3" i="7"/>
  <c r="B4" i="7"/>
  <c r="E4" i="7"/>
  <c r="A6" i="7"/>
  <c r="B7" i="7"/>
  <c r="E7" i="10" s="1"/>
  <c r="U1" i="6"/>
  <c r="D2" i="6"/>
  <c r="P2" i="6"/>
  <c r="U2" i="6"/>
  <c r="D3" i="6"/>
  <c r="U3" i="6"/>
  <c r="D4" i="6"/>
  <c r="U4" i="6"/>
  <c r="U5" i="6"/>
  <c r="K8" i="6"/>
  <c r="L8" i="6" s="1"/>
  <c r="O8" i="6"/>
  <c r="K9" i="6"/>
  <c r="L9" i="6" s="1"/>
  <c r="O9" i="6"/>
  <c r="K10" i="6"/>
  <c r="L10" i="6" s="1"/>
  <c r="M10" i="6" s="1"/>
  <c r="O10" i="6"/>
  <c r="K11" i="6"/>
  <c r="L11" i="6" s="1"/>
  <c r="M11" i="6" s="1"/>
  <c r="O11" i="6"/>
  <c r="K12" i="6"/>
  <c r="L12" i="6" s="1"/>
  <c r="M12" i="6" s="1"/>
  <c r="O12" i="6"/>
  <c r="K13" i="6"/>
  <c r="L13" i="6" s="1"/>
  <c r="M13" i="6" s="1"/>
  <c r="O13" i="6"/>
  <c r="K14" i="6"/>
  <c r="L14" i="6" s="1"/>
  <c r="M14" i="6" s="1"/>
  <c r="O14" i="6"/>
  <c r="K15" i="6"/>
  <c r="L15" i="6" s="1"/>
  <c r="M15" i="6" s="1"/>
  <c r="O15" i="6"/>
  <c r="K16" i="6"/>
  <c r="L16" i="6"/>
  <c r="M16" i="6" s="1"/>
  <c r="O16" i="6"/>
  <c r="K17" i="6"/>
  <c r="L17" i="6" s="1"/>
  <c r="M17" i="6" s="1"/>
  <c r="O17" i="6"/>
  <c r="K18" i="6"/>
  <c r="L18" i="6" s="1"/>
  <c r="M18" i="6" s="1"/>
  <c r="O18" i="6"/>
  <c r="K19" i="6"/>
  <c r="L19" i="6" s="1"/>
  <c r="M19" i="6" s="1"/>
  <c r="O19" i="6"/>
  <c r="K20" i="6"/>
  <c r="L20" i="6" s="1"/>
  <c r="M20" i="6" s="1"/>
  <c r="O20" i="6"/>
  <c r="K21" i="6"/>
  <c r="L21" i="6" s="1"/>
  <c r="M21" i="6" s="1"/>
  <c r="O21" i="6"/>
  <c r="K22" i="6"/>
  <c r="L22" i="6" s="1"/>
  <c r="M22" i="6" s="1"/>
  <c r="O22" i="6"/>
  <c r="K23" i="6"/>
  <c r="L23" i="6" s="1"/>
  <c r="M23" i="6" s="1"/>
  <c r="O23" i="6"/>
  <c r="K24" i="6"/>
  <c r="L24" i="6"/>
  <c r="M24" i="6" s="1"/>
  <c r="O24" i="6"/>
  <c r="K25" i="6"/>
  <c r="L25" i="6" s="1"/>
  <c r="M25" i="6" s="1"/>
  <c r="O25" i="6"/>
  <c r="K26" i="6"/>
  <c r="L26" i="6" s="1"/>
  <c r="M26" i="6" s="1"/>
  <c r="O26" i="6"/>
  <c r="K27" i="6"/>
  <c r="L27" i="6" s="1"/>
  <c r="M27" i="6" s="1"/>
  <c r="O27" i="6"/>
  <c r="K28" i="6"/>
  <c r="L28" i="6"/>
  <c r="M28" i="6" s="1"/>
  <c r="O28" i="6"/>
  <c r="K29" i="6"/>
  <c r="L29" i="6" s="1"/>
  <c r="M29" i="6" s="1"/>
  <c r="O29" i="6"/>
  <c r="K30" i="6"/>
  <c r="L30" i="6" s="1"/>
  <c r="M30" i="6" s="1"/>
  <c r="O30" i="6"/>
  <c r="K31" i="6"/>
  <c r="L31" i="6" s="1"/>
  <c r="M31" i="6" s="1"/>
  <c r="O31" i="6"/>
  <c r="K32" i="6"/>
  <c r="L32" i="6" s="1"/>
  <c r="M32" i="6" s="1"/>
  <c r="O32" i="6"/>
  <c r="K33" i="6"/>
  <c r="L33" i="6" s="1"/>
  <c r="M33" i="6" s="1"/>
  <c r="O33" i="6"/>
  <c r="K36" i="15" s="1"/>
  <c r="P33" i="6"/>
  <c r="Q33" i="6" s="1"/>
  <c r="J34" i="11" s="1"/>
  <c r="K34" i="6"/>
  <c r="L34" i="6" s="1"/>
  <c r="M34" i="6" s="1"/>
  <c r="O34" i="6"/>
  <c r="K35" i="6"/>
  <c r="L35" i="6" s="1"/>
  <c r="M35" i="6" s="1"/>
  <c r="O35" i="6"/>
  <c r="K38" i="15" s="1"/>
  <c r="K36" i="6"/>
  <c r="L36" i="6" s="1"/>
  <c r="M36" i="6" s="1"/>
  <c r="O36" i="6"/>
  <c r="K37" i="6"/>
  <c r="L37" i="6" s="1"/>
  <c r="M37" i="6" s="1"/>
  <c r="O37" i="6"/>
  <c r="K40" i="15" s="1"/>
  <c r="K38" i="6"/>
  <c r="L38" i="6" s="1"/>
  <c r="M38" i="6" s="1"/>
  <c r="O38" i="6"/>
  <c r="K39" i="6"/>
  <c r="L39" i="6" s="1"/>
  <c r="M39" i="6" s="1"/>
  <c r="O39" i="6"/>
  <c r="K42" i="15" s="1"/>
  <c r="K40" i="6"/>
  <c r="L40" i="6" s="1"/>
  <c r="M40" i="6" s="1"/>
  <c r="O40" i="6"/>
  <c r="K41" i="6"/>
  <c r="L41" i="6" s="1"/>
  <c r="M41" i="6" s="1"/>
  <c r="O41" i="6"/>
  <c r="K44" i="15" s="1"/>
  <c r="P41" i="6"/>
  <c r="Q41" i="6" s="1"/>
  <c r="J42" i="11" s="1"/>
  <c r="K42" i="6"/>
  <c r="L42" i="6" s="1"/>
  <c r="M42" i="6" s="1"/>
  <c r="O42" i="6"/>
  <c r="K43" i="6"/>
  <c r="L43" i="6" s="1"/>
  <c r="M43" i="6" s="1"/>
  <c r="O43" i="6"/>
  <c r="K46" i="15" s="1"/>
  <c r="K44" i="6"/>
  <c r="L44" i="6" s="1"/>
  <c r="M44" i="6" s="1"/>
  <c r="O44" i="6"/>
  <c r="K45" i="6"/>
  <c r="L45" i="6" s="1"/>
  <c r="M45" i="6" s="1"/>
  <c r="O45" i="6"/>
  <c r="K48" i="15" s="1"/>
  <c r="P45" i="6"/>
  <c r="Q45" i="6" s="1"/>
  <c r="J46" i="11" s="1"/>
  <c r="K46" i="6"/>
  <c r="L46" i="6" s="1"/>
  <c r="M46" i="6" s="1"/>
  <c r="O46" i="6"/>
  <c r="K47" i="6"/>
  <c r="L47" i="6" s="1"/>
  <c r="M47" i="6" s="1"/>
  <c r="O47" i="6"/>
  <c r="K50" i="15" s="1"/>
  <c r="K48" i="6"/>
  <c r="L48" i="6" s="1"/>
  <c r="M48" i="6" s="1"/>
  <c r="O48" i="6"/>
  <c r="K49" i="6"/>
  <c r="L49" i="6" s="1"/>
  <c r="M49" i="6" s="1"/>
  <c r="O49" i="6"/>
  <c r="K52" i="15" s="1"/>
  <c r="K50" i="6"/>
  <c r="L50" i="6" s="1"/>
  <c r="M50" i="6" s="1"/>
  <c r="O50" i="6"/>
  <c r="K51" i="6"/>
  <c r="L51" i="6" s="1"/>
  <c r="M51" i="6" s="1"/>
  <c r="O51" i="6"/>
  <c r="K54" i="15" s="1"/>
  <c r="K52" i="6"/>
  <c r="L52" i="6" s="1"/>
  <c r="M52" i="6" s="1"/>
  <c r="O52" i="6"/>
  <c r="K53" i="6"/>
  <c r="L53" i="6" s="1"/>
  <c r="M53" i="6" s="1"/>
  <c r="O53" i="6"/>
  <c r="K56" i="15" s="1"/>
  <c r="P53" i="6"/>
  <c r="Q53" i="6" s="1"/>
  <c r="J54" i="11" s="1"/>
  <c r="K54" i="6"/>
  <c r="L54" i="6" s="1"/>
  <c r="M54" i="6" s="1"/>
  <c r="O54" i="6"/>
  <c r="K55" i="6"/>
  <c r="L55" i="6" s="1"/>
  <c r="M55" i="6" s="1"/>
  <c r="O55" i="6"/>
  <c r="K58" i="15" s="1"/>
  <c r="K56" i="6"/>
  <c r="L56" i="6" s="1"/>
  <c r="M56" i="6" s="1"/>
  <c r="O56" i="6"/>
  <c r="K57" i="6"/>
  <c r="L57" i="6" s="1"/>
  <c r="M57" i="6" s="1"/>
  <c r="O57" i="6"/>
  <c r="K60" i="15" s="1"/>
  <c r="P57" i="6"/>
  <c r="Q57" i="6" s="1"/>
  <c r="J58" i="11" s="1"/>
  <c r="K58" i="6"/>
  <c r="L58" i="6" s="1"/>
  <c r="M58" i="6" s="1"/>
  <c r="O58" i="6"/>
  <c r="K59" i="6"/>
  <c r="L59" i="6" s="1"/>
  <c r="M59" i="6" s="1"/>
  <c r="O59" i="6"/>
  <c r="K62" i="15" s="1"/>
  <c r="K60" i="6"/>
  <c r="L60" i="6" s="1"/>
  <c r="M60" i="6" s="1"/>
  <c r="O60" i="6"/>
  <c r="K61" i="6"/>
  <c r="L61" i="6" s="1"/>
  <c r="M61" i="6" s="1"/>
  <c r="O61" i="6"/>
  <c r="K64" i="15" s="1"/>
  <c r="K62" i="6"/>
  <c r="L62" i="6" s="1"/>
  <c r="M62" i="6" s="1"/>
  <c r="O62" i="6"/>
  <c r="K63" i="6"/>
  <c r="L63" i="6" s="1"/>
  <c r="M63" i="6" s="1"/>
  <c r="O63" i="6"/>
  <c r="K66" i="15" s="1"/>
  <c r="K64" i="6"/>
  <c r="L64" i="6" s="1"/>
  <c r="M64" i="6" s="1"/>
  <c r="O64" i="6"/>
  <c r="K65" i="6"/>
  <c r="L65" i="6" s="1"/>
  <c r="M65" i="6" s="1"/>
  <c r="O65" i="6"/>
  <c r="K68" i="15" s="1"/>
  <c r="P65" i="6"/>
  <c r="Q65" i="6" s="1"/>
  <c r="J66" i="11" s="1"/>
  <c r="K66" i="6"/>
  <c r="L66" i="6" s="1"/>
  <c r="M66" i="6" s="1"/>
  <c r="O66" i="6"/>
  <c r="K67" i="6"/>
  <c r="L67" i="6" s="1"/>
  <c r="M67" i="6" s="1"/>
  <c r="O67" i="6"/>
  <c r="K70" i="15" s="1"/>
  <c r="K68" i="6"/>
  <c r="L68" i="6" s="1"/>
  <c r="M68" i="6" s="1"/>
  <c r="O68" i="6"/>
  <c r="K69" i="6"/>
  <c r="L69" i="6" s="1"/>
  <c r="M69" i="6" s="1"/>
  <c r="O69" i="6"/>
  <c r="K72" i="15" s="1"/>
  <c r="K70" i="6"/>
  <c r="L70" i="6" s="1"/>
  <c r="M70" i="6" s="1"/>
  <c r="O70" i="6"/>
  <c r="K71" i="6"/>
  <c r="L71" i="6" s="1"/>
  <c r="M71" i="6" s="1"/>
  <c r="O71" i="6"/>
  <c r="K74" i="15" s="1"/>
  <c r="K72" i="6"/>
  <c r="L72" i="6" s="1"/>
  <c r="M72" i="6" s="1"/>
  <c r="O72" i="6"/>
  <c r="K73" i="6"/>
  <c r="L73" i="6" s="1"/>
  <c r="M73" i="6" s="1"/>
  <c r="O73" i="6"/>
  <c r="K76" i="15" s="1"/>
  <c r="P73" i="6"/>
  <c r="Q73" i="6" s="1"/>
  <c r="J74" i="11" s="1"/>
  <c r="K74" i="6"/>
  <c r="L74" i="6" s="1"/>
  <c r="M74" i="6" s="1"/>
  <c r="O74" i="6"/>
  <c r="K75" i="6"/>
  <c r="L75" i="6" s="1"/>
  <c r="M75" i="6" s="1"/>
  <c r="O75" i="6"/>
  <c r="K78" i="15" s="1"/>
  <c r="K76" i="6"/>
  <c r="L76" i="6" s="1"/>
  <c r="M76" i="6" s="1"/>
  <c r="O76" i="6"/>
  <c r="K77" i="6"/>
  <c r="L77" i="6" s="1"/>
  <c r="M77" i="6" s="1"/>
  <c r="O77" i="6"/>
  <c r="K80" i="15" s="1"/>
  <c r="P77" i="6"/>
  <c r="Q77" i="6" s="1"/>
  <c r="J78" i="11" s="1"/>
  <c r="K78" i="6"/>
  <c r="L78" i="6" s="1"/>
  <c r="M78" i="6" s="1"/>
  <c r="O78" i="6"/>
  <c r="K79" i="6"/>
  <c r="L79" i="6" s="1"/>
  <c r="M79" i="6" s="1"/>
  <c r="O79" i="6"/>
  <c r="K82" i="15" s="1"/>
  <c r="K80" i="6"/>
  <c r="L80" i="6" s="1"/>
  <c r="M80" i="6" s="1"/>
  <c r="O80" i="6"/>
  <c r="K81" i="6"/>
  <c r="L81" i="6" s="1"/>
  <c r="M81" i="6" s="1"/>
  <c r="O81" i="6"/>
  <c r="K84" i="15" s="1"/>
  <c r="K82" i="6"/>
  <c r="L82" i="6" s="1"/>
  <c r="M82" i="6" s="1"/>
  <c r="O82" i="6"/>
  <c r="K83" i="6"/>
  <c r="L83" i="6" s="1"/>
  <c r="M83" i="6" s="1"/>
  <c r="O83" i="6"/>
  <c r="K86" i="15" s="1"/>
  <c r="K84" i="6"/>
  <c r="L84" i="6" s="1"/>
  <c r="M84" i="6" s="1"/>
  <c r="O84" i="6"/>
  <c r="K85" i="6"/>
  <c r="L85" i="6" s="1"/>
  <c r="M85" i="6" s="1"/>
  <c r="O85" i="6"/>
  <c r="K88" i="15" s="1"/>
  <c r="P85" i="6"/>
  <c r="Q85" i="6" s="1"/>
  <c r="J86" i="11" s="1"/>
  <c r="K86" i="6"/>
  <c r="L86" i="6" s="1"/>
  <c r="M86" i="6" s="1"/>
  <c r="O86" i="6"/>
  <c r="K87" i="6"/>
  <c r="L87" i="6" s="1"/>
  <c r="M87" i="6" s="1"/>
  <c r="O87" i="6"/>
  <c r="K90" i="15" s="1"/>
  <c r="K88" i="6"/>
  <c r="L88" i="6" s="1"/>
  <c r="M88" i="6" s="1"/>
  <c r="O88" i="6"/>
  <c r="K89" i="6"/>
  <c r="L89" i="6" s="1"/>
  <c r="M89" i="6" s="1"/>
  <c r="O89" i="6"/>
  <c r="K92" i="15" s="1"/>
  <c r="P89" i="6"/>
  <c r="Q89" i="6" s="1"/>
  <c r="J90" i="11" s="1"/>
  <c r="K90" i="6"/>
  <c r="L90" i="6" s="1"/>
  <c r="M90" i="6" s="1"/>
  <c r="O90" i="6"/>
  <c r="K91" i="6"/>
  <c r="L91" i="6" s="1"/>
  <c r="M91" i="6" s="1"/>
  <c r="O91" i="6"/>
  <c r="K94" i="15" s="1"/>
  <c r="K92" i="6"/>
  <c r="L92" i="6" s="1"/>
  <c r="M92" i="6" s="1"/>
  <c r="O92" i="6"/>
  <c r="K93" i="6"/>
  <c r="L93" i="6" s="1"/>
  <c r="M93" i="6" s="1"/>
  <c r="O93" i="6"/>
  <c r="K96" i="15" s="1"/>
  <c r="K94" i="6"/>
  <c r="L94" i="6" s="1"/>
  <c r="M94" i="6" s="1"/>
  <c r="O94" i="6"/>
  <c r="K95" i="6"/>
  <c r="L95" i="6" s="1"/>
  <c r="M95" i="6" s="1"/>
  <c r="O95" i="6"/>
  <c r="K98" i="15" s="1"/>
  <c r="K96" i="6"/>
  <c r="L96" i="6" s="1"/>
  <c r="M96" i="6" s="1"/>
  <c r="O96" i="6"/>
  <c r="K97" i="6"/>
  <c r="L97" i="6" s="1"/>
  <c r="M97" i="6" s="1"/>
  <c r="O97" i="6"/>
  <c r="K100" i="15" s="1"/>
  <c r="P97" i="6"/>
  <c r="Q97" i="6" s="1"/>
  <c r="J98" i="11" s="1"/>
  <c r="K98" i="6"/>
  <c r="L98" i="6" s="1"/>
  <c r="M98" i="6" s="1"/>
  <c r="O98" i="6"/>
  <c r="K99" i="6"/>
  <c r="L99" i="6" s="1"/>
  <c r="M99" i="6" s="1"/>
  <c r="O99" i="6"/>
  <c r="K102" i="15" s="1"/>
  <c r="K100" i="6"/>
  <c r="L100" i="6" s="1"/>
  <c r="M100" i="6" s="1"/>
  <c r="O100" i="6"/>
  <c r="K101" i="6"/>
  <c r="L101" i="6" s="1"/>
  <c r="M101" i="6" s="1"/>
  <c r="O101" i="6"/>
  <c r="K104" i="15" s="1"/>
  <c r="K102" i="6"/>
  <c r="L102" i="6" s="1"/>
  <c r="M102" i="6" s="1"/>
  <c r="O102" i="6"/>
  <c r="K103" i="6"/>
  <c r="L103" i="6" s="1"/>
  <c r="M103" i="6" s="1"/>
  <c r="O103" i="6"/>
  <c r="K106" i="15" s="1"/>
  <c r="K104" i="6"/>
  <c r="L104" i="6" s="1"/>
  <c r="M104" i="6" s="1"/>
  <c r="O104" i="6"/>
  <c r="K105" i="6"/>
  <c r="L105" i="6" s="1"/>
  <c r="M105" i="6" s="1"/>
  <c r="O105" i="6"/>
  <c r="K108" i="15" s="1"/>
  <c r="P105" i="6"/>
  <c r="Q105" i="6" s="1"/>
  <c r="J106" i="11" s="1"/>
  <c r="K106" i="6"/>
  <c r="L106" i="6" s="1"/>
  <c r="M106" i="6" s="1"/>
  <c r="O106" i="6"/>
  <c r="K107" i="6"/>
  <c r="L107" i="6" s="1"/>
  <c r="M107" i="6" s="1"/>
  <c r="O107" i="6"/>
  <c r="K110" i="15" s="1"/>
  <c r="K108" i="6"/>
  <c r="L108" i="6" s="1"/>
  <c r="M108" i="6" s="1"/>
  <c r="O108" i="6"/>
  <c r="K109" i="6"/>
  <c r="L109" i="6" s="1"/>
  <c r="M109" i="6" s="1"/>
  <c r="O109" i="6"/>
  <c r="K112" i="15" s="1"/>
  <c r="P109" i="6"/>
  <c r="Q109" i="6" s="1"/>
  <c r="J110" i="11" s="1"/>
  <c r="K110" i="6"/>
  <c r="L110" i="6" s="1"/>
  <c r="M110" i="6" s="1"/>
  <c r="O110" i="6"/>
  <c r="K111" i="6"/>
  <c r="L111" i="6" s="1"/>
  <c r="M111" i="6" s="1"/>
  <c r="O111" i="6"/>
  <c r="K114" i="15" s="1"/>
  <c r="K112" i="6"/>
  <c r="L112" i="6" s="1"/>
  <c r="M112" i="6" s="1"/>
  <c r="O112" i="6"/>
  <c r="K113" i="6"/>
  <c r="L113" i="6" s="1"/>
  <c r="M113" i="6" s="1"/>
  <c r="O113" i="6"/>
  <c r="K116" i="15" s="1"/>
  <c r="K114" i="6"/>
  <c r="L114" i="6" s="1"/>
  <c r="M114" i="6" s="1"/>
  <c r="O114" i="6"/>
  <c r="K115" i="6"/>
  <c r="L115" i="6" s="1"/>
  <c r="M115" i="6" s="1"/>
  <c r="O115" i="6"/>
  <c r="K118" i="15" s="1"/>
  <c r="K116" i="6"/>
  <c r="L116" i="6" s="1"/>
  <c r="M116" i="6" s="1"/>
  <c r="O116" i="6"/>
  <c r="K117" i="6"/>
  <c r="L117" i="6" s="1"/>
  <c r="M117" i="6" s="1"/>
  <c r="O117" i="6"/>
  <c r="K120" i="15" s="1"/>
  <c r="P117" i="6"/>
  <c r="Q117" i="6" s="1"/>
  <c r="J118" i="11" s="1"/>
  <c r="K118" i="6"/>
  <c r="L118" i="6" s="1"/>
  <c r="M118" i="6" s="1"/>
  <c r="O118" i="6"/>
  <c r="K119" i="6"/>
  <c r="L119" i="6" s="1"/>
  <c r="M119" i="6" s="1"/>
  <c r="O119" i="6"/>
  <c r="K122" i="15" s="1"/>
  <c r="K120" i="6"/>
  <c r="L120" i="6" s="1"/>
  <c r="M120" i="6" s="1"/>
  <c r="O120" i="6"/>
  <c r="K121" i="6"/>
  <c r="L121" i="6" s="1"/>
  <c r="M121" i="6" s="1"/>
  <c r="O121" i="6"/>
  <c r="K124" i="15" s="1"/>
  <c r="P121" i="6"/>
  <c r="Q121" i="6" s="1"/>
  <c r="J122" i="11" s="1"/>
  <c r="K122" i="6"/>
  <c r="L122" i="6" s="1"/>
  <c r="M122" i="6" s="1"/>
  <c r="O122" i="6"/>
  <c r="K123" i="6"/>
  <c r="L123" i="6" s="1"/>
  <c r="M123" i="6" s="1"/>
  <c r="O123" i="6"/>
  <c r="K126" i="15" s="1"/>
  <c r="K124" i="6"/>
  <c r="L124" i="6" s="1"/>
  <c r="M124" i="6" s="1"/>
  <c r="O124" i="6"/>
  <c r="K125" i="6"/>
  <c r="L125" i="6" s="1"/>
  <c r="M125" i="6" s="1"/>
  <c r="O125" i="6"/>
  <c r="K128" i="15" s="1"/>
  <c r="K126" i="6"/>
  <c r="L126" i="6" s="1"/>
  <c r="M126" i="6" s="1"/>
  <c r="O126" i="6"/>
  <c r="K127" i="6"/>
  <c r="L127" i="6" s="1"/>
  <c r="M127" i="6" s="1"/>
  <c r="O127" i="6"/>
  <c r="K130" i="15" s="1"/>
  <c r="K128" i="6"/>
  <c r="L128" i="6" s="1"/>
  <c r="M128" i="6" s="1"/>
  <c r="O128" i="6"/>
  <c r="K129" i="6"/>
  <c r="L129" i="6" s="1"/>
  <c r="M129" i="6" s="1"/>
  <c r="O129" i="6"/>
  <c r="K132" i="15" s="1"/>
  <c r="P129" i="6"/>
  <c r="Q129" i="6" s="1"/>
  <c r="J130" i="11" s="1"/>
  <c r="K130" i="6"/>
  <c r="L130" i="6" s="1"/>
  <c r="M130" i="6" s="1"/>
  <c r="O130" i="6"/>
  <c r="K131" i="6"/>
  <c r="L131" i="6" s="1"/>
  <c r="M131" i="6" s="1"/>
  <c r="O131" i="6"/>
  <c r="K134" i="15" s="1"/>
  <c r="K132" i="6"/>
  <c r="L132" i="6" s="1"/>
  <c r="M132" i="6" s="1"/>
  <c r="O132" i="6"/>
  <c r="K133" i="6"/>
  <c r="L133" i="6" s="1"/>
  <c r="M133" i="6" s="1"/>
  <c r="O133" i="6"/>
  <c r="K136" i="15" s="1"/>
  <c r="K134" i="6"/>
  <c r="L134" i="6" s="1"/>
  <c r="M134" i="6" s="1"/>
  <c r="O134" i="6"/>
  <c r="K135" i="6"/>
  <c r="L135" i="6" s="1"/>
  <c r="M135" i="6" s="1"/>
  <c r="O135" i="6"/>
  <c r="K138" i="15" s="1"/>
  <c r="K136" i="6"/>
  <c r="L136" i="6" s="1"/>
  <c r="M136" i="6" s="1"/>
  <c r="O136" i="6"/>
  <c r="K137" i="6"/>
  <c r="L137" i="6" s="1"/>
  <c r="M137" i="6" s="1"/>
  <c r="O137" i="6"/>
  <c r="K140" i="15" s="1"/>
  <c r="P137" i="6"/>
  <c r="Q137" i="6" s="1"/>
  <c r="J138" i="11" s="1"/>
  <c r="K138" i="6"/>
  <c r="L138" i="6" s="1"/>
  <c r="M138" i="6" s="1"/>
  <c r="O138" i="6"/>
  <c r="K139" i="6"/>
  <c r="L139" i="6" s="1"/>
  <c r="M139" i="6" s="1"/>
  <c r="O139" i="6"/>
  <c r="K142" i="15" s="1"/>
  <c r="K140" i="6"/>
  <c r="L140" i="6" s="1"/>
  <c r="M140" i="6" s="1"/>
  <c r="O140" i="6"/>
  <c r="K141" i="6"/>
  <c r="L141" i="6" s="1"/>
  <c r="M141" i="6" s="1"/>
  <c r="O141" i="6"/>
  <c r="K144" i="15" s="1"/>
  <c r="P141" i="6"/>
  <c r="Q141" i="6" s="1"/>
  <c r="J142" i="11" s="1"/>
  <c r="K142" i="6"/>
  <c r="L142" i="6" s="1"/>
  <c r="M142" i="6" s="1"/>
  <c r="O142" i="6"/>
  <c r="K143" i="6"/>
  <c r="L143" i="6" s="1"/>
  <c r="M143" i="6" s="1"/>
  <c r="O143" i="6"/>
  <c r="K146" i="15" s="1"/>
  <c r="K144" i="6"/>
  <c r="L144" i="6" s="1"/>
  <c r="M144" i="6" s="1"/>
  <c r="O144" i="6"/>
  <c r="K145" i="6"/>
  <c r="L145" i="6" s="1"/>
  <c r="M145" i="6" s="1"/>
  <c r="O145" i="6"/>
  <c r="K148" i="15" s="1"/>
  <c r="K146" i="6"/>
  <c r="L146" i="6" s="1"/>
  <c r="M146" i="6" s="1"/>
  <c r="O146" i="6"/>
  <c r="K147" i="6"/>
  <c r="L147" i="6" s="1"/>
  <c r="M147" i="6" s="1"/>
  <c r="O147" i="6"/>
  <c r="K150" i="15" s="1"/>
  <c r="K148" i="6"/>
  <c r="L148" i="6" s="1"/>
  <c r="M148" i="6" s="1"/>
  <c r="O148" i="6"/>
  <c r="K149" i="6"/>
  <c r="L149" i="6" s="1"/>
  <c r="M149" i="6" s="1"/>
  <c r="O149" i="6"/>
  <c r="K152" i="15" s="1"/>
  <c r="P149" i="6"/>
  <c r="Q149" i="6" s="1"/>
  <c r="J150" i="11" s="1"/>
  <c r="K150" i="6"/>
  <c r="L150" i="6" s="1"/>
  <c r="M150" i="6" s="1"/>
  <c r="O150" i="6"/>
  <c r="K151" i="6"/>
  <c r="L151" i="6" s="1"/>
  <c r="M151" i="6" s="1"/>
  <c r="O151" i="6"/>
  <c r="K154" i="15" s="1"/>
  <c r="K152" i="6"/>
  <c r="L152" i="6" s="1"/>
  <c r="M152" i="6" s="1"/>
  <c r="O152" i="6"/>
  <c r="K153" i="6"/>
  <c r="L153" i="6" s="1"/>
  <c r="M153" i="6" s="1"/>
  <c r="O153" i="6"/>
  <c r="K156" i="15" s="1"/>
  <c r="P153" i="6"/>
  <c r="Q153" i="6" s="1"/>
  <c r="J154" i="11" s="1"/>
  <c r="K154" i="6"/>
  <c r="L154" i="6" s="1"/>
  <c r="M154" i="6" s="1"/>
  <c r="O154" i="6"/>
  <c r="K155" i="6"/>
  <c r="L155" i="6" s="1"/>
  <c r="M155" i="6" s="1"/>
  <c r="O155" i="6"/>
  <c r="K158" i="15" s="1"/>
  <c r="K156" i="6"/>
  <c r="L156" i="6" s="1"/>
  <c r="M156" i="6" s="1"/>
  <c r="O156" i="6"/>
  <c r="K157" i="6"/>
  <c r="L157" i="6" s="1"/>
  <c r="M157" i="6" s="1"/>
  <c r="O157" i="6"/>
  <c r="K160" i="15" s="1"/>
  <c r="K158" i="6"/>
  <c r="L158" i="6" s="1"/>
  <c r="M158" i="6" s="1"/>
  <c r="O158" i="6"/>
  <c r="K159" i="6"/>
  <c r="L159" i="6" s="1"/>
  <c r="M159" i="6" s="1"/>
  <c r="O159" i="6"/>
  <c r="K162" i="15" s="1"/>
  <c r="K160" i="6"/>
  <c r="L160" i="6" s="1"/>
  <c r="M160" i="6" s="1"/>
  <c r="O160" i="6"/>
  <c r="K161" i="6"/>
  <c r="L161" i="6" s="1"/>
  <c r="M161" i="6" s="1"/>
  <c r="O161" i="6"/>
  <c r="K164" i="15" s="1"/>
  <c r="P161" i="6"/>
  <c r="Q161" i="6" s="1"/>
  <c r="J162" i="11" s="1"/>
  <c r="K162" i="6"/>
  <c r="L162" i="6" s="1"/>
  <c r="M162" i="6" s="1"/>
  <c r="O162" i="6"/>
  <c r="K163" i="6"/>
  <c r="L163" i="6" s="1"/>
  <c r="M163" i="6" s="1"/>
  <c r="O163" i="6"/>
  <c r="K166" i="15" s="1"/>
  <c r="K164" i="6"/>
  <c r="L164" i="6" s="1"/>
  <c r="M164" i="6" s="1"/>
  <c r="O164" i="6"/>
  <c r="K165" i="6"/>
  <c r="L165" i="6" s="1"/>
  <c r="M165" i="6" s="1"/>
  <c r="O165" i="6"/>
  <c r="K168" i="15" s="1"/>
  <c r="K166" i="6"/>
  <c r="L166" i="6" s="1"/>
  <c r="M166" i="6" s="1"/>
  <c r="O166" i="6"/>
  <c r="K167" i="6"/>
  <c r="L167" i="6" s="1"/>
  <c r="M167" i="6" s="1"/>
  <c r="O167" i="6"/>
  <c r="K170" i="15" s="1"/>
  <c r="K168" i="6"/>
  <c r="L168" i="6" s="1"/>
  <c r="M168" i="6" s="1"/>
  <c r="O168" i="6"/>
  <c r="K169" i="6"/>
  <c r="L169" i="6" s="1"/>
  <c r="M169" i="6" s="1"/>
  <c r="O169" i="6"/>
  <c r="K172" i="15" s="1"/>
  <c r="P169" i="6"/>
  <c r="Q169" i="6" s="1"/>
  <c r="J170" i="11" s="1"/>
  <c r="K170" i="6"/>
  <c r="L170" i="6" s="1"/>
  <c r="M170" i="6" s="1"/>
  <c r="O170" i="6"/>
  <c r="K171" i="6"/>
  <c r="L171" i="6" s="1"/>
  <c r="M171" i="6" s="1"/>
  <c r="O171" i="6"/>
  <c r="K174" i="15" s="1"/>
  <c r="K172" i="6"/>
  <c r="L172" i="6" s="1"/>
  <c r="M172" i="6" s="1"/>
  <c r="O172" i="6"/>
  <c r="K173" i="6"/>
  <c r="L173" i="6" s="1"/>
  <c r="M173" i="6" s="1"/>
  <c r="O173" i="6"/>
  <c r="K176" i="15" s="1"/>
  <c r="P173" i="6"/>
  <c r="Q173" i="6" s="1"/>
  <c r="J174" i="11" s="1"/>
  <c r="K174" i="6"/>
  <c r="L174" i="6" s="1"/>
  <c r="M174" i="6" s="1"/>
  <c r="O174" i="6"/>
  <c r="K175" i="6"/>
  <c r="L175" i="6" s="1"/>
  <c r="M175" i="6" s="1"/>
  <c r="O175" i="6"/>
  <c r="K178" i="15" s="1"/>
  <c r="K176" i="6"/>
  <c r="L176" i="6" s="1"/>
  <c r="M176" i="6" s="1"/>
  <c r="O176" i="6"/>
  <c r="K177" i="6"/>
  <c r="L177" i="6" s="1"/>
  <c r="M177" i="6" s="1"/>
  <c r="O177" i="6"/>
  <c r="K180" i="15" s="1"/>
  <c r="K178" i="6"/>
  <c r="L178" i="6" s="1"/>
  <c r="M178" i="6" s="1"/>
  <c r="O178" i="6"/>
  <c r="K179" i="6"/>
  <c r="L179" i="6" s="1"/>
  <c r="M179" i="6" s="1"/>
  <c r="O179" i="6"/>
  <c r="K182" i="15" s="1"/>
  <c r="K180" i="6"/>
  <c r="L180" i="6" s="1"/>
  <c r="M180" i="6" s="1"/>
  <c r="O180" i="6"/>
  <c r="K181" i="6"/>
  <c r="L181" i="6" s="1"/>
  <c r="M181" i="6" s="1"/>
  <c r="O181" i="6"/>
  <c r="K184" i="15" s="1"/>
  <c r="P181" i="6"/>
  <c r="Q181" i="6" s="1"/>
  <c r="J182" i="11" s="1"/>
  <c r="K182" i="6"/>
  <c r="L182" i="6" s="1"/>
  <c r="M182" i="6" s="1"/>
  <c r="O182" i="6"/>
  <c r="K183" i="6"/>
  <c r="L183" i="6" s="1"/>
  <c r="M183" i="6" s="1"/>
  <c r="O183" i="6"/>
  <c r="K186" i="15" s="1"/>
  <c r="K184" i="6"/>
  <c r="L184" i="6" s="1"/>
  <c r="M184" i="6" s="1"/>
  <c r="O184" i="6"/>
  <c r="K185" i="6"/>
  <c r="L185" i="6" s="1"/>
  <c r="M185" i="6" s="1"/>
  <c r="O185" i="6"/>
  <c r="K188" i="15" s="1"/>
  <c r="P185" i="6"/>
  <c r="Q185" i="6" s="1"/>
  <c r="J186" i="11" s="1"/>
  <c r="K186" i="6"/>
  <c r="L186" i="6" s="1"/>
  <c r="M186" i="6" s="1"/>
  <c r="O186" i="6"/>
  <c r="K187" i="6"/>
  <c r="L187" i="6" s="1"/>
  <c r="M187" i="6" s="1"/>
  <c r="O187" i="6"/>
  <c r="K190" i="15" s="1"/>
  <c r="K188" i="6"/>
  <c r="L188" i="6" s="1"/>
  <c r="M188" i="6" s="1"/>
  <c r="O188" i="6"/>
  <c r="K189" i="6"/>
  <c r="L189" i="6" s="1"/>
  <c r="M189" i="6" s="1"/>
  <c r="O189" i="6"/>
  <c r="K192" i="15" s="1"/>
  <c r="K190" i="6"/>
  <c r="L190" i="6" s="1"/>
  <c r="M190" i="6" s="1"/>
  <c r="O190" i="6"/>
  <c r="K191" i="6"/>
  <c r="L191" i="6" s="1"/>
  <c r="M191" i="6" s="1"/>
  <c r="O191" i="6"/>
  <c r="K194" i="15" s="1"/>
  <c r="K192" i="6"/>
  <c r="L192" i="6" s="1"/>
  <c r="M192" i="6" s="1"/>
  <c r="O192" i="6"/>
  <c r="K193" i="6"/>
  <c r="L193" i="6" s="1"/>
  <c r="M193" i="6" s="1"/>
  <c r="O193" i="6"/>
  <c r="K196" i="15" s="1"/>
  <c r="P193" i="6"/>
  <c r="Q193" i="6" s="1"/>
  <c r="J194" i="11" s="1"/>
  <c r="K194" i="6"/>
  <c r="L194" i="6" s="1"/>
  <c r="M194" i="6" s="1"/>
  <c r="O194" i="6"/>
  <c r="K195" i="6"/>
  <c r="L195" i="6" s="1"/>
  <c r="M195" i="6" s="1"/>
  <c r="O195" i="6"/>
  <c r="K198" i="15" s="1"/>
  <c r="K196" i="6"/>
  <c r="L196" i="6" s="1"/>
  <c r="M196" i="6" s="1"/>
  <c r="O196" i="6"/>
  <c r="K197" i="6"/>
  <c r="L197" i="6" s="1"/>
  <c r="M197" i="6" s="1"/>
  <c r="O197" i="6"/>
  <c r="K200" i="15" s="1"/>
  <c r="K198" i="6"/>
  <c r="L198" i="6" s="1"/>
  <c r="M198" i="6" s="1"/>
  <c r="O198" i="6"/>
  <c r="K199" i="6"/>
  <c r="L199" i="6" s="1"/>
  <c r="M199" i="6" s="1"/>
  <c r="O199" i="6"/>
  <c r="K202" i="15" s="1"/>
  <c r="K200" i="6"/>
  <c r="L200" i="6" s="1"/>
  <c r="M200" i="6" s="1"/>
  <c r="O200" i="6"/>
  <c r="K201" i="6"/>
  <c r="L201" i="6" s="1"/>
  <c r="M201" i="6" s="1"/>
  <c r="O201" i="6"/>
  <c r="K204" i="15" s="1"/>
  <c r="P201" i="6"/>
  <c r="Q201" i="6" s="1"/>
  <c r="J202" i="11" s="1"/>
  <c r="K202" i="6"/>
  <c r="L202" i="6" s="1"/>
  <c r="M202" i="6" s="1"/>
  <c r="O202" i="6"/>
  <c r="K203" i="6"/>
  <c r="L203" i="6" s="1"/>
  <c r="M203" i="6" s="1"/>
  <c r="O203" i="6"/>
  <c r="K206" i="15" s="1"/>
  <c r="K204" i="6"/>
  <c r="L204" i="6" s="1"/>
  <c r="M204" i="6" s="1"/>
  <c r="O204" i="6"/>
  <c r="K205" i="6"/>
  <c r="L205" i="6" s="1"/>
  <c r="M205" i="6" s="1"/>
  <c r="O205" i="6"/>
  <c r="K208" i="15" s="1"/>
  <c r="P205" i="6"/>
  <c r="Q205" i="6" s="1"/>
  <c r="J206" i="11" s="1"/>
  <c r="K206" i="6"/>
  <c r="L206" i="6" s="1"/>
  <c r="M206" i="6" s="1"/>
  <c r="O206" i="6"/>
  <c r="K207" i="6"/>
  <c r="L207" i="6" s="1"/>
  <c r="M207" i="6" s="1"/>
  <c r="O207" i="6"/>
  <c r="K210" i="15" s="1"/>
  <c r="V1" i="1"/>
  <c r="D2" i="1"/>
  <c r="P2" i="1"/>
  <c r="V2" i="1"/>
  <c r="D3" i="1"/>
  <c r="V3" i="1"/>
  <c r="D4" i="1"/>
  <c r="V4" i="1"/>
  <c r="V5" i="1"/>
  <c r="K8" i="1"/>
  <c r="L8" i="1" s="1"/>
  <c r="O8" i="1"/>
  <c r="P8" i="1" s="1"/>
  <c r="K9" i="1"/>
  <c r="L9" i="1" s="1"/>
  <c r="O9" i="1"/>
  <c r="P9" i="1" s="1"/>
  <c r="K10" i="1"/>
  <c r="L10" i="1" s="1"/>
  <c r="O10" i="1"/>
  <c r="P10" i="1" s="1"/>
  <c r="K11" i="1"/>
  <c r="L11" i="1" s="1"/>
  <c r="O11" i="1"/>
  <c r="P11" i="1" s="1"/>
  <c r="K12" i="1"/>
  <c r="L12" i="1" s="1"/>
  <c r="O12" i="1"/>
  <c r="P12" i="1" s="1"/>
  <c r="K13" i="1"/>
  <c r="L13" i="1" s="1"/>
  <c r="O13" i="1"/>
  <c r="P13" i="1" s="1"/>
  <c r="K14" i="1"/>
  <c r="L14" i="1" s="1"/>
  <c r="O14" i="1"/>
  <c r="P14" i="1" s="1"/>
  <c r="K15" i="1"/>
  <c r="L15" i="1" s="1"/>
  <c r="O15" i="1"/>
  <c r="P15" i="1" s="1"/>
  <c r="Q15" i="1" s="1"/>
  <c r="J16" i="12" s="1"/>
  <c r="K16" i="1"/>
  <c r="L16" i="1" s="1"/>
  <c r="O16" i="1"/>
  <c r="P16" i="1" s="1"/>
  <c r="Q16" i="1" s="1"/>
  <c r="J17" i="12" s="1"/>
  <c r="K17" i="1"/>
  <c r="L17" i="1" s="1"/>
  <c r="O17" i="1"/>
  <c r="P17" i="1" s="1"/>
  <c r="K18" i="1"/>
  <c r="L18" i="1" s="1"/>
  <c r="M18" i="1" s="1"/>
  <c r="O18" i="1"/>
  <c r="P18" i="1" s="1"/>
  <c r="K19" i="1"/>
  <c r="L19" i="1" s="1"/>
  <c r="M19" i="1" s="1"/>
  <c r="O19" i="1"/>
  <c r="P19" i="1" s="1"/>
  <c r="Q19" i="1" s="1"/>
  <c r="J20" i="12" s="1"/>
  <c r="K20" i="1"/>
  <c r="L20" i="1" s="1"/>
  <c r="M20" i="1" s="1"/>
  <c r="O20" i="1"/>
  <c r="P20" i="1"/>
  <c r="Q20" i="1" s="1"/>
  <c r="J21" i="12" s="1"/>
  <c r="K21" i="1"/>
  <c r="L21" i="1" s="1"/>
  <c r="M21" i="1" s="1"/>
  <c r="O21" i="1"/>
  <c r="P21" i="1" s="1"/>
  <c r="Q21" i="1" s="1"/>
  <c r="J22" i="12" s="1"/>
  <c r="K22" i="1"/>
  <c r="L22" i="1" s="1"/>
  <c r="M22" i="1" s="1"/>
  <c r="O22" i="1"/>
  <c r="P22" i="1" s="1"/>
  <c r="Q22" i="1" s="1"/>
  <c r="J23" i="12" s="1"/>
  <c r="K23" i="1"/>
  <c r="L23" i="1" s="1"/>
  <c r="M23" i="1" s="1"/>
  <c r="O23" i="1"/>
  <c r="P23" i="1" s="1"/>
  <c r="Q23" i="1" s="1"/>
  <c r="J24" i="12" s="1"/>
  <c r="K24" i="1"/>
  <c r="L24" i="1" s="1"/>
  <c r="M24" i="1" s="1"/>
  <c r="O24" i="1"/>
  <c r="P24" i="1" s="1"/>
  <c r="Q24" i="1" s="1"/>
  <c r="J25" i="12" s="1"/>
  <c r="K25" i="1"/>
  <c r="L25" i="1" s="1"/>
  <c r="M25" i="1" s="1"/>
  <c r="O25" i="1"/>
  <c r="P25" i="1" s="1"/>
  <c r="Q25" i="1" s="1"/>
  <c r="J26" i="12" s="1"/>
  <c r="K26" i="1"/>
  <c r="L26" i="1" s="1"/>
  <c r="M26" i="1" s="1"/>
  <c r="O26" i="1"/>
  <c r="P26" i="1" s="1"/>
  <c r="Q26" i="1" s="1"/>
  <c r="J27" i="12" s="1"/>
  <c r="K27" i="1"/>
  <c r="L27" i="1" s="1"/>
  <c r="M27" i="1" s="1"/>
  <c r="O27" i="1"/>
  <c r="P27" i="1" s="1"/>
  <c r="Q27" i="1" s="1"/>
  <c r="J28" i="12" s="1"/>
  <c r="K28" i="1"/>
  <c r="L28" i="1" s="1"/>
  <c r="M28" i="1" s="1"/>
  <c r="O28" i="1"/>
  <c r="P28" i="1" s="1"/>
  <c r="Q28" i="1" s="1"/>
  <c r="J29" i="12" s="1"/>
  <c r="K29" i="1"/>
  <c r="L29" i="1" s="1"/>
  <c r="M29" i="1" s="1"/>
  <c r="O29" i="1"/>
  <c r="P29" i="1" s="1"/>
  <c r="Q29" i="1" s="1"/>
  <c r="J30" i="12" s="1"/>
  <c r="K30" i="1"/>
  <c r="L30" i="1" s="1"/>
  <c r="M30" i="1" s="1"/>
  <c r="O30" i="1"/>
  <c r="P30" i="1" s="1"/>
  <c r="Q30" i="1" s="1"/>
  <c r="J31" i="12" s="1"/>
  <c r="K31" i="1"/>
  <c r="L31" i="1" s="1"/>
  <c r="M31" i="1" s="1"/>
  <c r="O31" i="1"/>
  <c r="P31" i="1" s="1"/>
  <c r="Q31" i="1" s="1"/>
  <c r="J32" i="12" s="1"/>
  <c r="K32" i="1"/>
  <c r="L32" i="1" s="1"/>
  <c r="M32" i="1" s="1"/>
  <c r="O32" i="1"/>
  <c r="P32" i="1" s="1"/>
  <c r="Q32" i="1" s="1"/>
  <c r="J33" i="12" s="1"/>
  <c r="K33" i="1"/>
  <c r="L33" i="1" s="1"/>
  <c r="M33" i="1" s="1"/>
  <c r="O33" i="1"/>
  <c r="P33" i="1" s="1"/>
  <c r="Q33" i="1" s="1"/>
  <c r="J34" i="12" s="1"/>
  <c r="K34" i="1"/>
  <c r="L34" i="1" s="1"/>
  <c r="M34" i="1" s="1"/>
  <c r="O34" i="1"/>
  <c r="P34" i="1" s="1"/>
  <c r="Q34" i="1" s="1"/>
  <c r="J35" i="12" s="1"/>
  <c r="K35" i="1"/>
  <c r="L35" i="1" s="1"/>
  <c r="M35" i="1" s="1"/>
  <c r="O35" i="1"/>
  <c r="P35" i="1" s="1"/>
  <c r="Q35" i="1" s="1"/>
  <c r="J36" i="12" s="1"/>
  <c r="K36" i="1"/>
  <c r="L36" i="1" s="1"/>
  <c r="M36" i="1" s="1"/>
  <c r="O36" i="1"/>
  <c r="P36" i="1"/>
  <c r="Q36" i="1" s="1"/>
  <c r="J37" i="12" s="1"/>
  <c r="K37" i="1"/>
  <c r="L37" i="1" s="1"/>
  <c r="M37" i="1" s="1"/>
  <c r="O37" i="1"/>
  <c r="P37" i="1" s="1"/>
  <c r="Q37" i="1" s="1"/>
  <c r="J38" i="12" s="1"/>
  <c r="K38" i="1"/>
  <c r="L38" i="1" s="1"/>
  <c r="M38" i="1" s="1"/>
  <c r="O38" i="1"/>
  <c r="P38" i="1" s="1"/>
  <c r="Q38" i="1" s="1"/>
  <c r="J39" i="12" s="1"/>
  <c r="K39" i="1"/>
  <c r="L39" i="1" s="1"/>
  <c r="M39" i="1" s="1"/>
  <c r="O39" i="1"/>
  <c r="P39" i="1" s="1"/>
  <c r="Q39" i="1" s="1"/>
  <c r="J40" i="12" s="1"/>
  <c r="K40" i="1"/>
  <c r="L40" i="1" s="1"/>
  <c r="M40" i="1" s="1"/>
  <c r="O40" i="1"/>
  <c r="P40" i="1" s="1"/>
  <c r="Q40" i="1" s="1"/>
  <c r="J41" i="12" s="1"/>
  <c r="K41" i="1"/>
  <c r="L41" i="1" s="1"/>
  <c r="M41" i="1" s="1"/>
  <c r="O41" i="1"/>
  <c r="P41" i="1" s="1"/>
  <c r="Q41" i="1" s="1"/>
  <c r="J42" i="12" s="1"/>
  <c r="K42" i="1"/>
  <c r="L42" i="1" s="1"/>
  <c r="M42" i="1" s="1"/>
  <c r="O42" i="1"/>
  <c r="P42" i="1" s="1"/>
  <c r="Q42" i="1" s="1"/>
  <c r="J43" i="12" s="1"/>
  <c r="K43" i="1"/>
  <c r="L43" i="1" s="1"/>
  <c r="M43" i="1" s="1"/>
  <c r="O43" i="1"/>
  <c r="P43" i="1" s="1"/>
  <c r="Q43" i="1" s="1"/>
  <c r="J44" i="12" s="1"/>
  <c r="K44" i="1"/>
  <c r="L44" i="1" s="1"/>
  <c r="M44" i="1" s="1"/>
  <c r="O44" i="1"/>
  <c r="P44" i="1" s="1"/>
  <c r="Q44" i="1" s="1"/>
  <c r="J45" i="12" s="1"/>
  <c r="K45" i="1"/>
  <c r="L45" i="1" s="1"/>
  <c r="M45" i="1" s="1"/>
  <c r="O45" i="1"/>
  <c r="P45" i="1" s="1"/>
  <c r="Q45" i="1" s="1"/>
  <c r="J46" i="12" s="1"/>
  <c r="K46" i="1"/>
  <c r="L46" i="1" s="1"/>
  <c r="M46" i="1" s="1"/>
  <c r="O46" i="1"/>
  <c r="P46" i="1" s="1"/>
  <c r="Q46" i="1" s="1"/>
  <c r="J47" i="12" s="1"/>
  <c r="K47" i="1"/>
  <c r="L47" i="1" s="1"/>
  <c r="M47" i="1" s="1"/>
  <c r="O47" i="1"/>
  <c r="P47" i="1" s="1"/>
  <c r="Q47" i="1" s="1"/>
  <c r="J48" i="12" s="1"/>
  <c r="K48" i="1"/>
  <c r="L48" i="1" s="1"/>
  <c r="M48" i="1" s="1"/>
  <c r="O48" i="1"/>
  <c r="P48" i="1" s="1"/>
  <c r="Q48" i="1" s="1"/>
  <c r="J49" i="12" s="1"/>
  <c r="K49" i="1"/>
  <c r="L49" i="1" s="1"/>
  <c r="M49" i="1" s="1"/>
  <c r="O49" i="1"/>
  <c r="P49" i="1" s="1"/>
  <c r="Q49" i="1" s="1"/>
  <c r="J50" i="12" s="1"/>
  <c r="K50" i="1"/>
  <c r="L50" i="1" s="1"/>
  <c r="M50" i="1" s="1"/>
  <c r="O50" i="1"/>
  <c r="P50" i="1" s="1"/>
  <c r="Q50" i="1" s="1"/>
  <c r="J51" i="12" s="1"/>
  <c r="K51" i="1"/>
  <c r="L51" i="1" s="1"/>
  <c r="M51" i="1" s="1"/>
  <c r="O51" i="1"/>
  <c r="P51" i="1" s="1"/>
  <c r="Q51" i="1" s="1"/>
  <c r="J52" i="12" s="1"/>
  <c r="K52" i="1"/>
  <c r="L52" i="1" s="1"/>
  <c r="M52" i="1" s="1"/>
  <c r="O52" i="1"/>
  <c r="P52" i="1"/>
  <c r="Q52" i="1" s="1"/>
  <c r="J53" i="12" s="1"/>
  <c r="K53" i="1"/>
  <c r="L53" i="1" s="1"/>
  <c r="M53" i="1" s="1"/>
  <c r="O53" i="1"/>
  <c r="P53" i="1" s="1"/>
  <c r="Q53" i="1" s="1"/>
  <c r="J54" i="12" s="1"/>
  <c r="K54" i="1"/>
  <c r="L54" i="1" s="1"/>
  <c r="M54" i="1" s="1"/>
  <c r="O54" i="1"/>
  <c r="P54" i="1" s="1"/>
  <c r="Q54" i="1" s="1"/>
  <c r="J55" i="12" s="1"/>
  <c r="K55" i="1"/>
  <c r="L55" i="1" s="1"/>
  <c r="M55" i="1" s="1"/>
  <c r="O55" i="1"/>
  <c r="P55" i="1" s="1"/>
  <c r="Q55" i="1" s="1"/>
  <c r="J56" i="12" s="1"/>
  <c r="K56" i="1"/>
  <c r="L56" i="1" s="1"/>
  <c r="M56" i="1" s="1"/>
  <c r="O56" i="1"/>
  <c r="P56" i="1" s="1"/>
  <c r="Q56" i="1" s="1"/>
  <c r="J57" i="12" s="1"/>
  <c r="K57" i="1"/>
  <c r="L57" i="1" s="1"/>
  <c r="M57" i="1" s="1"/>
  <c r="O57" i="1"/>
  <c r="P57" i="1" s="1"/>
  <c r="Q57" i="1" s="1"/>
  <c r="J58" i="12" s="1"/>
  <c r="K58" i="1"/>
  <c r="L58" i="1" s="1"/>
  <c r="M58" i="1" s="1"/>
  <c r="O58" i="1"/>
  <c r="P58" i="1" s="1"/>
  <c r="Q58" i="1" s="1"/>
  <c r="J59" i="12" s="1"/>
  <c r="K59" i="1"/>
  <c r="L59" i="1" s="1"/>
  <c r="M59" i="1" s="1"/>
  <c r="O59" i="1"/>
  <c r="P59" i="1" s="1"/>
  <c r="Q59" i="1" s="1"/>
  <c r="J60" i="12" s="1"/>
  <c r="K60" i="1"/>
  <c r="L60" i="1" s="1"/>
  <c r="M60" i="1" s="1"/>
  <c r="O60" i="1"/>
  <c r="P60" i="1" s="1"/>
  <c r="Q60" i="1" s="1"/>
  <c r="J61" i="12" s="1"/>
  <c r="K61" i="1"/>
  <c r="L61" i="1" s="1"/>
  <c r="M61" i="1" s="1"/>
  <c r="O61" i="1"/>
  <c r="P61" i="1" s="1"/>
  <c r="Q61" i="1" s="1"/>
  <c r="J62" i="12" s="1"/>
  <c r="K62" i="1"/>
  <c r="L62" i="1" s="1"/>
  <c r="M62" i="1" s="1"/>
  <c r="O62" i="1"/>
  <c r="P62" i="1" s="1"/>
  <c r="Q62" i="1" s="1"/>
  <c r="J63" i="12" s="1"/>
  <c r="K63" i="1"/>
  <c r="L63" i="1" s="1"/>
  <c r="M63" i="1" s="1"/>
  <c r="O63" i="1"/>
  <c r="P63" i="1" s="1"/>
  <c r="Q63" i="1" s="1"/>
  <c r="J64" i="12" s="1"/>
  <c r="K64" i="1"/>
  <c r="L64" i="1" s="1"/>
  <c r="M64" i="1" s="1"/>
  <c r="O64" i="1"/>
  <c r="P64" i="1" s="1"/>
  <c r="Q64" i="1" s="1"/>
  <c r="J65" i="12" s="1"/>
  <c r="K65" i="1"/>
  <c r="L65" i="1" s="1"/>
  <c r="M65" i="1" s="1"/>
  <c r="O65" i="1"/>
  <c r="P65" i="1" s="1"/>
  <c r="Q65" i="1" s="1"/>
  <c r="J66" i="12" s="1"/>
  <c r="K66" i="1"/>
  <c r="L66" i="1" s="1"/>
  <c r="M66" i="1" s="1"/>
  <c r="O66" i="1"/>
  <c r="P66" i="1" s="1"/>
  <c r="Q66" i="1" s="1"/>
  <c r="J67" i="12" s="1"/>
  <c r="K67" i="1"/>
  <c r="L67" i="1" s="1"/>
  <c r="M67" i="1" s="1"/>
  <c r="O67" i="1"/>
  <c r="P67" i="1" s="1"/>
  <c r="Q67" i="1" s="1"/>
  <c r="J68" i="12" s="1"/>
  <c r="K68" i="1"/>
  <c r="L68" i="1" s="1"/>
  <c r="M68" i="1" s="1"/>
  <c r="O68" i="1"/>
  <c r="P68" i="1"/>
  <c r="Q68" i="1" s="1"/>
  <c r="J69" i="12" s="1"/>
  <c r="K69" i="1"/>
  <c r="L69" i="1" s="1"/>
  <c r="M69" i="1" s="1"/>
  <c r="O69" i="1"/>
  <c r="P69" i="1" s="1"/>
  <c r="Q69" i="1" s="1"/>
  <c r="J70" i="12" s="1"/>
  <c r="K70" i="1"/>
  <c r="L70" i="1" s="1"/>
  <c r="M70" i="1" s="1"/>
  <c r="O70" i="1"/>
  <c r="P70" i="1" s="1"/>
  <c r="Q70" i="1" s="1"/>
  <c r="J71" i="12" s="1"/>
  <c r="K71" i="1"/>
  <c r="L71" i="1" s="1"/>
  <c r="M71" i="1" s="1"/>
  <c r="O71" i="1"/>
  <c r="P71" i="1" s="1"/>
  <c r="Q71" i="1" s="1"/>
  <c r="J72" i="12" s="1"/>
  <c r="K72" i="1"/>
  <c r="L72" i="1" s="1"/>
  <c r="M72" i="1" s="1"/>
  <c r="O72" i="1"/>
  <c r="P72" i="1" s="1"/>
  <c r="Q72" i="1" s="1"/>
  <c r="J73" i="12" s="1"/>
  <c r="K73" i="1"/>
  <c r="L73" i="1" s="1"/>
  <c r="M73" i="1" s="1"/>
  <c r="O73" i="1"/>
  <c r="P73" i="1" s="1"/>
  <c r="Q73" i="1" s="1"/>
  <c r="J74" i="12" s="1"/>
  <c r="K74" i="1"/>
  <c r="L74" i="1" s="1"/>
  <c r="M74" i="1" s="1"/>
  <c r="O74" i="1"/>
  <c r="P74" i="1" s="1"/>
  <c r="Q74" i="1" s="1"/>
  <c r="J75" i="12" s="1"/>
  <c r="K75" i="1"/>
  <c r="L75" i="1" s="1"/>
  <c r="M75" i="1" s="1"/>
  <c r="O75" i="1"/>
  <c r="P75" i="1" s="1"/>
  <c r="Q75" i="1" s="1"/>
  <c r="J76" i="12" s="1"/>
  <c r="K76" i="1"/>
  <c r="L76" i="1" s="1"/>
  <c r="M76" i="1" s="1"/>
  <c r="O76" i="1"/>
  <c r="P76" i="1" s="1"/>
  <c r="Q76" i="1" s="1"/>
  <c r="J77" i="12" s="1"/>
  <c r="K77" i="1"/>
  <c r="L77" i="1" s="1"/>
  <c r="M77" i="1" s="1"/>
  <c r="O77" i="1"/>
  <c r="P77" i="1"/>
  <c r="Q77" i="1" s="1"/>
  <c r="J78" i="12" s="1"/>
  <c r="K78" i="1"/>
  <c r="L78" i="1" s="1"/>
  <c r="M78" i="1" s="1"/>
  <c r="O78" i="1"/>
  <c r="P78" i="1" s="1"/>
  <c r="Q78" i="1" s="1"/>
  <c r="J79" i="12" s="1"/>
  <c r="K79" i="1"/>
  <c r="L79" i="1" s="1"/>
  <c r="M79" i="1" s="1"/>
  <c r="O79" i="1"/>
  <c r="P79" i="1" s="1"/>
  <c r="Q79" i="1" s="1"/>
  <c r="J80" i="12" s="1"/>
  <c r="K80" i="1"/>
  <c r="L80" i="1" s="1"/>
  <c r="M80" i="1" s="1"/>
  <c r="O80" i="1"/>
  <c r="P80" i="1" s="1"/>
  <c r="Q80" i="1" s="1"/>
  <c r="J81" i="12" s="1"/>
  <c r="K81" i="1"/>
  <c r="L81" i="1" s="1"/>
  <c r="M81" i="1" s="1"/>
  <c r="O81" i="1"/>
  <c r="P81" i="1" s="1"/>
  <c r="Q81" i="1" s="1"/>
  <c r="J82" i="12" s="1"/>
  <c r="K82" i="1"/>
  <c r="L82" i="1" s="1"/>
  <c r="M82" i="1" s="1"/>
  <c r="O82" i="1"/>
  <c r="P82" i="1" s="1"/>
  <c r="Q82" i="1" s="1"/>
  <c r="J83" i="12" s="1"/>
  <c r="K83" i="1"/>
  <c r="L83" i="1" s="1"/>
  <c r="M83" i="1" s="1"/>
  <c r="O83" i="1"/>
  <c r="P83" i="1" s="1"/>
  <c r="Q83" i="1" s="1"/>
  <c r="J84" i="12" s="1"/>
  <c r="K84" i="1"/>
  <c r="L84" i="1" s="1"/>
  <c r="M84" i="1" s="1"/>
  <c r="O84" i="1"/>
  <c r="P84" i="1" s="1"/>
  <c r="Q84" i="1" s="1"/>
  <c r="J85" i="12" s="1"/>
  <c r="K85" i="1"/>
  <c r="L85" i="1" s="1"/>
  <c r="M85" i="1" s="1"/>
  <c r="O85" i="1"/>
  <c r="P85" i="1" s="1"/>
  <c r="Q85" i="1" s="1"/>
  <c r="J86" i="12" s="1"/>
  <c r="K86" i="1"/>
  <c r="L86" i="1" s="1"/>
  <c r="M86" i="1" s="1"/>
  <c r="O86" i="1"/>
  <c r="P86" i="1" s="1"/>
  <c r="Q86" i="1" s="1"/>
  <c r="J87" i="12" s="1"/>
  <c r="K87" i="1"/>
  <c r="L87" i="1" s="1"/>
  <c r="M87" i="1" s="1"/>
  <c r="O87" i="1"/>
  <c r="P87" i="1" s="1"/>
  <c r="Q87" i="1" s="1"/>
  <c r="J88" i="12" s="1"/>
  <c r="K88" i="1"/>
  <c r="L88" i="1" s="1"/>
  <c r="M88" i="1" s="1"/>
  <c r="O88" i="1"/>
  <c r="P88" i="1" s="1"/>
  <c r="Q88" i="1" s="1"/>
  <c r="J89" i="12" s="1"/>
  <c r="K89" i="1"/>
  <c r="L89" i="1" s="1"/>
  <c r="M89" i="1" s="1"/>
  <c r="O89" i="1"/>
  <c r="P89" i="1" s="1"/>
  <c r="Q89" i="1" s="1"/>
  <c r="J90" i="12" s="1"/>
  <c r="K90" i="1"/>
  <c r="L90" i="1" s="1"/>
  <c r="M90" i="1" s="1"/>
  <c r="O90" i="1"/>
  <c r="P90" i="1" s="1"/>
  <c r="Q90" i="1" s="1"/>
  <c r="J91" i="12" s="1"/>
  <c r="K91" i="1"/>
  <c r="L91" i="1" s="1"/>
  <c r="M91" i="1" s="1"/>
  <c r="O91" i="1"/>
  <c r="P91" i="1" s="1"/>
  <c r="Q91" i="1" s="1"/>
  <c r="J92" i="12" s="1"/>
  <c r="K92" i="1"/>
  <c r="L92" i="1" s="1"/>
  <c r="M92" i="1" s="1"/>
  <c r="O92" i="1"/>
  <c r="P92" i="1" s="1"/>
  <c r="Q92" i="1" s="1"/>
  <c r="J93" i="12" s="1"/>
  <c r="K93" i="1"/>
  <c r="L93" i="1" s="1"/>
  <c r="M93" i="1" s="1"/>
  <c r="O93" i="1"/>
  <c r="P93" i="1" s="1"/>
  <c r="Q93" i="1" s="1"/>
  <c r="J94" i="12" s="1"/>
  <c r="K94" i="1"/>
  <c r="L94" i="1" s="1"/>
  <c r="M94" i="1" s="1"/>
  <c r="O94" i="1"/>
  <c r="P94" i="1" s="1"/>
  <c r="Q94" i="1" s="1"/>
  <c r="J95" i="12" s="1"/>
  <c r="K95" i="1"/>
  <c r="L95" i="1" s="1"/>
  <c r="M95" i="1" s="1"/>
  <c r="O95" i="1"/>
  <c r="P95" i="1" s="1"/>
  <c r="Q95" i="1" s="1"/>
  <c r="J96" i="12" s="1"/>
  <c r="K96" i="1"/>
  <c r="L96" i="1" s="1"/>
  <c r="M96" i="1" s="1"/>
  <c r="O96" i="1"/>
  <c r="P96" i="1" s="1"/>
  <c r="Q96" i="1" s="1"/>
  <c r="J97" i="12" s="1"/>
  <c r="K97" i="1"/>
  <c r="L97" i="1" s="1"/>
  <c r="M97" i="1" s="1"/>
  <c r="O97" i="1"/>
  <c r="P97" i="1" s="1"/>
  <c r="Q97" i="1" s="1"/>
  <c r="J98" i="12" s="1"/>
  <c r="K98" i="1"/>
  <c r="L98" i="1" s="1"/>
  <c r="M98" i="1" s="1"/>
  <c r="O98" i="1"/>
  <c r="P98" i="1" s="1"/>
  <c r="Q98" i="1" s="1"/>
  <c r="J99" i="12" s="1"/>
  <c r="K99" i="1"/>
  <c r="L99" i="1" s="1"/>
  <c r="M99" i="1" s="1"/>
  <c r="O99" i="1"/>
  <c r="P99" i="1" s="1"/>
  <c r="Q99" i="1" s="1"/>
  <c r="J100" i="12" s="1"/>
  <c r="K100" i="1"/>
  <c r="L100" i="1" s="1"/>
  <c r="M100" i="1" s="1"/>
  <c r="O100" i="1"/>
  <c r="P100" i="1" s="1"/>
  <c r="Q100" i="1" s="1"/>
  <c r="J101" i="12" s="1"/>
  <c r="K101" i="1"/>
  <c r="L101" i="1" s="1"/>
  <c r="M101" i="1" s="1"/>
  <c r="O101" i="1"/>
  <c r="P101" i="1"/>
  <c r="Q101" i="1" s="1"/>
  <c r="J102" i="12" s="1"/>
  <c r="K102" i="1"/>
  <c r="L102" i="1" s="1"/>
  <c r="M102" i="1" s="1"/>
  <c r="O102" i="1"/>
  <c r="P102" i="1" s="1"/>
  <c r="Q102" i="1" s="1"/>
  <c r="J103" i="12" s="1"/>
  <c r="K103" i="1"/>
  <c r="L103" i="1" s="1"/>
  <c r="M103" i="1" s="1"/>
  <c r="O103" i="1"/>
  <c r="P103" i="1" s="1"/>
  <c r="Q103" i="1" s="1"/>
  <c r="J104" i="12" s="1"/>
  <c r="K104" i="1"/>
  <c r="L104" i="1" s="1"/>
  <c r="M104" i="1" s="1"/>
  <c r="O104" i="1"/>
  <c r="P104" i="1" s="1"/>
  <c r="Q104" i="1" s="1"/>
  <c r="J105" i="12" s="1"/>
  <c r="K105" i="1"/>
  <c r="L105" i="1" s="1"/>
  <c r="M105" i="1" s="1"/>
  <c r="O105" i="1"/>
  <c r="P105" i="1" s="1"/>
  <c r="Q105" i="1" s="1"/>
  <c r="J106" i="12" s="1"/>
  <c r="K106" i="1"/>
  <c r="L106" i="1" s="1"/>
  <c r="M106" i="1" s="1"/>
  <c r="O106" i="1"/>
  <c r="P106" i="1" s="1"/>
  <c r="Q106" i="1" s="1"/>
  <c r="J107" i="12" s="1"/>
  <c r="K107" i="1"/>
  <c r="L107" i="1" s="1"/>
  <c r="M107" i="1" s="1"/>
  <c r="O107" i="1"/>
  <c r="P107" i="1" s="1"/>
  <c r="Q107" i="1" s="1"/>
  <c r="J108" i="12" s="1"/>
  <c r="K108" i="1"/>
  <c r="L108" i="1" s="1"/>
  <c r="M108" i="1" s="1"/>
  <c r="O108" i="1"/>
  <c r="P108" i="1" s="1"/>
  <c r="Q108" i="1" s="1"/>
  <c r="J109" i="12" s="1"/>
  <c r="K109" i="1"/>
  <c r="L109" i="1" s="1"/>
  <c r="M109" i="1" s="1"/>
  <c r="O109" i="1"/>
  <c r="P109" i="1"/>
  <c r="Q109" i="1" s="1"/>
  <c r="J110" i="12" s="1"/>
  <c r="K110" i="1"/>
  <c r="L110" i="1" s="1"/>
  <c r="M110" i="1" s="1"/>
  <c r="O110" i="1"/>
  <c r="P110" i="1" s="1"/>
  <c r="Q110" i="1" s="1"/>
  <c r="J111" i="12" s="1"/>
  <c r="K111" i="1"/>
  <c r="L111" i="1" s="1"/>
  <c r="M111" i="1" s="1"/>
  <c r="O111" i="1"/>
  <c r="P111" i="1" s="1"/>
  <c r="Q111" i="1" s="1"/>
  <c r="J112" i="12" s="1"/>
  <c r="K112" i="1"/>
  <c r="L112" i="1" s="1"/>
  <c r="M112" i="1" s="1"/>
  <c r="O112" i="1"/>
  <c r="P112" i="1" s="1"/>
  <c r="Q112" i="1" s="1"/>
  <c r="J113" i="12" s="1"/>
  <c r="K113" i="1"/>
  <c r="L113" i="1" s="1"/>
  <c r="M113" i="1" s="1"/>
  <c r="O113" i="1"/>
  <c r="P113" i="1" s="1"/>
  <c r="Q113" i="1" s="1"/>
  <c r="J114" i="12" s="1"/>
  <c r="K114" i="1"/>
  <c r="L114" i="1" s="1"/>
  <c r="M114" i="1" s="1"/>
  <c r="O114" i="1"/>
  <c r="P114" i="1" s="1"/>
  <c r="Q114" i="1" s="1"/>
  <c r="J115" i="12" s="1"/>
  <c r="K115" i="1"/>
  <c r="L115" i="1" s="1"/>
  <c r="M115" i="1" s="1"/>
  <c r="O115" i="1"/>
  <c r="P115" i="1" s="1"/>
  <c r="Q115" i="1" s="1"/>
  <c r="J116" i="12" s="1"/>
  <c r="K116" i="1"/>
  <c r="L116" i="1" s="1"/>
  <c r="M116" i="1" s="1"/>
  <c r="O116" i="1"/>
  <c r="P116" i="1" s="1"/>
  <c r="Q116" i="1" s="1"/>
  <c r="J117" i="12" s="1"/>
  <c r="K117" i="1"/>
  <c r="L117" i="1" s="1"/>
  <c r="M117" i="1" s="1"/>
  <c r="O117" i="1"/>
  <c r="P117" i="1" s="1"/>
  <c r="Q117" i="1" s="1"/>
  <c r="J118" i="12" s="1"/>
  <c r="K118" i="1"/>
  <c r="L118" i="1" s="1"/>
  <c r="M118" i="1" s="1"/>
  <c r="O118" i="1"/>
  <c r="P118" i="1" s="1"/>
  <c r="Q118" i="1" s="1"/>
  <c r="J119" i="12" s="1"/>
  <c r="K119" i="1"/>
  <c r="L119" i="1" s="1"/>
  <c r="M119" i="1" s="1"/>
  <c r="O119" i="1"/>
  <c r="P119" i="1" s="1"/>
  <c r="Q119" i="1" s="1"/>
  <c r="J120" i="12" s="1"/>
  <c r="K120" i="1"/>
  <c r="L120" i="1" s="1"/>
  <c r="M120" i="1" s="1"/>
  <c r="O120" i="1"/>
  <c r="P120" i="1" s="1"/>
  <c r="Q120" i="1" s="1"/>
  <c r="J121" i="12" s="1"/>
  <c r="K121" i="1"/>
  <c r="L121" i="1" s="1"/>
  <c r="M121" i="1" s="1"/>
  <c r="O121" i="1"/>
  <c r="P121" i="1" s="1"/>
  <c r="Q121" i="1" s="1"/>
  <c r="J122" i="12" s="1"/>
  <c r="K122" i="1"/>
  <c r="L122" i="1" s="1"/>
  <c r="M122" i="1" s="1"/>
  <c r="O122" i="1"/>
  <c r="P122" i="1" s="1"/>
  <c r="Q122" i="1" s="1"/>
  <c r="J123" i="12" s="1"/>
  <c r="K123" i="1"/>
  <c r="L123" i="1" s="1"/>
  <c r="M123" i="1" s="1"/>
  <c r="O123" i="1"/>
  <c r="P123" i="1" s="1"/>
  <c r="Q123" i="1" s="1"/>
  <c r="J124" i="12" s="1"/>
  <c r="K124" i="1"/>
  <c r="L124" i="1" s="1"/>
  <c r="M124" i="1" s="1"/>
  <c r="O124" i="1"/>
  <c r="P124" i="1" s="1"/>
  <c r="Q124" i="1" s="1"/>
  <c r="J125" i="12" s="1"/>
  <c r="K125" i="1"/>
  <c r="L125" i="1" s="1"/>
  <c r="M125" i="1" s="1"/>
  <c r="O125" i="1"/>
  <c r="P125" i="1" s="1"/>
  <c r="Q125" i="1" s="1"/>
  <c r="J126" i="12" s="1"/>
  <c r="K126" i="1"/>
  <c r="L126" i="1" s="1"/>
  <c r="M126" i="1" s="1"/>
  <c r="O126" i="1"/>
  <c r="P126" i="1" s="1"/>
  <c r="Q126" i="1" s="1"/>
  <c r="J127" i="12" s="1"/>
  <c r="K127" i="1"/>
  <c r="L127" i="1" s="1"/>
  <c r="M127" i="1" s="1"/>
  <c r="O127" i="1"/>
  <c r="P127" i="1" s="1"/>
  <c r="Q127" i="1" s="1"/>
  <c r="J128" i="12" s="1"/>
  <c r="K128" i="1"/>
  <c r="L128" i="1" s="1"/>
  <c r="M128" i="1" s="1"/>
  <c r="O128" i="1"/>
  <c r="P128" i="1" s="1"/>
  <c r="Q128" i="1" s="1"/>
  <c r="J129" i="12" s="1"/>
  <c r="K129" i="1"/>
  <c r="L129" i="1" s="1"/>
  <c r="M129" i="1" s="1"/>
  <c r="O129" i="1"/>
  <c r="P129" i="1" s="1"/>
  <c r="Q129" i="1" s="1"/>
  <c r="J130" i="12" s="1"/>
  <c r="K130" i="1"/>
  <c r="L130" i="1" s="1"/>
  <c r="M130" i="1" s="1"/>
  <c r="O130" i="1"/>
  <c r="P130" i="1" s="1"/>
  <c r="Q130" i="1" s="1"/>
  <c r="J131" i="12" s="1"/>
  <c r="K131" i="1"/>
  <c r="L131" i="1" s="1"/>
  <c r="M131" i="1" s="1"/>
  <c r="O131" i="1"/>
  <c r="P131" i="1" s="1"/>
  <c r="Q131" i="1" s="1"/>
  <c r="J132" i="12" s="1"/>
  <c r="K132" i="1"/>
  <c r="L132" i="1" s="1"/>
  <c r="M132" i="1" s="1"/>
  <c r="O132" i="1"/>
  <c r="P132" i="1" s="1"/>
  <c r="Q132" i="1" s="1"/>
  <c r="J133" i="12" s="1"/>
  <c r="K133" i="1"/>
  <c r="L133" i="1" s="1"/>
  <c r="M133" i="1" s="1"/>
  <c r="O133" i="1"/>
  <c r="P133" i="1"/>
  <c r="Q133" i="1" s="1"/>
  <c r="J134" i="12" s="1"/>
  <c r="K134" i="1"/>
  <c r="L134" i="1" s="1"/>
  <c r="M134" i="1" s="1"/>
  <c r="O134" i="1"/>
  <c r="P134" i="1" s="1"/>
  <c r="Q134" i="1" s="1"/>
  <c r="J135" i="12" s="1"/>
  <c r="K135" i="1"/>
  <c r="L135" i="1" s="1"/>
  <c r="M135" i="1" s="1"/>
  <c r="O135" i="1"/>
  <c r="P135" i="1" s="1"/>
  <c r="Q135" i="1" s="1"/>
  <c r="J136" i="12" s="1"/>
  <c r="K136" i="1"/>
  <c r="L136" i="1" s="1"/>
  <c r="M136" i="1" s="1"/>
  <c r="O136" i="1"/>
  <c r="P136" i="1" s="1"/>
  <c r="Q136" i="1" s="1"/>
  <c r="J137" i="12" s="1"/>
  <c r="K137" i="1"/>
  <c r="L137" i="1" s="1"/>
  <c r="M137" i="1" s="1"/>
  <c r="O137" i="1"/>
  <c r="P137" i="1" s="1"/>
  <c r="Q137" i="1" s="1"/>
  <c r="J138" i="12" s="1"/>
  <c r="K138" i="1"/>
  <c r="L138" i="1" s="1"/>
  <c r="M138" i="1" s="1"/>
  <c r="O138" i="1"/>
  <c r="P138" i="1" s="1"/>
  <c r="Q138" i="1" s="1"/>
  <c r="J139" i="12" s="1"/>
  <c r="K139" i="1"/>
  <c r="L139" i="1" s="1"/>
  <c r="M139" i="1" s="1"/>
  <c r="O139" i="1"/>
  <c r="P139" i="1" s="1"/>
  <c r="Q139" i="1" s="1"/>
  <c r="J140" i="12" s="1"/>
  <c r="K140" i="1"/>
  <c r="L140" i="1" s="1"/>
  <c r="M140" i="1" s="1"/>
  <c r="O140" i="1"/>
  <c r="P140" i="1" s="1"/>
  <c r="Q140" i="1" s="1"/>
  <c r="J141" i="12" s="1"/>
  <c r="K141" i="1"/>
  <c r="L141" i="1" s="1"/>
  <c r="M141" i="1" s="1"/>
  <c r="O141" i="1"/>
  <c r="P141" i="1" s="1"/>
  <c r="Q141" i="1" s="1"/>
  <c r="J142" i="12" s="1"/>
  <c r="K142" i="1"/>
  <c r="L142" i="1" s="1"/>
  <c r="M142" i="1" s="1"/>
  <c r="O142" i="1"/>
  <c r="P142" i="1" s="1"/>
  <c r="Q142" i="1" s="1"/>
  <c r="J143" i="12" s="1"/>
  <c r="K143" i="1"/>
  <c r="L143" i="1" s="1"/>
  <c r="M143" i="1" s="1"/>
  <c r="O143" i="1"/>
  <c r="P143" i="1" s="1"/>
  <c r="Q143" i="1" s="1"/>
  <c r="J144" i="12" s="1"/>
  <c r="K144" i="1"/>
  <c r="L144" i="1" s="1"/>
  <c r="M144" i="1" s="1"/>
  <c r="O144" i="1"/>
  <c r="P144" i="1" s="1"/>
  <c r="Q144" i="1" s="1"/>
  <c r="J145" i="12" s="1"/>
  <c r="K145" i="1"/>
  <c r="L145" i="1" s="1"/>
  <c r="M145" i="1" s="1"/>
  <c r="O145" i="1"/>
  <c r="P145" i="1" s="1"/>
  <c r="Q145" i="1" s="1"/>
  <c r="J146" i="12" s="1"/>
  <c r="K146" i="1"/>
  <c r="L146" i="1" s="1"/>
  <c r="M146" i="1" s="1"/>
  <c r="O146" i="1"/>
  <c r="P146" i="1" s="1"/>
  <c r="Q146" i="1" s="1"/>
  <c r="J147" i="12" s="1"/>
  <c r="K147" i="1"/>
  <c r="L147" i="1" s="1"/>
  <c r="M147" i="1" s="1"/>
  <c r="O147" i="1"/>
  <c r="P147" i="1" s="1"/>
  <c r="Q147" i="1" s="1"/>
  <c r="J148" i="12" s="1"/>
  <c r="K148" i="1"/>
  <c r="L148" i="1" s="1"/>
  <c r="M148" i="1" s="1"/>
  <c r="O148" i="1"/>
  <c r="P148" i="1" s="1"/>
  <c r="Q148" i="1" s="1"/>
  <c r="J149" i="12" s="1"/>
  <c r="K149" i="1"/>
  <c r="L149" i="1" s="1"/>
  <c r="M149" i="1" s="1"/>
  <c r="O149" i="1"/>
  <c r="P149" i="1"/>
  <c r="Q149" i="1" s="1"/>
  <c r="J150" i="12" s="1"/>
  <c r="K150" i="1"/>
  <c r="L150" i="1" s="1"/>
  <c r="M150" i="1" s="1"/>
  <c r="O150" i="1"/>
  <c r="P150" i="1" s="1"/>
  <c r="Q150" i="1" s="1"/>
  <c r="J151" i="12" s="1"/>
  <c r="K151" i="1"/>
  <c r="L151" i="1" s="1"/>
  <c r="M151" i="1" s="1"/>
  <c r="O151" i="1"/>
  <c r="P151" i="1" s="1"/>
  <c r="Q151" i="1" s="1"/>
  <c r="J152" i="12" s="1"/>
  <c r="K152" i="1"/>
  <c r="L152" i="1" s="1"/>
  <c r="M152" i="1" s="1"/>
  <c r="O152" i="1"/>
  <c r="P152" i="1" s="1"/>
  <c r="Q152" i="1" s="1"/>
  <c r="J153" i="12" s="1"/>
  <c r="K153" i="1"/>
  <c r="L153" i="1" s="1"/>
  <c r="M153" i="1" s="1"/>
  <c r="O153" i="1"/>
  <c r="P153" i="1" s="1"/>
  <c r="Q153" i="1" s="1"/>
  <c r="J154" i="12" s="1"/>
  <c r="K154" i="1"/>
  <c r="L154" i="1" s="1"/>
  <c r="M154" i="1" s="1"/>
  <c r="O154" i="1"/>
  <c r="P154" i="1" s="1"/>
  <c r="Q154" i="1" s="1"/>
  <c r="J155" i="12" s="1"/>
  <c r="K155" i="1"/>
  <c r="L155" i="1" s="1"/>
  <c r="M155" i="1" s="1"/>
  <c r="O155" i="1"/>
  <c r="P155" i="1" s="1"/>
  <c r="Q155" i="1" s="1"/>
  <c r="J156" i="12" s="1"/>
  <c r="K156" i="1"/>
  <c r="L156" i="1" s="1"/>
  <c r="M156" i="1" s="1"/>
  <c r="O156" i="1"/>
  <c r="P156" i="1" s="1"/>
  <c r="Q156" i="1" s="1"/>
  <c r="J157" i="12" s="1"/>
  <c r="K157" i="1"/>
  <c r="L157" i="1" s="1"/>
  <c r="M157" i="1" s="1"/>
  <c r="O157" i="1"/>
  <c r="P157" i="1" s="1"/>
  <c r="Q157" i="1" s="1"/>
  <c r="J158" i="12" s="1"/>
  <c r="K158" i="1"/>
  <c r="L158" i="1" s="1"/>
  <c r="M158" i="1" s="1"/>
  <c r="O158" i="1"/>
  <c r="P158" i="1" s="1"/>
  <c r="Q158" i="1" s="1"/>
  <c r="J159" i="12" s="1"/>
  <c r="K159" i="1"/>
  <c r="L159" i="1" s="1"/>
  <c r="M159" i="1" s="1"/>
  <c r="O159" i="1"/>
  <c r="P159" i="1" s="1"/>
  <c r="Q159" i="1" s="1"/>
  <c r="J160" i="12" s="1"/>
  <c r="K160" i="1"/>
  <c r="L160" i="1" s="1"/>
  <c r="M160" i="1" s="1"/>
  <c r="O160" i="1"/>
  <c r="P160" i="1" s="1"/>
  <c r="Q160" i="1" s="1"/>
  <c r="J161" i="12" s="1"/>
  <c r="K161" i="1"/>
  <c r="L161" i="1" s="1"/>
  <c r="M161" i="1" s="1"/>
  <c r="O161" i="1"/>
  <c r="P161" i="1" s="1"/>
  <c r="Q161" i="1" s="1"/>
  <c r="J162" i="12" s="1"/>
  <c r="K162" i="1"/>
  <c r="L162" i="1" s="1"/>
  <c r="M162" i="1" s="1"/>
  <c r="O162" i="1"/>
  <c r="P162" i="1" s="1"/>
  <c r="Q162" i="1" s="1"/>
  <c r="J163" i="12" s="1"/>
  <c r="K163" i="1"/>
  <c r="L163" i="1" s="1"/>
  <c r="M163" i="1" s="1"/>
  <c r="O163" i="1"/>
  <c r="P163" i="1" s="1"/>
  <c r="Q163" i="1" s="1"/>
  <c r="J164" i="12" s="1"/>
  <c r="K164" i="1"/>
  <c r="L164" i="1" s="1"/>
  <c r="M164" i="1" s="1"/>
  <c r="O164" i="1"/>
  <c r="P164" i="1" s="1"/>
  <c r="Q164" i="1" s="1"/>
  <c r="J165" i="12" s="1"/>
  <c r="K165" i="1"/>
  <c r="L165" i="1" s="1"/>
  <c r="M165" i="1" s="1"/>
  <c r="O165" i="1"/>
  <c r="P165" i="1"/>
  <c r="Q165" i="1" s="1"/>
  <c r="J166" i="12" s="1"/>
  <c r="K166" i="1"/>
  <c r="L166" i="1" s="1"/>
  <c r="M166" i="1" s="1"/>
  <c r="O166" i="1"/>
  <c r="P166" i="1" s="1"/>
  <c r="Q166" i="1" s="1"/>
  <c r="J167" i="12" s="1"/>
  <c r="K167" i="1"/>
  <c r="L167" i="1" s="1"/>
  <c r="M167" i="1" s="1"/>
  <c r="O167" i="1"/>
  <c r="P167" i="1" s="1"/>
  <c r="Q167" i="1" s="1"/>
  <c r="J168" i="12" s="1"/>
  <c r="K168" i="1"/>
  <c r="L168" i="1" s="1"/>
  <c r="M168" i="1" s="1"/>
  <c r="O168" i="1"/>
  <c r="P168" i="1" s="1"/>
  <c r="Q168" i="1" s="1"/>
  <c r="J169" i="12" s="1"/>
  <c r="K169" i="1"/>
  <c r="L169" i="1" s="1"/>
  <c r="M169" i="1" s="1"/>
  <c r="O169" i="1"/>
  <c r="P169" i="1" s="1"/>
  <c r="Q169" i="1" s="1"/>
  <c r="J170" i="12" s="1"/>
  <c r="K170" i="1"/>
  <c r="L170" i="1" s="1"/>
  <c r="M170" i="1" s="1"/>
  <c r="O170" i="1"/>
  <c r="P170" i="1" s="1"/>
  <c r="Q170" i="1" s="1"/>
  <c r="J171" i="12" s="1"/>
  <c r="K171" i="1"/>
  <c r="L171" i="1" s="1"/>
  <c r="M171" i="1" s="1"/>
  <c r="O171" i="1"/>
  <c r="P171" i="1" s="1"/>
  <c r="Q171" i="1" s="1"/>
  <c r="J172" i="12" s="1"/>
  <c r="K172" i="1"/>
  <c r="L172" i="1" s="1"/>
  <c r="M172" i="1" s="1"/>
  <c r="O172" i="1"/>
  <c r="P172" i="1" s="1"/>
  <c r="Q172" i="1" s="1"/>
  <c r="J173" i="12" s="1"/>
  <c r="K173" i="1"/>
  <c r="L173" i="1" s="1"/>
  <c r="M173" i="1" s="1"/>
  <c r="O173" i="1"/>
  <c r="P173" i="1" s="1"/>
  <c r="Q173" i="1" s="1"/>
  <c r="J174" i="12" s="1"/>
  <c r="K174" i="1"/>
  <c r="L174" i="1" s="1"/>
  <c r="M174" i="1" s="1"/>
  <c r="O174" i="1"/>
  <c r="P174" i="1" s="1"/>
  <c r="Q174" i="1" s="1"/>
  <c r="J175" i="12" s="1"/>
  <c r="K175" i="1"/>
  <c r="L175" i="1" s="1"/>
  <c r="M175" i="1" s="1"/>
  <c r="O175" i="1"/>
  <c r="P175" i="1" s="1"/>
  <c r="Q175" i="1" s="1"/>
  <c r="J176" i="12" s="1"/>
  <c r="K176" i="1"/>
  <c r="L176" i="1" s="1"/>
  <c r="M176" i="1" s="1"/>
  <c r="O176" i="1"/>
  <c r="P176" i="1" s="1"/>
  <c r="Q176" i="1" s="1"/>
  <c r="J177" i="12" s="1"/>
  <c r="K177" i="1"/>
  <c r="L177" i="1" s="1"/>
  <c r="M177" i="1" s="1"/>
  <c r="O177" i="1"/>
  <c r="P177" i="1" s="1"/>
  <c r="Q177" i="1" s="1"/>
  <c r="J178" i="12" s="1"/>
  <c r="K178" i="1"/>
  <c r="L178" i="1" s="1"/>
  <c r="M178" i="1" s="1"/>
  <c r="O178" i="1"/>
  <c r="P178" i="1" s="1"/>
  <c r="Q178" i="1" s="1"/>
  <c r="J179" i="12" s="1"/>
  <c r="K179" i="1"/>
  <c r="L179" i="1" s="1"/>
  <c r="M179" i="1" s="1"/>
  <c r="O179" i="1"/>
  <c r="P179" i="1" s="1"/>
  <c r="Q179" i="1" s="1"/>
  <c r="J180" i="12" s="1"/>
  <c r="K180" i="1"/>
  <c r="L180" i="1" s="1"/>
  <c r="M180" i="1" s="1"/>
  <c r="O180" i="1"/>
  <c r="P180" i="1" s="1"/>
  <c r="Q180" i="1" s="1"/>
  <c r="J181" i="12" s="1"/>
  <c r="K181" i="1"/>
  <c r="L181" i="1" s="1"/>
  <c r="M181" i="1" s="1"/>
  <c r="O181" i="1"/>
  <c r="P181" i="1"/>
  <c r="Q181" i="1" s="1"/>
  <c r="J182" i="12" s="1"/>
  <c r="K182" i="1"/>
  <c r="L182" i="1" s="1"/>
  <c r="M182" i="1" s="1"/>
  <c r="O182" i="1"/>
  <c r="P182" i="1" s="1"/>
  <c r="Q182" i="1" s="1"/>
  <c r="J183" i="12" s="1"/>
  <c r="K183" i="1"/>
  <c r="L183" i="1" s="1"/>
  <c r="M183" i="1" s="1"/>
  <c r="O183" i="1"/>
  <c r="P183" i="1" s="1"/>
  <c r="Q183" i="1" s="1"/>
  <c r="J184" i="12" s="1"/>
  <c r="K184" i="1"/>
  <c r="L184" i="1" s="1"/>
  <c r="M184" i="1" s="1"/>
  <c r="O184" i="1"/>
  <c r="P184" i="1" s="1"/>
  <c r="Q184" i="1" s="1"/>
  <c r="J185" i="12" s="1"/>
  <c r="K185" i="1"/>
  <c r="L185" i="1" s="1"/>
  <c r="M185" i="1" s="1"/>
  <c r="O185" i="1"/>
  <c r="P185" i="1" s="1"/>
  <c r="Q185" i="1" s="1"/>
  <c r="J186" i="12" s="1"/>
  <c r="K186" i="1"/>
  <c r="L186" i="1" s="1"/>
  <c r="M186" i="1" s="1"/>
  <c r="O186" i="1"/>
  <c r="P186" i="1" s="1"/>
  <c r="Q186" i="1" s="1"/>
  <c r="J187" i="12" s="1"/>
  <c r="K187" i="1"/>
  <c r="L187" i="1" s="1"/>
  <c r="M187" i="1" s="1"/>
  <c r="O187" i="1"/>
  <c r="P187" i="1" s="1"/>
  <c r="Q187" i="1" s="1"/>
  <c r="J188" i="12" s="1"/>
  <c r="K188" i="1"/>
  <c r="L188" i="1" s="1"/>
  <c r="M188" i="1" s="1"/>
  <c r="O188" i="1"/>
  <c r="P188" i="1" s="1"/>
  <c r="Q188" i="1" s="1"/>
  <c r="J189" i="12" s="1"/>
  <c r="K189" i="1"/>
  <c r="L189" i="1" s="1"/>
  <c r="M189" i="1" s="1"/>
  <c r="O189" i="1"/>
  <c r="P189" i="1" s="1"/>
  <c r="Q189" i="1" s="1"/>
  <c r="J190" i="12" s="1"/>
  <c r="K190" i="1"/>
  <c r="L190" i="1" s="1"/>
  <c r="M190" i="1" s="1"/>
  <c r="O190" i="1"/>
  <c r="P190" i="1" s="1"/>
  <c r="Q190" i="1" s="1"/>
  <c r="J191" i="12" s="1"/>
  <c r="K191" i="1"/>
  <c r="L191" i="1" s="1"/>
  <c r="M191" i="1" s="1"/>
  <c r="O191" i="1"/>
  <c r="P191" i="1" s="1"/>
  <c r="Q191" i="1" s="1"/>
  <c r="J192" i="12" s="1"/>
  <c r="K192" i="1"/>
  <c r="L192" i="1" s="1"/>
  <c r="M192" i="1" s="1"/>
  <c r="O192" i="1"/>
  <c r="P192" i="1" s="1"/>
  <c r="Q192" i="1" s="1"/>
  <c r="J193" i="12" s="1"/>
  <c r="K193" i="1"/>
  <c r="L193" i="1" s="1"/>
  <c r="M193" i="1" s="1"/>
  <c r="O193" i="1"/>
  <c r="P193" i="1" s="1"/>
  <c r="Q193" i="1" s="1"/>
  <c r="J194" i="12" s="1"/>
  <c r="K194" i="1"/>
  <c r="L194" i="1" s="1"/>
  <c r="M194" i="1" s="1"/>
  <c r="O194" i="1"/>
  <c r="P194" i="1" s="1"/>
  <c r="Q194" i="1" s="1"/>
  <c r="J195" i="12" s="1"/>
  <c r="K195" i="1"/>
  <c r="L195" i="1" s="1"/>
  <c r="M195" i="1" s="1"/>
  <c r="O195" i="1"/>
  <c r="P195" i="1" s="1"/>
  <c r="Q195" i="1" s="1"/>
  <c r="J196" i="12" s="1"/>
  <c r="K196" i="1"/>
  <c r="L196" i="1" s="1"/>
  <c r="M196" i="1" s="1"/>
  <c r="O196" i="1"/>
  <c r="P196" i="1" s="1"/>
  <c r="Q196" i="1" s="1"/>
  <c r="J197" i="12" s="1"/>
  <c r="K197" i="1"/>
  <c r="L197" i="1" s="1"/>
  <c r="M197" i="1" s="1"/>
  <c r="O197" i="1"/>
  <c r="P197" i="1"/>
  <c r="Q197" i="1" s="1"/>
  <c r="J198" i="12" s="1"/>
  <c r="K198" i="1"/>
  <c r="L198" i="1" s="1"/>
  <c r="M198" i="1" s="1"/>
  <c r="O198" i="1"/>
  <c r="P198" i="1" s="1"/>
  <c r="Q198" i="1" s="1"/>
  <c r="J199" i="12" s="1"/>
  <c r="K199" i="1"/>
  <c r="L199" i="1" s="1"/>
  <c r="M199" i="1" s="1"/>
  <c r="O199" i="1"/>
  <c r="P199" i="1" s="1"/>
  <c r="Q199" i="1" s="1"/>
  <c r="J200" i="12" s="1"/>
  <c r="K200" i="1"/>
  <c r="L200" i="1" s="1"/>
  <c r="M200" i="1" s="1"/>
  <c r="O200" i="1"/>
  <c r="P200" i="1" s="1"/>
  <c r="Q200" i="1" s="1"/>
  <c r="J201" i="12" s="1"/>
  <c r="K201" i="1"/>
  <c r="L201" i="1" s="1"/>
  <c r="M201" i="1" s="1"/>
  <c r="O201" i="1"/>
  <c r="P201" i="1" s="1"/>
  <c r="Q201" i="1" s="1"/>
  <c r="J202" i="12" s="1"/>
  <c r="K202" i="1"/>
  <c r="L202" i="1" s="1"/>
  <c r="M202" i="1" s="1"/>
  <c r="O202" i="1"/>
  <c r="P202" i="1" s="1"/>
  <c r="Q202" i="1" s="1"/>
  <c r="J203" i="12" s="1"/>
  <c r="K203" i="1"/>
  <c r="L203" i="1" s="1"/>
  <c r="M203" i="1" s="1"/>
  <c r="O203" i="1"/>
  <c r="P203" i="1" s="1"/>
  <c r="Q203" i="1" s="1"/>
  <c r="J204" i="12" s="1"/>
  <c r="K204" i="1"/>
  <c r="L204" i="1" s="1"/>
  <c r="M204" i="1" s="1"/>
  <c r="O204" i="1"/>
  <c r="P204" i="1" s="1"/>
  <c r="Q204" i="1" s="1"/>
  <c r="J205" i="12" s="1"/>
  <c r="K205" i="1"/>
  <c r="L205" i="1" s="1"/>
  <c r="M205" i="1" s="1"/>
  <c r="O205" i="1"/>
  <c r="P205" i="1" s="1"/>
  <c r="Q205" i="1" s="1"/>
  <c r="J206" i="12" s="1"/>
  <c r="K206" i="1"/>
  <c r="L206" i="1" s="1"/>
  <c r="M206" i="1" s="1"/>
  <c r="O206" i="1"/>
  <c r="P206" i="1" s="1"/>
  <c r="Q206" i="1" s="1"/>
  <c r="J207" i="12" s="1"/>
  <c r="K207" i="1"/>
  <c r="L207" i="1" s="1"/>
  <c r="M207" i="1" s="1"/>
  <c r="O207" i="1"/>
  <c r="P207" i="1" s="1"/>
  <c r="Q207" i="1" s="1"/>
  <c r="J208" i="12" s="1"/>
  <c r="C22" i="16"/>
  <c r="L22" i="16" s="1"/>
  <c r="D22" i="16"/>
  <c r="K22" i="16" s="1"/>
  <c r="E22" i="16"/>
  <c r="J22" i="16" s="1"/>
  <c r="F22" i="16"/>
  <c r="G22" i="16"/>
  <c r="H22" i="16" s="1"/>
  <c r="B23" i="16"/>
  <c r="B24" i="16"/>
  <c r="F24" i="16"/>
  <c r="I24" i="16" s="1"/>
  <c r="B25" i="16"/>
  <c r="C25" i="16" s="1"/>
  <c r="L25" i="16" s="1"/>
  <c r="B26" i="16"/>
  <c r="E26" i="16"/>
  <c r="J26" i="16" s="1"/>
  <c r="B27" i="16"/>
  <c r="F27" i="16"/>
  <c r="I27" i="16" s="1"/>
  <c r="N12" i="9"/>
  <c r="B21" i="10" s="1"/>
  <c r="B9" i="10" l="1"/>
  <c r="B24" i="10"/>
  <c r="B26" i="10" s="1"/>
  <c r="B8" i="10"/>
  <c r="Q18" i="1"/>
  <c r="J19" i="12" s="1"/>
  <c r="F21" i="3"/>
  <c r="M16" i="1"/>
  <c r="P197" i="6"/>
  <c r="Q197" i="6" s="1"/>
  <c r="J198" i="11" s="1"/>
  <c r="P165" i="6"/>
  <c r="Q165" i="6" s="1"/>
  <c r="J166" i="11" s="1"/>
  <c r="P133" i="6"/>
  <c r="Q133" i="6" s="1"/>
  <c r="J134" i="11" s="1"/>
  <c r="P101" i="6"/>
  <c r="Q101" i="6" s="1"/>
  <c r="J102" i="11" s="1"/>
  <c r="P69" i="6"/>
  <c r="Q69" i="6" s="1"/>
  <c r="J70" i="11" s="1"/>
  <c r="P37" i="6"/>
  <c r="Q37" i="6" s="1"/>
  <c r="J38" i="11" s="1"/>
  <c r="K180" i="3"/>
  <c r="K148" i="3"/>
  <c r="K116" i="3"/>
  <c r="K84" i="3"/>
  <c r="K52" i="3"/>
  <c r="G50" i="12" s="1"/>
  <c r="H50" i="12" s="1"/>
  <c r="P189" i="6"/>
  <c r="Q189" i="6" s="1"/>
  <c r="J190" i="11" s="1"/>
  <c r="P157" i="6"/>
  <c r="Q157" i="6" s="1"/>
  <c r="J158" i="11" s="1"/>
  <c r="P125" i="6"/>
  <c r="Q125" i="6" s="1"/>
  <c r="J126" i="11" s="1"/>
  <c r="P93" i="6"/>
  <c r="Q93" i="6" s="1"/>
  <c r="J94" i="11" s="1"/>
  <c r="P61" i="6"/>
  <c r="Q61" i="6" s="1"/>
  <c r="J62" i="11" s="1"/>
  <c r="K204" i="3"/>
  <c r="K172" i="3"/>
  <c r="K140" i="3"/>
  <c r="K108" i="3"/>
  <c r="K76" i="3"/>
  <c r="K44" i="3"/>
  <c r="G42" i="12" s="1"/>
  <c r="H42" i="12" s="1"/>
  <c r="I42" i="12" s="1"/>
  <c r="F42" i="13" s="1"/>
  <c r="M14" i="1"/>
  <c r="Q14" i="1"/>
  <c r="J15" i="12" s="1"/>
  <c r="Q17" i="1"/>
  <c r="J18" i="12" s="1"/>
  <c r="P177" i="6"/>
  <c r="Q177" i="6" s="1"/>
  <c r="J178" i="11" s="1"/>
  <c r="P145" i="6"/>
  <c r="Q145" i="6" s="1"/>
  <c r="J146" i="11" s="1"/>
  <c r="P113" i="6"/>
  <c r="Q113" i="6" s="1"/>
  <c r="J114" i="11" s="1"/>
  <c r="P81" i="6"/>
  <c r="Q81" i="6" s="1"/>
  <c r="J82" i="11" s="1"/>
  <c r="P49" i="6"/>
  <c r="Q49" i="6" s="1"/>
  <c r="J50" i="11" s="1"/>
  <c r="K32" i="3"/>
  <c r="G30" i="12" s="1"/>
  <c r="H30" i="12" s="1"/>
  <c r="K188" i="3"/>
  <c r="K156" i="3"/>
  <c r="K124" i="3"/>
  <c r="K92" i="3"/>
  <c r="K60" i="3"/>
  <c r="G58" i="12" s="1"/>
  <c r="H58" i="12" s="1"/>
  <c r="K28" i="3"/>
  <c r="G26" i="12" s="1"/>
  <c r="H26" i="12" s="1"/>
  <c r="Q13" i="1"/>
  <c r="J14" i="12" s="1"/>
  <c r="Q12" i="1"/>
  <c r="J13" i="12" s="1"/>
  <c r="Q11" i="1"/>
  <c r="J12" i="12" s="1"/>
  <c r="Q10" i="1"/>
  <c r="J11" i="12" s="1"/>
  <c r="M17" i="1"/>
  <c r="F17" i="3"/>
  <c r="M15" i="1"/>
  <c r="M13" i="1"/>
  <c r="M12" i="1"/>
  <c r="F16" i="3"/>
  <c r="G14" i="12"/>
  <c r="H14" i="12" s="1"/>
  <c r="M10" i="1"/>
  <c r="M11" i="1"/>
  <c r="F15" i="3"/>
  <c r="F19" i="3"/>
  <c r="F20" i="3"/>
  <c r="G18" i="12"/>
  <c r="H18" i="12" s="1"/>
  <c r="I18" i="12" s="1"/>
  <c r="F18" i="13" s="1"/>
  <c r="F18" i="3"/>
  <c r="F14" i="3"/>
  <c r="C24" i="16"/>
  <c r="T4" i="6" s="1"/>
  <c r="F25" i="16"/>
  <c r="I25" i="16" s="1"/>
  <c r="P207" i="6"/>
  <c r="Q207" i="6" s="1"/>
  <c r="J208" i="11" s="1"/>
  <c r="P199" i="6"/>
  <c r="Q199" i="6" s="1"/>
  <c r="J200" i="11" s="1"/>
  <c r="P191" i="6"/>
  <c r="Q191" i="6" s="1"/>
  <c r="J192" i="11" s="1"/>
  <c r="P183" i="6"/>
  <c r="Q183" i="6" s="1"/>
  <c r="J184" i="11" s="1"/>
  <c r="P175" i="6"/>
  <c r="Q175" i="6" s="1"/>
  <c r="J176" i="11" s="1"/>
  <c r="P167" i="6"/>
  <c r="Q167" i="6" s="1"/>
  <c r="J168" i="11" s="1"/>
  <c r="P159" i="6"/>
  <c r="Q159" i="6" s="1"/>
  <c r="J160" i="11" s="1"/>
  <c r="P151" i="6"/>
  <c r="Q151" i="6" s="1"/>
  <c r="J152" i="11" s="1"/>
  <c r="P143" i="6"/>
  <c r="Q143" i="6" s="1"/>
  <c r="J144" i="11" s="1"/>
  <c r="P135" i="6"/>
  <c r="Q135" i="6" s="1"/>
  <c r="J136" i="11" s="1"/>
  <c r="P127" i="6"/>
  <c r="Q127" i="6" s="1"/>
  <c r="J128" i="11" s="1"/>
  <c r="P119" i="6"/>
  <c r="Q119" i="6" s="1"/>
  <c r="J120" i="11" s="1"/>
  <c r="P111" i="6"/>
  <c r="Q111" i="6" s="1"/>
  <c r="J112" i="11" s="1"/>
  <c r="P103" i="6"/>
  <c r="Q103" i="6" s="1"/>
  <c r="J104" i="11" s="1"/>
  <c r="P95" i="6"/>
  <c r="Q95" i="6" s="1"/>
  <c r="J96" i="11" s="1"/>
  <c r="P87" i="6"/>
  <c r="Q87" i="6" s="1"/>
  <c r="J88" i="11" s="1"/>
  <c r="P79" i="6"/>
  <c r="Q79" i="6" s="1"/>
  <c r="J80" i="11" s="1"/>
  <c r="P71" i="6"/>
  <c r="Q71" i="6" s="1"/>
  <c r="J72" i="11" s="1"/>
  <c r="P63" i="6"/>
  <c r="Q63" i="6" s="1"/>
  <c r="J64" i="11" s="1"/>
  <c r="P55" i="6"/>
  <c r="Q55" i="6" s="1"/>
  <c r="J56" i="11" s="1"/>
  <c r="P47" i="6"/>
  <c r="Q47" i="6" s="1"/>
  <c r="J48" i="11" s="1"/>
  <c r="P39" i="6"/>
  <c r="Q39" i="6" s="1"/>
  <c r="J40" i="11" s="1"/>
  <c r="K206" i="3"/>
  <c r="K198" i="3"/>
  <c r="K190" i="3"/>
  <c r="K182" i="3"/>
  <c r="K174" i="3"/>
  <c r="K166" i="3"/>
  <c r="G164" i="12" s="1"/>
  <c r="H164" i="12" s="1"/>
  <c r="I164" i="12" s="1"/>
  <c r="F164" i="13" s="1"/>
  <c r="K158" i="3"/>
  <c r="K150" i="3"/>
  <c r="K142" i="3"/>
  <c r="K134" i="3"/>
  <c r="K126" i="3"/>
  <c r="K118" i="3"/>
  <c r="K110" i="3"/>
  <c r="K102" i="3"/>
  <c r="G100" i="12" s="1"/>
  <c r="H100" i="12" s="1"/>
  <c r="I100" i="12" s="1"/>
  <c r="F100" i="13" s="1"/>
  <c r="K94" i="3"/>
  <c r="K86" i="3"/>
  <c r="K78" i="3"/>
  <c r="K70" i="3"/>
  <c r="K62" i="3"/>
  <c r="G60" i="12" s="1"/>
  <c r="H60" i="12" s="1"/>
  <c r="K54" i="3"/>
  <c r="G52" i="12" s="1"/>
  <c r="H52" i="12" s="1"/>
  <c r="K46" i="3"/>
  <c r="G44" i="12" s="1"/>
  <c r="H44" i="12" s="1"/>
  <c r="K38" i="3"/>
  <c r="G36" i="12" s="1"/>
  <c r="H36" i="12" s="1"/>
  <c r="I36" i="12" s="1"/>
  <c r="F36" i="13" s="1"/>
  <c r="K30" i="3"/>
  <c r="G28" i="12" s="1"/>
  <c r="H28" i="12" s="1"/>
  <c r="K22" i="3"/>
  <c r="G20" i="12" s="1"/>
  <c r="H20" i="12" s="1"/>
  <c r="G12" i="12"/>
  <c r="H12" i="12" s="1"/>
  <c r="M9" i="6"/>
  <c r="P203" i="6"/>
  <c r="Q203" i="6" s="1"/>
  <c r="J204" i="11" s="1"/>
  <c r="P195" i="6"/>
  <c r="Q195" i="6" s="1"/>
  <c r="J196" i="11" s="1"/>
  <c r="P187" i="6"/>
  <c r="Q187" i="6" s="1"/>
  <c r="J188" i="11" s="1"/>
  <c r="P179" i="6"/>
  <c r="Q179" i="6" s="1"/>
  <c r="J180" i="11" s="1"/>
  <c r="P171" i="6"/>
  <c r="Q171" i="6" s="1"/>
  <c r="J172" i="11" s="1"/>
  <c r="P163" i="6"/>
  <c r="Q163" i="6" s="1"/>
  <c r="J164" i="11" s="1"/>
  <c r="P155" i="6"/>
  <c r="Q155" i="6" s="1"/>
  <c r="J156" i="11" s="1"/>
  <c r="P147" i="6"/>
  <c r="Q147" i="6" s="1"/>
  <c r="J148" i="11" s="1"/>
  <c r="P139" i="6"/>
  <c r="Q139" i="6" s="1"/>
  <c r="J140" i="11" s="1"/>
  <c r="P131" i="6"/>
  <c r="Q131" i="6" s="1"/>
  <c r="J132" i="11" s="1"/>
  <c r="P123" i="6"/>
  <c r="Q123" i="6" s="1"/>
  <c r="J124" i="11" s="1"/>
  <c r="P115" i="6"/>
  <c r="Q115" i="6" s="1"/>
  <c r="J116" i="11" s="1"/>
  <c r="P107" i="6"/>
  <c r="Q107" i="6" s="1"/>
  <c r="J108" i="11" s="1"/>
  <c r="P99" i="6"/>
  <c r="Q99" i="6" s="1"/>
  <c r="J100" i="11" s="1"/>
  <c r="P91" i="6"/>
  <c r="Q91" i="6" s="1"/>
  <c r="J92" i="11" s="1"/>
  <c r="P83" i="6"/>
  <c r="Q83" i="6" s="1"/>
  <c r="J84" i="11" s="1"/>
  <c r="P75" i="6"/>
  <c r="Q75" i="6" s="1"/>
  <c r="J76" i="11" s="1"/>
  <c r="P67" i="6"/>
  <c r="Q67" i="6" s="1"/>
  <c r="J68" i="11" s="1"/>
  <c r="P59" i="6"/>
  <c r="Q59" i="6" s="1"/>
  <c r="J60" i="11" s="1"/>
  <c r="P51" i="6"/>
  <c r="Q51" i="6" s="1"/>
  <c r="J52" i="11" s="1"/>
  <c r="P43" i="6"/>
  <c r="Q43" i="6" s="1"/>
  <c r="J44" i="11" s="1"/>
  <c r="P35" i="6"/>
  <c r="Q35" i="6" s="1"/>
  <c r="J36" i="11" s="1"/>
  <c r="K210" i="3"/>
  <c r="K202" i="3"/>
  <c r="K194" i="3"/>
  <c r="K186" i="3"/>
  <c r="K178" i="3"/>
  <c r="K170" i="3"/>
  <c r="G168" i="12" s="1"/>
  <c r="H168" i="12" s="1"/>
  <c r="I168" i="12" s="1"/>
  <c r="F168" i="13" s="1"/>
  <c r="K162" i="3"/>
  <c r="K154" i="3"/>
  <c r="K146" i="3"/>
  <c r="K138" i="3"/>
  <c r="K130" i="3"/>
  <c r="K122" i="3"/>
  <c r="K114" i="3"/>
  <c r="K106" i="3"/>
  <c r="G104" i="12" s="1"/>
  <c r="H104" i="12" s="1"/>
  <c r="I104" i="12" s="1"/>
  <c r="F104" i="13" s="1"/>
  <c r="K98" i="3"/>
  <c r="K90" i="3"/>
  <c r="K82" i="3"/>
  <c r="K74" i="3"/>
  <c r="K66" i="3"/>
  <c r="K58" i="3"/>
  <c r="G56" i="12" s="1"/>
  <c r="H56" i="12" s="1"/>
  <c r="K50" i="3"/>
  <c r="G48" i="12" s="1"/>
  <c r="H48" i="12" s="1"/>
  <c r="K42" i="3"/>
  <c r="G40" i="12" s="1"/>
  <c r="H40" i="12" s="1"/>
  <c r="I40" i="12" s="1"/>
  <c r="F40" i="13" s="1"/>
  <c r="K34" i="3"/>
  <c r="G32" i="12" s="1"/>
  <c r="H32" i="12" s="1"/>
  <c r="K26" i="3"/>
  <c r="G24" i="12" s="1"/>
  <c r="H24" i="12" s="1"/>
  <c r="G16" i="12"/>
  <c r="H16" i="12" s="1"/>
  <c r="C26" i="16"/>
  <c r="L26" i="16" s="1"/>
  <c r="C23" i="16"/>
  <c r="L23" i="16" s="1"/>
  <c r="Q9" i="1"/>
  <c r="J10" i="12" s="1"/>
  <c r="F13" i="3"/>
  <c r="M9" i="1"/>
  <c r="G10" i="12"/>
  <c r="H10" i="12" s="1"/>
  <c r="I10" i="12" s="1"/>
  <c r="F10" i="13" s="1"/>
  <c r="F12" i="3"/>
  <c r="K209" i="15"/>
  <c r="P206" i="6"/>
  <c r="Q206" i="6" s="1"/>
  <c r="J207" i="11" s="1"/>
  <c r="K205" i="15"/>
  <c r="P202" i="6"/>
  <c r="Q202" i="6" s="1"/>
  <c r="J203" i="11" s="1"/>
  <c r="K201" i="15"/>
  <c r="P198" i="6"/>
  <c r="Q198" i="6" s="1"/>
  <c r="J199" i="11" s="1"/>
  <c r="K197" i="15"/>
  <c r="P194" i="6"/>
  <c r="Q194" i="6" s="1"/>
  <c r="J195" i="11" s="1"/>
  <c r="K193" i="15"/>
  <c r="P190" i="6"/>
  <c r="Q190" i="6" s="1"/>
  <c r="J191" i="11" s="1"/>
  <c r="K189" i="15"/>
  <c r="P186" i="6"/>
  <c r="Q186" i="6" s="1"/>
  <c r="J187" i="11" s="1"/>
  <c r="K185" i="15"/>
  <c r="P182" i="6"/>
  <c r="Q182" i="6" s="1"/>
  <c r="J183" i="11" s="1"/>
  <c r="K181" i="15"/>
  <c r="P178" i="6"/>
  <c r="Q178" i="6" s="1"/>
  <c r="J179" i="11" s="1"/>
  <c r="K177" i="15"/>
  <c r="P174" i="6"/>
  <c r="Q174" i="6" s="1"/>
  <c r="J175" i="11" s="1"/>
  <c r="K173" i="15"/>
  <c r="P170" i="6"/>
  <c r="Q170" i="6" s="1"/>
  <c r="J171" i="11" s="1"/>
  <c r="K169" i="15"/>
  <c r="P166" i="6"/>
  <c r="Q166" i="6" s="1"/>
  <c r="J167" i="11" s="1"/>
  <c r="K165" i="15"/>
  <c r="P162" i="6"/>
  <c r="Q162" i="6" s="1"/>
  <c r="J163" i="11" s="1"/>
  <c r="K161" i="15"/>
  <c r="P158" i="6"/>
  <c r="Q158" i="6" s="1"/>
  <c r="J159" i="11" s="1"/>
  <c r="K157" i="15"/>
  <c r="P154" i="6"/>
  <c r="Q154" i="6" s="1"/>
  <c r="J155" i="11" s="1"/>
  <c r="K153" i="15"/>
  <c r="P150" i="6"/>
  <c r="Q150" i="6" s="1"/>
  <c r="J151" i="11" s="1"/>
  <c r="K149" i="15"/>
  <c r="P146" i="6"/>
  <c r="Q146" i="6" s="1"/>
  <c r="J147" i="11" s="1"/>
  <c r="K145" i="15"/>
  <c r="P142" i="6"/>
  <c r="Q142" i="6" s="1"/>
  <c r="J143" i="11" s="1"/>
  <c r="K141" i="15"/>
  <c r="P138" i="6"/>
  <c r="Q138" i="6" s="1"/>
  <c r="J139" i="11" s="1"/>
  <c r="K137" i="15"/>
  <c r="P134" i="6"/>
  <c r="Q134" i="6" s="1"/>
  <c r="J135" i="11" s="1"/>
  <c r="K133" i="15"/>
  <c r="P130" i="6"/>
  <c r="Q130" i="6" s="1"/>
  <c r="J131" i="11" s="1"/>
  <c r="K129" i="15"/>
  <c r="P126" i="6"/>
  <c r="Q126" i="6" s="1"/>
  <c r="J127" i="11" s="1"/>
  <c r="K125" i="15"/>
  <c r="P122" i="6"/>
  <c r="Q122" i="6" s="1"/>
  <c r="J123" i="11" s="1"/>
  <c r="K121" i="15"/>
  <c r="P118" i="6"/>
  <c r="Q118" i="6" s="1"/>
  <c r="J119" i="11" s="1"/>
  <c r="K117" i="15"/>
  <c r="P114" i="6"/>
  <c r="Q114" i="6" s="1"/>
  <c r="J115" i="11" s="1"/>
  <c r="K113" i="15"/>
  <c r="P110" i="6"/>
  <c r="Q110" i="6" s="1"/>
  <c r="J111" i="11" s="1"/>
  <c r="K109" i="15"/>
  <c r="P106" i="6"/>
  <c r="Q106" i="6" s="1"/>
  <c r="J107" i="11" s="1"/>
  <c r="K105" i="15"/>
  <c r="P102" i="6"/>
  <c r="Q102" i="6" s="1"/>
  <c r="J103" i="11" s="1"/>
  <c r="K101" i="15"/>
  <c r="P98" i="6"/>
  <c r="Q98" i="6" s="1"/>
  <c r="J99" i="11" s="1"/>
  <c r="K97" i="15"/>
  <c r="P94" i="6"/>
  <c r="Q94" i="6" s="1"/>
  <c r="J95" i="11" s="1"/>
  <c r="K93" i="15"/>
  <c r="P90" i="6"/>
  <c r="Q90" i="6" s="1"/>
  <c r="J91" i="11" s="1"/>
  <c r="K89" i="15"/>
  <c r="P86" i="6"/>
  <c r="Q86" i="6" s="1"/>
  <c r="J87" i="11" s="1"/>
  <c r="K85" i="15"/>
  <c r="P82" i="6"/>
  <c r="Q82" i="6" s="1"/>
  <c r="J83" i="11" s="1"/>
  <c r="K81" i="15"/>
  <c r="P78" i="6"/>
  <c r="Q78" i="6" s="1"/>
  <c r="J79" i="11" s="1"/>
  <c r="K77" i="15"/>
  <c r="P74" i="6"/>
  <c r="Q74" i="6" s="1"/>
  <c r="J75" i="11" s="1"/>
  <c r="K73" i="15"/>
  <c r="P70" i="6"/>
  <c r="Q70" i="6" s="1"/>
  <c r="J71" i="11" s="1"/>
  <c r="K69" i="15"/>
  <c r="P66" i="6"/>
  <c r="Q66" i="6" s="1"/>
  <c r="J67" i="11" s="1"/>
  <c r="K65" i="15"/>
  <c r="P62" i="6"/>
  <c r="Q62" i="6" s="1"/>
  <c r="J63" i="11" s="1"/>
  <c r="K61" i="15"/>
  <c r="P58" i="6"/>
  <c r="Q58" i="6" s="1"/>
  <c r="J59" i="11" s="1"/>
  <c r="K57" i="15"/>
  <c r="P54" i="6"/>
  <c r="Q54" i="6" s="1"/>
  <c r="J55" i="11" s="1"/>
  <c r="K53" i="15"/>
  <c r="P50" i="6"/>
  <c r="Q50" i="6" s="1"/>
  <c r="J51" i="11" s="1"/>
  <c r="K49" i="15"/>
  <c r="P46" i="6"/>
  <c r="Q46" i="6" s="1"/>
  <c r="J47" i="11" s="1"/>
  <c r="K45" i="15"/>
  <c r="P42" i="6"/>
  <c r="Q42" i="6" s="1"/>
  <c r="J43" i="11" s="1"/>
  <c r="K41" i="15"/>
  <c r="P38" i="6"/>
  <c r="Q38" i="6" s="1"/>
  <c r="J39" i="11" s="1"/>
  <c r="K37" i="15"/>
  <c r="P34" i="6"/>
  <c r="Q34" i="6" s="1"/>
  <c r="J35" i="11" s="1"/>
  <c r="M8" i="6"/>
  <c r="F207" i="12"/>
  <c r="K209" i="3"/>
  <c r="F203" i="12"/>
  <c r="K205" i="3"/>
  <c r="F199" i="12"/>
  <c r="I199" i="12" s="1"/>
  <c r="F199" i="13" s="1"/>
  <c r="K201" i="3"/>
  <c r="F195" i="12"/>
  <c r="K197" i="3"/>
  <c r="F191" i="12"/>
  <c r="K193" i="3"/>
  <c r="F187" i="12"/>
  <c r="K189" i="3"/>
  <c r="F183" i="12"/>
  <c r="I183" i="12" s="1"/>
  <c r="F183" i="13" s="1"/>
  <c r="K185" i="3"/>
  <c r="F179" i="12"/>
  <c r="K181" i="3"/>
  <c r="F175" i="12"/>
  <c r="K177" i="3"/>
  <c r="G24" i="16"/>
  <c r="H24" i="16" s="1"/>
  <c r="F23" i="16"/>
  <c r="I23" i="16" s="1"/>
  <c r="P5" i="1"/>
  <c r="B8" i="7" s="1"/>
  <c r="C8" i="7" s="1"/>
  <c r="F11" i="10" s="1"/>
  <c r="F11" i="3"/>
  <c r="M8" i="1"/>
  <c r="K207" i="15"/>
  <c r="P204" i="6"/>
  <c r="Q204" i="6" s="1"/>
  <c r="J205" i="11" s="1"/>
  <c r="K203" i="15"/>
  <c r="P200" i="6"/>
  <c r="Q200" i="6" s="1"/>
  <c r="J201" i="11" s="1"/>
  <c r="K199" i="15"/>
  <c r="P196" i="6"/>
  <c r="Q196" i="6" s="1"/>
  <c r="J197" i="11" s="1"/>
  <c r="K195" i="15"/>
  <c r="P192" i="6"/>
  <c r="Q192" i="6" s="1"/>
  <c r="J193" i="11" s="1"/>
  <c r="K191" i="15"/>
  <c r="P188" i="6"/>
  <c r="Q188" i="6" s="1"/>
  <c r="J189" i="11" s="1"/>
  <c r="K187" i="15"/>
  <c r="P184" i="6"/>
  <c r="Q184" i="6" s="1"/>
  <c r="J185" i="11" s="1"/>
  <c r="K183" i="15"/>
  <c r="P180" i="6"/>
  <c r="Q180" i="6" s="1"/>
  <c r="J181" i="11" s="1"/>
  <c r="K179" i="15"/>
  <c r="P176" i="6"/>
  <c r="Q176" i="6" s="1"/>
  <c r="J177" i="11" s="1"/>
  <c r="K175" i="15"/>
  <c r="P172" i="6"/>
  <c r="Q172" i="6" s="1"/>
  <c r="J173" i="11" s="1"/>
  <c r="K171" i="15"/>
  <c r="P168" i="6"/>
  <c r="Q168" i="6" s="1"/>
  <c r="J169" i="11" s="1"/>
  <c r="K167" i="15"/>
  <c r="P164" i="6"/>
  <c r="Q164" i="6" s="1"/>
  <c r="J165" i="11" s="1"/>
  <c r="K163" i="15"/>
  <c r="P160" i="6"/>
  <c r="Q160" i="6" s="1"/>
  <c r="J161" i="11" s="1"/>
  <c r="K159" i="15"/>
  <c r="P156" i="6"/>
  <c r="Q156" i="6" s="1"/>
  <c r="J157" i="11" s="1"/>
  <c r="K155" i="15"/>
  <c r="P152" i="6"/>
  <c r="Q152" i="6" s="1"/>
  <c r="J153" i="11" s="1"/>
  <c r="K151" i="15"/>
  <c r="P148" i="6"/>
  <c r="Q148" i="6" s="1"/>
  <c r="J149" i="11" s="1"/>
  <c r="K147" i="15"/>
  <c r="P144" i="6"/>
  <c r="Q144" i="6" s="1"/>
  <c r="J145" i="11" s="1"/>
  <c r="K143" i="15"/>
  <c r="P140" i="6"/>
  <c r="Q140" i="6" s="1"/>
  <c r="J141" i="11" s="1"/>
  <c r="K139" i="15"/>
  <c r="P136" i="6"/>
  <c r="Q136" i="6" s="1"/>
  <c r="J137" i="11" s="1"/>
  <c r="K135" i="15"/>
  <c r="P132" i="6"/>
  <c r="Q132" i="6" s="1"/>
  <c r="J133" i="11" s="1"/>
  <c r="K131" i="15"/>
  <c r="P128" i="6"/>
  <c r="Q128" i="6" s="1"/>
  <c r="J129" i="11" s="1"/>
  <c r="K127" i="15"/>
  <c r="P124" i="6"/>
  <c r="Q124" i="6" s="1"/>
  <c r="J125" i="11" s="1"/>
  <c r="K123" i="15"/>
  <c r="P120" i="6"/>
  <c r="Q120" i="6" s="1"/>
  <c r="J121" i="11" s="1"/>
  <c r="K119" i="15"/>
  <c r="P116" i="6"/>
  <c r="Q116" i="6" s="1"/>
  <c r="J117" i="11" s="1"/>
  <c r="K115" i="15"/>
  <c r="P112" i="6"/>
  <c r="Q112" i="6" s="1"/>
  <c r="J113" i="11" s="1"/>
  <c r="K111" i="15"/>
  <c r="P108" i="6"/>
  <c r="Q108" i="6" s="1"/>
  <c r="J109" i="11" s="1"/>
  <c r="K107" i="15"/>
  <c r="P104" i="6"/>
  <c r="Q104" i="6" s="1"/>
  <c r="J105" i="11" s="1"/>
  <c r="K103" i="15"/>
  <c r="P100" i="6"/>
  <c r="Q100" i="6" s="1"/>
  <c r="J101" i="11" s="1"/>
  <c r="K99" i="15"/>
  <c r="P96" i="6"/>
  <c r="Q96" i="6" s="1"/>
  <c r="J97" i="11" s="1"/>
  <c r="K95" i="15"/>
  <c r="P92" i="6"/>
  <c r="Q92" i="6" s="1"/>
  <c r="J93" i="11" s="1"/>
  <c r="K91" i="15"/>
  <c r="P88" i="6"/>
  <c r="Q88" i="6" s="1"/>
  <c r="J89" i="11" s="1"/>
  <c r="K87" i="15"/>
  <c r="P84" i="6"/>
  <c r="Q84" i="6" s="1"/>
  <c r="J85" i="11" s="1"/>
  <c r="K83" i="15"/>
  <c r="P80" i="6"/>
  <c r="Q80" i="6" s="1"/>
  <c r="J81" i="11" s="1"/>
  <c r="K79" i="15"/>
  <c r="P76" i="6"/>
  <c r="Q76" i="6" s="1"/>
  <c r="J77" i="11" s="1"/>
  <c r="K75" i="15"/>
  <c r="P72" i="6"/>
  <c r="Q72" i="6" s="1"/>
  <c r="J73" i="11" s="1"/>
  <c r="K71" i="15"/>
  <c r="P68" i="6"/>
  <c r="Q68" i="6" s="1"/>
  <c r="J69" i="11" s="1"/>
  <c r="K67" i="15"/>
  <c r="P64" i="6"/>
  <c r="Q64" i="6" s="1"/>
  <c r="J65" i="11" s="1"/>
  <c r="K63" i="15"/>
  <c r="P60" i="6"/>
  <c r="Q60" i="6" s="1"/>
  <c r="J61" i="11" s="1"/>
  <c r="K59" i="15"/>
  <c r="P56" i="6"/>
  <c r="Q56" i="6" s="1"/>
  <c r="J57" i="11" s="1"/>
  <c r="K55" i="15"/>
  <c r="P52" i="6"/>
  <c r="Q52" i="6" s="1"/>
  <c r="J53" i="11" s="1"/>
  <c r="K51" i="15"/>
  <c r="P48" i="6"/>
  <c r="Q48" i="6" s="1"/>
  <c r="J49" i="11" s="1"/>
  <c r="K47" i="15"/>
  <c r="P44" i="6"/>
  <c r="Q44" i="6" s="1"/>
  <c r="J45" i="11" s="1"/>
  <c r="K43" i="15"/>
  <c r="P40" i="6"/>
  <c r="Q40" i="6" s="1"/>
  <c r="J41" i="11" s="1"/>
  <c r="K39" i="15"/>
  <c r="P36" i="6"/>
  <c r="Q36" i="6" s="1"/>
  <c r="J37" i="11" s="1"/>
  <c r="F205" i="12"/>
  <c r="K207" i="3"/>
  <c r="G205" i="12" s="1"/>
  <c r="H205" i="12" s="1"/>
  <c r="I205" i="12" s="1"/>
  <c r="F205" i="13" s="1"/>
  <c r="F201" i="12"/>
  <c r="K203" i="3"/>
  <c r="G201" i="12" s="1"/>
  <c r="H201" i="12" s="1"/>
  <c r="I201" i="12" s="1"/>
  <c r="F201" i="13" s="1"/>
  <c r="F197" i="12"/>
  <c r="K199" i="3"/>
  <c r="G197" i="12" s="1"/>
  <c r="H197" i="12" s="1"/>
  <c r="I197" i="12" s="1"/>
  <c r="F197" i="13" s="1"/>
  <c r="F193" i="12"/>
  <c r="K195" i="3"/>
  <c r="G193" i="12" s="1"/>
  <c r="H193" i="12" s="1"/>
  <c r="I193" i="12" s="1"/>
  <c r="F193" i="13" s="1"/>
  <c r="F189" i="12"/>
  <c r="K191" i="3"/>
  <c r="G189" i="12" s="1"/>
  <c r="H189" i="12" s="1"/>
  <c r="I189" i="12" s="1"/>
  <c r="F189" i="13" s="1"/>
  <c r="F185" i="12"/>
  <c r="K187" i="3"/>
  <c r="G185" i="12" s="1"/>
  <c r="H185" i="12" s="1"/>
  <c r="I185" i="12" s="1"/>
  <c r="F185" i="13" s="1"/>
  <c r="F181" i="12"/>
  <c r="K183" i="3"/>
  <c r="G181" i="12" s="1"/>
  <c r="H181" i="12" s="1"/>
  <c r="I181" i="12" s="1"/>
  <c r="F181" i="13" s="1"/>
  <c r="F177" i="12"/>
  <c r="K179" i="3"/>
  <c r="G177" i="12" s="1"/>
  <c r="H177" i="12" s="1"/>
  <c r="I177" i="12" s="1"/>
  <c r="F177" i="13" s="1"/>
  <c r="F173" i="12"/>
  <c r="K175" i="3"/>
  <c r="G173" i="12" s="1"/>
  <c r="H173" i="12" s="1"/>
  <c r="I173" i="12" s="1"/>
  <c r="F173" i="13" s="1"/>
  <c r="F155" i="12"/>
  <c r="K157" i="3"/>
  <c r="G155" i="12" s="1"/>
  <c r="H155" i="12" s="1"/>
  <c r="I155" i="12" s="1"/>
  <c r="F155" i="13" s="1"/>
  <c r="F151" i="12"/>
  <c r="K153" i="3"/>
  <c r="G151" i="12" s="1"/>
  <c r="H151" i="12" s="1"/>
  <c r="I151" i="12" s="1"/>
  <c r="F151" i="13" s="1"/>
  <c r="F147" i="12"/>
  <c r="K149" i="3"/>
  <c r="G147" i="12" s="1"/>
  <c r="H147" i="12" s="1"/>
  <c r="I147" i="12" s="1"/>
  <c r="F147" i="13" s="1"/>
  <c r="F143" i="12"/>
  <c r="K145" i="3"/>
  <c r="G143" i="12" s="1"/>
  <c r="H143" i="12" s="1"/>
  <c r="I143" i="12" s="1"/>
  <c r="F143" i="13" s="1"/>
  <c r="F139" i="12"/>
  <c r="K141" i="3"/>
  <c r="G139" i="12" s="1"/>
  <c r="H139" i="12" s="1"/>
  <c r="F135" i="12"/>
  <c r="K137" i="3"/>
  <c r="G135" i="12" s="1"/>
  <c r="H135" i="12" s="1"/>
  <c r="I135" i="12" s="1"/>
  <c r="F135" i="13" s="1"/>
  <c r="F131" i="12"/>
  <c r="K133" i="3"/>
  <c r="G131" i="12" s="1"/>
  <c r="H131" i="12" s="1"/>
  <c r="I131" i="12" s="1"/>
  <c r="F131" i="13" s="1"/>
  <c r="F127" i="12"/>
  <c r="K129" i="3"/>
  <c r="G127" i="12" s="1"/>
  <c r="H127" i="12" s="1"/>
  <c r="I127" i="12" s="1"/>
  <c r="F127" i="13" s="1"/>
  <c r="F123" i="12"/>
  <c r="K125" i="3"/>
  <c r="G123" i="12" s="1"/>
  <c r="H123" i="12" s="1"/>
  <c r="I123" i="12" s="1"/>
  <c r="F123" i="13" s="1"/>
  <c r="F119" i="12"/>
  <c r="K121" i="3"/>
  <c r="G119" i="12" s="1"/>
  <c r="H119" i="12" s="1"/>
  <c r="I119" i="12" s="1"/>
  <c r="F119" i="13" s="1"/>
  <c r="F115" i="12"/>
  <c r="K117" i="3"/>
  <c r="G115" i="12" s="1"/>
  <c r="H115" i="12" s="1"/>
  <c r="I115" i="12" s="1"/>
  <c r="F115" i="13" s="1"/>
  <c r="F111" i="12"/>
  <c r="K113" i="3"/>
  <c r="G111" i="12" s="1"/>
  <c r="H111" i="12" s="1"/>
  <c r="I111" i="12" s="1"/>
  <c r="F111" i="13" s="1"/>
  <c r="F107" i="12"/>
  <c r="K109" i="3"/>
  <c r="G107" i="12" s="1"/>
  <c r="H107" i="12" s="1"/>
  <c r="F103" i="12"/>
  <c r="K105" i="3"/>
  <c r="G103" i="12" s="1"/>
  <c r="H103" i="12" s="1"/>
  <c r="I103" i="12" s="1"/>
  <c r="F103" i="13" s="1"/>
  <c r="F99" i="12"/>
  <c r="K101" i="3"/>
  <c r="G99" i="12" s="1"/>
  <c r="H99" i="12" s="1"/>
  <c r="I99" i="12" s="1"/>
  <c r="F99" i="13" s="1"/>
  <c r="F95" i="12"/>
  <c r="K97" i="3"/>
  <c r="G95" i="12" s="1"/>
  <c r="H95" i="12" s="1"/>
  <c r="I95" i="12" s="1"/>
  <c r="F95" i="13" s="1"/>
  <c r="F91" i="12"/>
  <c r="K93" i="3"/>
  <c r="G91" i="12" s="1"/>
  <c r="H91" i="12" s="1"/>
  <c r="I91" i="12" s="1"/>
  <c r="F91" i="13" s="1"/>
  <c r="F87" i="12"/>
  <c r="K89" i="3"/>
  <c r="G87" i="12" s="1"/>
  <c r="H87" i="12" s="1"/>
  <c r="I87" i="12" s="1"/>
  <c r="F87" i="13" s="1"/>
  <c r="F83" i="12"/>
  <c r="K85" i="3"/>
  <c r="G83" i="12" s="1"/>
  <c r="H83" i="12" s="1"/>
  <c r="I83" i="12" s="1"/>
  <c r="F83" i="13" s="1"/>
  <c r="F79" i="12"/>
  <c r="K81" i="3"/>
  <c r="G79" i="12" s="1"/>
  <c r="H79" i="12" s="1"/>
  <c r="I79" i="12" s="1"/>
  <c r="F79" i="13" s="1"/>
  <c r="F75" i="12"/>
  <c r="K77" i="3"/>
  <c r="G75" i="12" s="1"/>
  <c r="H75" i="12" s="1"/>
  <c r="F71" i="12"/>
  <c r="K73" i="3"/>
  <c r="G71" i="12" s="1"/>
  <c r="H71" i="12" s="1"/>
  <c r="I71" i="12" s="1"/>
  <c r="F71" i="13" s="1"/>
  <c r="F67" i="12"/>
  <c r="K69" i="3"/>
  <c r="G67" i="12" s="1"/>
  <c r="H67" i="12" s="1"/>
  <c r="I67" i="12" s="1"/>
  <c r="F67" i="13" s="1"/>
  <c r="F63" i="12"/>
  <c r="K65" i="3"/>
  <c r="G63" i="12" s="1"/>
  <c r="H63" i="12" s="1"/>
  <c r="I63" i="12" s="1"/>
  <c r="F63" i="13" s="1"/>
  <c r="F59" i="12"/>
  <c r="K61" i="3"/>
  <c r="G59" i="12" s="1"/>
  <c r="H59" i="12" s="1"/>
  <c r="F55" i="12"/>
  <c r="K57" i="3"/>
  <c r="G55" i="12" s="1"/>
  <c r="H55" i="12" s="1"/>
  <c r="F51" i="12"/>
  <c r="K53" i="3"/>
  <c r="G51" i="12" s="1"/>
  <c r="H51" i="12" s="1"/>
  <c r="I51" i="12" s="1"/>
  <c r="F51" i="13" s="1"/>
  <c r="F47" i="12"/>
  <c r="K49" i="3"/>
  <c r="G47" i="12" s="1"/>
  <c r="H47" i="12" s="1"/>
  <c r="F43" i="12"/>
  <c r="K45" i="3"/>
  <c r="G43" i="12" s="1"/>
  <c r="H43" i="12" s="1"/>
  <c r="F39" i="12"/>
  <c r="K41" i="3"/>
  <c r="G39" i="12" s="1"/>
  <c r="H39" i="12" s="1"/>
  <c r="F35" i="12"/>
  <c r="K37" i="3"/>
  <c r="G35" i="12" s="1"/>
  <c r="H35" i="12" s="1"/>
  <c r="I35" i="12" s="1"/>
  <c r="F35" i="13" s="1"/>
  <c r="F31" i="12"/>
  <c r="K33" i="3"/>
  <c r="G31" i="12" s="1"/>
  <c r="H31" i="12" s="1"/>
  <c r="F27" i="12"/>
  <c r="K29" i="3"/>
  <c r="G27" i="12" s="1"/>
  <c r="H27" i="12" s="1"/>
  <c r="F23" i="12"/>
  <c r="K25" i="3"/>
  <c r="G23" i="12" s="1"/>
  <c r="H23" i="12" s="1"/>
  <c r="F19" i="12"/>
  <c r="G19" i="12"/>
  <c r="H19" i="12" s="1"/>
  <c r="F15" i="12"/>
  <c r="G15" i="12"/>
  <c r="H15" i="12" s="1"/>
  <c r="I15" i="12" s="1"/>
  <c r="F15" i="13" s="1"/>
  <c r="F11" i="12"/>
  <c r="G11" i="12"/>
  <c r="H11" i="12" s="1"/>
  <c r="O5" i="1"/>
  <c r="E12" i="7" s="1"/>
  <c r="B12" i="7" s="1"/>
  <c r="E15" i="10" s="1"/>
  <c r="K173" i="3"/>
  <c r="G171" i="12" s="1"/>
  <c r="H171" i="12" s="1"/>
  <c r="I171" i="12" s="1"/>
  <c r="F171" i="13" s="1"/>
  <c r="K171" i="3"/>
  <c r="K169" i="3"/>
  <c r="G167" i="12" s="1"/>
  <c r="H167" i="12" s="1"/>
  <c r="I167" i="12" s="1"/>
  <c r="F167" i="13" s="1"/>
  <c r="K167" i="3"/>
  <c r="K165" i="3"/>
  <c r="G163" i="12" s="1"/>
  <c r="H163" i="12" s="1"/>
  <c r="I163" i="12" s="1"/>
  <c r="F163" i="13" s="1"/>
  <c r="K163" i="3"/>
  <c r="K161" i="3"/>
  <c r="G159" i="12" s="1"/>
  <c r="H159" i="12" s="1"/>
  <c r="I159" i="12" s="1"/>
  <c r="F159" i="13" s="1"/>
  <c r="F157" i="12"/>
  <c r="K159" i="3"/>
  <c r="G157" i="12" s="1"/>
  <c r="H157" i="12" s="1"/>
  <c r="F153" i="12"/>
  <c r="K155" i="3"/>
  <c r="G153" i="12" s="1"/>
  <c r="H153" i="12" s="1"/>
  <c r="I153" i="12" s="1"/>
  <c r="F153" i="13" s="1"/>
  <c r="F149" i="12"/>
  <c r="K151" i="3"/>
  <c r="G149" i="12" s="1"/>
  <c r="H149" i="12" s="1"/>
  <c r="I149" i="12" s="1"/>
  <c r="F149" i="13" s="1"/>
  <c r="F145" i="12"/>
  <c r="K147" i="3"/>
  <c r="G145" i="12" s="1"/>
  <c r="H145" i="12" s="1"/>
  <c r="I145" i="12" s="1"/>
  <c r="F145" i="13" s="1"/>
  <c r="F141" i="12"/>
  <c r="K143" i="3"/>
  <c r="G141" i="12" s="1"/>
  <c r="H141" i="12" s="1"/>
  <c r="I141" i="12" s="1"/>
  <c r="F141" i="13" s="1"/>
  <c r="F137" i="12"/>
  <c r="K139" i="3"/>
  <c r="G137" i="12" s="1"/>
  <c r="H137" i="12" s="1"/>
  <c r="I137" i="12" s="1"/>
  <c r="F137" i="13" s="1"/>
  <c r="F133" i="12"/>
  <c r="K135" i="3"/>
  <c r="G133" i="12" s="1"/>
  <c r="H133" i="12" s="1"/>
  <c r="I133" i="12" s="1"/>
  <c r="F133" i="13" s="1"/>
  <c r="F129" i="12"/>
  <c r="K131" i="3"/>
  <c r="G129" i="12" s="1"/>
  <c r="H129" i="12" s="1"/>
  <c r="I129" i="12" s="1"/>
  <c r="F129" i="13" s="1"/>
  <c r="F125" i="12"/>
  <c r="K127" i="3"/>
  <c r="G125" i="12" s="1"/>
  <c r="H125" i="12" s="1"/>
  <c r="I125" i="12" s="1"/>
  <c r="F125" i="13" s="1"/>
  <c r="F121" i="12"/>
  <c r="K123" i="3"/>
  <c r="G121" i="12" s="1"/>
  <c r="H121" i="12" s="1"/>
  <c r="I121" i="12" s="1"/>
  <c r="F121" i="13" s="1"/>
  <c r="F117" i="12"/>
  <c r="K119" i="3"/>
  <c r="G117" i="12" s="1"/>
  <c r="H117" i="12" s="1"/>
  <c r="I117" i="12" s="1"/>
  <c r="F117" i="13" s="1"/>
  <c r="F113" i="12"/>
  <c r="K115" i="3"/>
  <c r="G113" i="12" s="1"/>
  <c r="H113" i="12" s="1"/>
  <c r="F109" i="12"/>
  <c r="K111" i="3"/>
  <c r="G109" i="12" s="1"/>
  <c r="H109" i="12" s="1"/>
  <c r="I109" i="12" s="1"/>
  <c r="F109" i="13" s="1"/>
  <c r="F105" i="12"/>
  <c r="K107" i="3"/>
  <c r="G105" i="12" s="1"/>
  <c r="H105" i="12" s="1"/>
  <c r="I105" i="12" s="1"/>
  <c r="F105" i="13" s="1"/>
  <c r="F101" i="12"/>
  <c r="K103" i="3"/>
  <c r="G101" i="12" s="1"/>
  <c r="H101" i="12" s="1"/>
  <c r="I101" i="12" s="1"/>
  <c r="F101" i="13" s="1"/>
  <c r="F97" i="12"/>
  <c r="K99" i="3"/>
  <c r="G97" i="12" s="1"/>
  <c r="H97" i="12" s="1"/>
  <c r="I97" i="12" s="1"/>
  <c r="F97" i="13" s="1"/>
  <c r="F93" i="12"/>
  <c r="K95" i="3"/>
  <c r="G93" i="12" s="1"/>
  <c r="H93" i="12" s="1"/>
  <c r="F89" i="12"/>
  <c r="K91" i="3"/>
  <c r="G89" i="12" s="1"/>
  <c r="H89" i="12" s="1"/>
  <c r="I89" i="12" s="1"/>
  <c r="F89" i="13" s="1"/>
  <c r="F85" i="12"/>
  <c r="K87" i="3"/>
  <c r="G85" i="12" s="1"/>
  <c r="H85" i="12" s="1"/>
  <c r="I85" i="12" s="1"/>
  <c r="F85" i="13" s="1"/>
  <c r="F81" i="12"/>
  <c r="K83" i="3"/>
  <c r="G81" i="12" s="1"/>
  <c r="H81" i="12" s="1"/>
  <c r="I81" i="12" s="1"/>
  <c r="F81" i="13" s="1"/>
  <c r="F77" i="12"/>
  <c r="K79" i="3"/>
  <c r="G77" i="12" s="1"/>
  <c r="H77" i="12" s="1"/>
  <c r="I77" i="12" s="1"/>
  <c r="F77" i="13" s="1"/>
  <c r="F73" i="12"/>
  <c r="K75" i="3"/>
  <c r="G73" i="12" s="1"/>
  <c r="H73" i="12" s="1"/>
  <c r="I73" i="12" s="1"/>
  <c r="F73" i="13" s="1"/>
  <c r="F69" i="12"/>
  <c r="K71" i="3"/>
  <c r="G69" i="12" s="1"/>
  <c r="H69" i="12" s="1"/>
  <c r="F65" i="12"/>
  <c r="K67" i="3"/>
  <c r="G65" i="12" s="1"/>
  <c r="H65" i="12" s="1"/>
  <c r="I65" i="12" s="1"/>
  <c r="F65" i="13" s="1"/>
  <c r="F61" i="12"/>
  <c r="K63" i="3"/>
  <c r="G61" i="12" s="1"/>
  <c r="H61" i="12" s="1"/>
  <c r="F57" i="12"/>
  <c r="K59" i="3"/>
  <c r="G57" i="12" s="1"/>
  <c r="H57" i="12" s="1"/>
  <c r="I57" i="12" s="1"/>
  <c r="F57" i="13" s="1"/>
  <c r="F53" i="12"/>
  <c r="K55" i="3"/>
  <c r="G53" i="12" s="1"/>
  <c r="H53" i="12" s="1"/>
  <c r="F49" i="12"/>
  <c r="K51" i="3"/>
  <c r="G49" i="12" s="1"/>
  <c r="H49" i="12" s="1"/>
  <c r="F45" i="12"/>
  <c r="K47" i="3"/>
  <c r="G45" i="12" s="1"/>
  <c r="H45" i="12" s="1"/>
  <c r="F41" i="12"/>
  <c r="K43" i="3"/>
  <c r="G41" i="12" s="1"/>
  <c r="H41" i="12" s="1"/>
  <c r="I41" i="12" s="1"/>
  <c r="F41" i="13" s="1"/>
  <c r="F37" i="12"/>
  <c r="K39" i="3"/>
  <c r="G37" i="12" s="1"/>
  <c r="H37" i="12" s="1"/>
  <c r="F33" i="12"/>
  <c r="K35" i="3"/>
  <c r="G33" i="12" s="1"/>
  <c r="H33" i="12" s="1"/>
  <c r="F29" i="12"/>
  <c r="K31" i="3"/>
  <c r="G29" i="12" s="1"/>
  <c r="H29" i="12" s="1"/>
  <c r="F25" i="12"/>
  <c r="K27" i="3"/>
  <c r="G25" i="12" s="1"/>
  <c r="H25" i="12" s="1"/>
  <c r="I25" i="12" s="1"/>
  <c r="F25" i="13" s="1"/>
  <c r="F21" i="12"/>
  <c r="K23" i="3"/>
  <c r="G21" i="12" s="1"/>
  <c r="H21" i="12" s="1"/>
  <c r="F17" i="12"/>
  <c r="G17" i="12"/>
  <c r="H17" i="12" s="1"/>
  <c r="I17" i="12" s="1"/>
  <c r="F17" i="13" s="1"/>
  <c r="F13" i="12"/>
  <c r="G13" i="12"/>
  <c r="H13" i="12" s="1"/>
  <c r="I13" i="12" s="1"/>
  <c r="F13" i="13" s="1"/>
  <c r="F9" i="12"/>
  <c r="G9" i="12"/>
  <c r="H9" i="12" s="1"/>
  <c r="D25" i="16"/>
  <c r="K25" i="16" s="1"/>
  <c r="D27" i="16"/>
  <c r="K27" i="16" s="1"/>
  <c r="D26" i="16"/>
  <c r="K26" i="16" s="1"/>
  <c r="E24" i="16"/>
  <c r="J24" i="16" s="1"/>
  <c r="I22" i="16"/>
  <c r="F26" i="16"/>
  <c r="I26" i="16" s="1"/>
  <c r="G26" i="16"/>
  <c r="H26" i="16" s="1"/>
  <c r="D24" i="16"/>
  <c r="K24" i="16" s="1"/>
  <c r="D23" i="16"/>
  <c r="K23" i="16" s="1"/>
  <c r="B10" i="10"/>
  <c r="G27" i="16"/>
  <c r="H27" i="16" s="1"/>
  <c r="E27" i="16"/>
  <c r="J27" i="16" s="1"/>
  <c r="C27" i="16"/>
  <c r="L27" i="16" s="1"/>
  <c r="G25" i="16"/>
  <c r="H25" i="16" s="1"/>
  <c r="E25" i="16"/>
  <c r="J25" i="16" s="1"/>
  <c r="L24" i="16"/>
  <c r="G23" i="16"/>
  <c r="E23" i="16"/>
  <c r="Q8" i="1"/>
  <c r="J9" i="12" s="1"/>
  <c r="T5" i="1"/>
  <c r="G208" i="11"/>
  <c r="H208" i="11" s="1"/>
  <c r="L210" i="15"/>
  <c r="G207" i="11"/>
  <c r="H207" i="11" s="1"/>
  <c r="L209" i="15"/>
  <c r="G206" i="11"/>
  <c r="H206" i="11" s="1"/>
  <c r="L208" i="15"/>
  <c r="G205" i="11"/>
  <c r="H205" i="11" s="1"/>
  <c r="L207" i="15"/>
  <c r="G204" i="11"/>
  <c r="H204" i="11" s="1"/>
  <c r="L206" i="15"/>
  <c r="G203" i="11"/>
  <c r="H203" i="11" s="1"/>
  <c r="L205" i="15"/>
  <c r="G202" i="11"/>
  <c r="H202" i="11" s="1"/>
  <c r="L204" i="15"/>
  <c r="G201" i="11"/>
  <c r="H201" i="11" s="1"/>
  <c r="L203" i="15"/>
  <c r="G200" i="11"/>
  <c r="H200" i="11" s="1"/>
  <c r="L202" i="15"/>
  <c r="G199" i="11"/>
  <c r="H199" i="11" s="1"/>
  <c r="L201" i="15"/>
  <c r="G198" i="11"/>
  <c r="H198" i="11" s="1"/>
  <c r="L200" i="15"/>
  <c r="G197" i="11"/>
  <c r="H197" i="11" s="1"/>
  <c r="L199" i="15"/>
  <c r="G196" i="11"/>
  <c r="H196" i="11" s="1"/>
  <c r="L198" i="15"/>
  <c r="G195" i="11"/>
  <c r="H195" i="11" s="1"/>
  <c r="L197" i="15"/>
  <c r="G194" i="11"/>
  <c r="H194" i="11" s="1"/>
  <c r="L196" i="15"/>
  <c r="G193" i="11"/>
  <c r="H193" i="11" s="1"/>
  <c r="L195" i="15"/>
  <c r="G192" i="11"/>
  <c r="H192" i="11" s="1"/>
  <c r="L194" i="15"/>
  <c r="G191" i="11"/>
  <c r="H191" i="11" s="1"/>
  <c r="L193" i="15"/>
  <c r="G190" i="11"/>
  <c r="H190" i="11" s="1"/>
  <c r="L192" i="15"/>
  <c r="G189" i="11"/>
  <c r="H189" i="11" s="1"/>
  <c r="L191" i="15"/>
  <c r="G188" i="11"/>
  <c r="H188" i="11" s="1"/>
  <c r="L190" i="15"/>
  <c r="G187" i="11"/>
  <c r="H187" i="11" s="1"/>
  <c r="L189" i="15"/>
  <c r="G186" i="11"/>
  <c r="H186" i="11" s="1"/>
  <c r="L188" i="15"/>
  <c r="G185" i="11"/>
  <c r="H185" i="11" s="1"/>
  <c r="L187" i="15"/>
  <c r="G184" i="11"/>
  <c r="H184" i="11" s="1"/>
  <c r="L186" i="15"/>
  <c r="G183" i="11"/>
  <c r="H183" i="11" s="1"/>
  <c r="L185" i="15"/>
  <c r="G182" i="11"/>
  <c r="H182" i="11" s="1"/>
  <c r="L184" i="15"/>
  <c r="G181" i="11"/>
  <c r="H181" i="11" s="1"/>
  <c r="L183" i="15"/>
  <c r="G180" i="11"/>
  <c r="H180" i="11" s="1"/>
  <c r="L182" i="15"/>
  <c r="G179" i="11"/>
  <c r="H179" i="11" s="1"/>
  <c r="L181" i="15"/>
  <c r="G178" i="11"/>
  <c r="H178" i="11" s="1"/>
  <c r="L180" i="15"/>
  <c r="G177" i="11"/>
  <c r="H177" i="11" s="1"/>
  <c r="L179" i="15"/>
  <c r="G176" i="11"/>
  <c r="H176" i="11" s="1"/>
  <c r="L178" i="15"/>
  <c r="G175" i="11"/>
  <c r="H175" i="11" s="1"/>
  <c r="L177" i="15"/>
  <c r="G174" i="11"/>
  <c r="H174" i="11" s="1"/>
  <c r="L176" i="15"/>
  <c r="G173" i="11"/>
  <c r="H173" i="11" s="1"/>
  <c r="L175" i="15"/>
  <c r="G172" i="11"/>
  <c r="H172" i="11" s="1"/>
  <c r="L174" i="15"/>
  <c r="G171" i="11"/>
  <c r="H171" i="11" s="1"/>
  <c r="L173" i="15"/>
  <c r="G170" i="11"/>
  <c r="H170" i="11" s="1"/>
  <c r="L172" i="15"/>
  <c r="G169" i="11"/>
  <c r="H169" i="11" s="1"/>
  <c r="L171" i="15"/>
  <c r="G168" i="11"/>
  <c r="H168" i="11" s="1"/>
  <c r="L170" i="15"/>
  <c r="G167" i="11"/>
  <c r="H167" i="11" s="1"/>
  <c r="L169" i="15"/>
  <c r="G166" i="11"/>
  <c r="H166" i="11" s="1"/>
  <c r="L168" i="15"/>
  <c r="G165" i="11"/>
  <c r="H165" i="11" s="1"/>
  <c r="L167" i="15"/>
  <c r="G164" i="11"/>
  <c r="H164" i="11" s="1"/>
  <c r="L166" i="15"/>
  <c r="G163" i="11"/>
  <c r="H163" i="11" s="1"/>
  <c r="L165" i="15"/>
  <c r="G162" i="11"/>
  <c r="H162" i="11" s="1"/>
  <c r="L164" i="15"/>
  <c r="G161" i="11"/>
  <c r="H161" i="11" s="1"/>
  <c r="L163" i="15"/>
  <c r="G160" i="11"/>
  <c r="H160" i="11" s="1"/>
  <c r="L162" i="15"/>
  <c r="G159" i="11"/>
  <c r="H159" i="11" s="1"/>
  <c r="L161" i="15"/>
  <c r="G158" i="11"/>
  <c r="H158" i="11" s="1"/>
  <c r="L160" i="15"/>
  <c r="G157" i="11"/>
  <c r="H157" i="11" s="1"/>
  <c r="L159" i="15"/>
  <c r="G156" i="11"/>
  <c r="H156" i="11" s="1"/>
  <c r="L158" i="15"/>
  <c r="G155" i="11"/>
  <c r="H155" i="11" s="1"/>
  <c r="L157" i="15"/>
  <c r="G154" i="11"/>
  <c r="H154" i="11" s="1"/>
  <c r="L156" i="15"/>
  <c r="G153" i="11"/>
  <c r="H153" i="11" s="1"/>
  <c r="L155" i="15"/>
  <c r="G152" i="11"/>
  <c r="H152" i="11" s="1"/>
  <c r="L154" i="15"/>
  <c r="G151" i="11"/>
  <c r="H151" i="11" s="1"/>
  <c r="L153" i="15"/>
  <c r="G150" i="11"/>
  <c r="H150" i="11" s="1"/>
  <c r="L152" i="15"/>
  <c r="G149" i="11"/>
  <c r="H149" i="11" s="1"/>
  <c r="L151" i="15"/>
  <c r="G148" i="11"/>
  <c r="H148" i="11" s="1"/>
  <c r="L150" i="15"/>
  <c r="G147" i="11"/>
  <c r="H147" i="11" s="1"/>
  <c r="L149" i="15"/>
  <c r="G146" i="11"/>
  <c r="H146" i="11" s="1"/>
  <c r="L148" i="15"/>
  <c r="G145" i="11"/>
  <c r="H145" i="11" s="1"/>
  <c r="L147" i="15"/>
  <c r="G144" i="11"/>
  <c r="H144" i="11" s="1"/>
  <c r="L146" i="15"/>
  <c r="G143" i="11"/>
  <c r="H143" i="11" s="1"/>
  <c r="L145" i="15"/>
  <c r="G142" i="11"/>
  <c r="H142" i="11" s="1"/>
  <c r="L144" i="15"/>
  <c r="G141" i="11"/>
  <c r="H141" i="11" s="1"/>
  <c r="L143" i="15"/>
  <c r="G140" i="11"/>
  <c r="H140" i="11" s="1"/>
  <c r="L142" i="15"/>
  <c r="G139" i="11"/>
  <c r="H139" i="11" s="1"/>
  <c r="L141" i="15"/>
  <c r="G138" i="11"/>
  <c r="H138" i="11" s="1"/>
  <c r="L140" i="15"/>
  <c r="G137" i="11"/>
  <c r="H137" i="11" s="1"/>
  <c r="L139" i="15"/>
  <c r="G136" i="11"/>
  <c r="H136" i="11" s="1"/>
  <c r="L138" i="15"/>
  <c r="G135" i="11"/>
  <c r="H135" i="11" s="1"/>
  <c r="L137" i="15"/>
  <c r="G134" i="11"/>
  <c r="H134" i="11" s="1"/>
  <c r="L136" i="15"/>
  <c r="G133" i="11"/>
  <c r="H133" i="11" s="1"/>
  <c r="L135" i="15"/>
  <c r="G132" i="11"/>
  <c r="H132" i="11" s="1"/>
  <c r="L134" i="15"/>
  <c r="G131" i="11"/>
  <c r="H131" i="11" s="1"/>
  <c r="L133" i="15"/>
  <c r="G130" i="11"/>
  <c r="H130" i="11" s="1"/>
  <c r="L132" i="15"/>
  <c r="G129" i="11"/>
  <c r="H129" i="11" s="1"/>
  <c r="L131" i="15"/>
  <c r="G128" i="11"/>
  <c r="H128" i="11" s="1"/>
  <c r="L130" i="15"/>
  <c r="G127" i="11"/>
  <c r="H127" i="11" s="1"/>
  <c r="L129" i="15"/>
  <c r="G126" i="11"/>
  <c r="H126" i="11" s="1"/>
  <c r="L128" i="15"/>
  <c r="G125" i="11"/>
  <c r="H125" i="11" s="1"/>
  <c r="L127" i="15"/>
  <c r="G124" i="11"/>
  <c r="H124" i="11" s="1"/>
  <c r="L126" i="15"/>
  <c r="G123" i="11"/>
  <c r="H123" i="11" s="1"/>
  <c r="L125" i="15"/>
  <c r="G122" i="11"/>
  <c r="H122" i="11" s="1"/>
  <c r="L124" i="15"/>
  <c r="G121" i="11"/>
  <c r="H121" i="11" s="1"/>
  <c r="L123" i="15"/>
  <c r="G120" i="11"/>
  <c r="H120" i="11" s="1"/>
  <c r="L122" i="15"/>
  <c r="G119" i="11"/>
  <c r="H119" i="11" s="1"/>
  <c r="L121" i="15"/>
  <c r="G118" i="11"/>
  <c r="H118" i="11" s="1"/>
  <c r="L120" i="15"/>
  <c r="G117" i="11"/>
  <c r="H117" i="11" s="1"/>
  <c r="L119" i="15"/>
  <c r="G116" i="11"/>
  <c r="H116" i="11" s="1"/>
  <c r="L118" i="15"/>
  <c r="G115" i="11"/>
  <c r="H115" i="11" s="1"/>
  <c r="L117" i="15"/>
  <c r="G114" i="11"/>
  <c r="H114" i="11" s="1"/>
  <c r="L116" i="15"/>
  <c r="G113" i="11"/>
  <c r="H113" i="11" s="1"/>
  <c r="L115" i="15"/>
  <c r="G112" i="11"/>
  <c r="H112" i="11" s="1"/>
  <c r="L114" i="15"/>
  <c r="G111" i="11"/>
  <c r="H111" i="11" s="1"/>
  <c r="L113" i="15"/>
  <c r="G110" i="11"/>
  <c r="H110" i="11" s="1"/>
  <c r="L112" i="15"/>
  <c r="G109" i="11"/>
  <c r="H109" i="11" s="1"/>
  <c r="L111" i="15"/>
  <c r="G108" i="11"/>
  <c r="H108" i="11" s="1"/>
  <c r="L110" i="15"/>
  <c r="G107" i="11"/>
  <c r="H107" i="11" s="1"/>
  <c r="L109" i="15"/>
  <c r="G106" i="11"/>
  <c r="H106" i="11" s="1"/>
  <c r="L108" i="15"/>
  <c r="G105" i="11"/>
  <c r="H105" i="11" s="1"/>
  <c r="L107" i="15"/>
  <c r="G104" i="11"/>
  <c r="H104" i="11" s="1"/>
  <c r="L106" i="15"/>
  <c r="G103" i="11"/>
  <c r="H103" i="11" s="1"/>
  <c r="L105" i="15"/>
  <c r="G102" i="11"/>
  <c r="H102" i="11" s="1"/>
  <c r="L104" i="15"/>
  <c r="G101" i="11"/>
  <c r="H101" i="11" s="1"/>
  <c r="L103" i="15"/>
  <c r="G100" i="11"/>
  <c r="H100" i="11" s="1"/>
  <c r="L102" i="15"/>
  <c r="G99" i="11"/>
  <c r="H99" i="11" s="1"/>
  <c r="L101" i="15"/>
  <c r="G98" i="11"/>
  <c r="H98" i="11" s="1"/>
  <c r="L100" i="15"/>
  <c r="G97" i="11"/>
  <c r="H97" i="11" s="1"/>
  <c r="L99" i="15"/>
  <c r="G96" i="11"/>
  <c r="H96" i="11" s="1"/>
  <c r="L98" i="15"/>
  <c r="G95" i="11"/>
  <c r="H95" i="11" s="1"/>
  <c r="L97" i="15"/>
  <c r="G94" i="11"/>
  <c r="H94" i="11" s="1"/>
  <c r="L96" i="15"/>
  <c r="G93" i="11"/>
  <c r="H93" i="11" s="1"/>
  <c r="L95" i="15"/>
  <c r="G92" i="11"/>
  <c r="H92" i="11" s="1"/>
  <c r="L94" i="15"/>
  <c r="G91" i="11"/>
  <c r="H91" i="11" s="1"/>
  <c r="L93" i="15"/>
  <c r="G90" i="11"/>
  <c r="H90" i="11" s="1"/>
  <c r="L92" i="15"/>
  <c r="G89" i="11"/>
  <c r="H89" i="11" s="1"/>
  <c r="L91" i="15"/>
  <c r="G88" i="11"/>
  <c r="H88" i="11" s="1"/>
  <c r="L90" i="15"/>
  <c r="G87" i="11"/>
  <c r="H87" i="11" s="1"/>
  <c r="L89" i="15"/>
  <c r="G86" i="11"/>
  <c r="H86" i="11" s="1"/>
  <c r="L88" i="15"/>
  <c r="G85" i="11"/>
  <c r="H85" i="11" s="1"/>
  <c r="L87" i="15"/>
  <c r="G84" i="11"/>
  <c r="H84" i="11" s="1"/>
  <c r="L86" i="15"/>
  <c r="G83" i="11"/>
  <c r="H83" i="11" s="1"/>
  <c r="L85" i="15"/>
  <c r="G82" i="11"/>
  <c r="H82" i="11" s="1"/>
  <c r="L84" i="15"/>
  <c r="G81" i="11"/>
  <c r="H81" i="11" s="1"/>
  <c r="L83" i="15"/>
  <c r="G80" i="11"/>
  <c r="H80" i="11" s="1"/>
  <c r="L82" i="15"/>
  <c r="G79" i="11"/>
  <c r="H79" i="11" s="1"/>
  <c r="L81" i="15"/>
  <c r="G78" i="11"/>
  <c r="H78" i="11" s="1"/>
  <c r="L80" i="15"/>
  <c r="G77" i="11"/>
  <c r="H77" i="11" s="1"/>
  <c r="L79" i="15"/>
  <c r="G76" i="11"/>
  <c r="H76" i="11" s="1"/>
  <c r="L78" i="15"/>
  <c r="G75" i="11"/>
  <c r="H75" i="11" s="1"/>
  <c r="L77" i="15"/>
  <c r="G74" i="11"/>
  <c r="H74" i="11" s="1"/>
  <c r="L76" i="15"/>
  <c r="G73" i="11"/>
  <c r="H73" i="11" s="1"/>
  <c r="L75" i="15"/>
  <c r="G72" i="11"/>
  <c r="H72" i="11" s="1"/>
  <c r="L74" i="15"/>
  <c r="G71" i="11"/>
  <c r="H71" i="11" s="1"/>
  <c r="L73" i="15"/>
  <c r="G70" i="11"/>
  <c r="H70" i="11" s="1"/>
  <c r="L72" i="15"/>
  <c r="G69" i="11"/>
  <c r="H69" i="11" s="1"/>
  <c r="L71" i="15"/>
  <c r="G68" i="11"/>
  <c r="H68" i="11" s="1"/>
  <c r="L70" i="15"/>
  <c r="G67" i="11"/>
  <c r="H67" i="11" s="1"/>
  <c r="L69" i="15"/>
  <c r="G66" i="11"/>
  <c r="H66" i="11" s="1"/>
  <c r="L68" i="15"/>
  <c r="G65" i="11"/>
  <c r="H65" i="11" s="1"/>
  <c r="L67" i="15"/>
  <c r="G64" i="11"/>
  <c r="H64" i="11" s="1"/>
  <c r="L66" i="15"/>
  <c r="G63" i="11"/>
  <c r="H63" i="11" s="1"/>
  <c r="L65" i="15"/>
  <c r="G62" i="11"/>
  <c r="H62" i="11" s="1"/>
  <c r="L64" i="15"/>
  <c r="G61" i="11"/>
  <c r="H61" i="11" s="1"/>
  <c r="L63" i="15"/>
  <c r="G60" i="11"/>
  <c r="H60" i="11" s="1"/>
  <c r="L62" i="15"/>
  <c r="G59" i="11"/>
  <c r="H59" i="11" s="1"/>
  <c r="L61" i="15"/>
  <c r="G58" i="11"/>
  <c r="H58" i="11" s="1"/>
  <c r="L60" i="15"/>
  <c r="G57" i="11"/>
  <c r="H57" i="11" s="1"/>
  <c r="L59" i="15"/>
  <c r="G56" i="11"/>
  <c r="H56" i="11" s="1"/>
  <c r="L58" i="15"/>
  <c r="G55" i="11"/>
  <c r="H55" i="11" s="1"/>
  <c r="L57" i="15"/>
  <c r="G54" i="11"/>
  <c r="H54" i="11" s="1"/>
  <c r="L56" i="15"/>
  <c r="G53" i="11"/>
  <c r="H53" i="11" s="1"/>
  <c r="L55" i="15"/>
  <c r="G52" i="11"/>
  <c r="H52" i="11" s="1"/>
  <c r="L54" i="15"/>
  <c r="G51" i="11"/>
  <c r="H51" i="11" s="1"/>
  <c r="L53" i="15"/>
  <c r="G50" i="11"/>
  <c r="H50" i="11" s="1"/>
  <c r="L52" i="15"/>
  <c r="G49" i="11"/>
  <c r="H49" i="11" s="1"/>
  <c r="L51" i="15"/>
  <c r="G48" i="11"/>
  <c r="H48" i="11" s="1"/>
  <c r="L50" i="15"/>
  <c r="G47" i="11"/>
  <c r="H47" i="11" s="1"/>
  <c r="L49" i="15"/>
  <c r="G46" i="11"/>
  <c r="H46" i="11" s="1"/>
  <c r="L48" i="15"/>
  <c r="G45" i="11"/>
  <c r="H45" i="11" s="1"/>
  <c r="L47" i="15"/>
  <c r="G44" i="11"/>
  <c r="H44" i="11" s="1"/>
  <c r="L46" i="15"/>
  <c r="G43" i="11"/>
  <c r="H43" i="11" s="1"/>
  <c r="L45" i="15"/>
  <c r="G42" i="11"/>
  <c r="H42" i="11" s="1"/>
  <c r="L44" i="15"/>
  <c r="G41" i="11"/>
  <c r="H41" i="11" s="1"/>
  <c r="L43" i="15"/>
  <c r="G40" i="11"/>
  <c r="H40" i="11" s="1"/>
  <c r="L42" i="15"/>
  <c r="G39" i="11"/>
  <c r="H39" i="11" s="1"/>
  <c r="L41" i="15"/>
  <c r="G38" i="11"/>
  <c r="H38" i="11" s="1"/>
  <c r="L40" i="15"/>
  <c r="G37" i="11"/>
  <c r="H37" i="11" s="1"/>
  <c r="L39" i="15"/>
  <c r="G36" i="11"/>
  <c r="H36" i="11" s="1"/>
  <c r="L38" i="15"/>
  <c r="G35" i="11"/>
  <c r="H35" i="11" s="1"/>
  <c r="L37" i="15"/>
  <c r="G34" i="11"/>
  <c r="H34" i="11" s="1"/>
  <c r="L36" i="15"/>
  <c r="G207" i="12"/>
  <c r="H207" i="12" s="1"/>
  <c r="L209" i="3"/>
  <c r="G203" i="12"/>
  <c r="H203" i="12" s="1"/>
  <c r="L205" i="3"/>
  <c r="L203" i="3"/>
  <c r="G199" i="12"/>
  <c r="H199" i="12" s="1"/>
  <c r="L201" i="3"/>
  <c r="G195" i="12"/>
  <c r="H195" i="12" s="1"/>
  <c r="I195" i="12" s="1"/>
  <c r="F195" i="13" s="1"/>
  <c r="L197" i="3"/>
  <c r="G191" i="12"/>
  <c r="H191" i="12" s="1"/>
  <c r="L193" i="3"/>
  <c r="G187" i="12"/>
  <c r="H187" i="12" s="1"/>
  <c r="L189" i="3"/>
  <c r="G183" i="12"/>
  <c r="H183" i="12" s="1"/>
  <c r="L185" i="3"/>
  <c r="G179" i="12"/>
  <c r="H179" i="12" s="1"/>
  <c r="I179" i="12" s="1"/>
  <c r="F179" i="13" s="1"/>
  <c r="L181" i="3"/>
  <c r="G175" i="12"/>
  <c r="H175" i="12" s="1"/>
  <c r="L177" i="3"/>
  <c r="G169" i="12"/>
  <c r="H169" i="12" s="1"/>
  <c r="I169" i="12" s="1"/>
  <c r="F169" i="13" s="1"/>
  <c r="L171" i="3"/>
  <c r="G165" i="12"/>
  <c r="H165" i="12" s="1"/>
  <c r="I165" i="12" s="1"/>
  <c r="F165" i="13" s="1"/>
  <c r="L167" i="3"/>
  <c r="L165" i="3"/>
  <c r="G161" i="12"/>
  <c r="H161" i="12" s="1"/>
  <c r="L163" i="3"/>
  <c r="L147" i="3"/>
  <c r="L131" i="3"/>
  <c r="L115" i="3"/>
  <c r="L99" i="3"/>
  <c r="L83" i="3"/>
  <c r="L67" i="3"/>
  <c r="K35" i="15"/>
  <c r="P32" i="6"/>
  <c r="Q32" i="6" s="1"/>
  <c r="J33" i="11" s="1"/>
  <c r="K34" i="15"/>
  <c r="P31" i="6"/>
  <c r="Q31" i="6" s="1"/>
  <c r="J32" i="11" s="1"/>
  <c r="K33" i="15"/>
  <c r="P30" i="6"/>
  <c r="Q30" i="6" s="1"/>
  <c r="J31" i="11" s="1"/>
  <c r="K32" i="15"/>
  <c r="P29" i="6"/>
  <c r="Q29" i="6" s="1"/>
  <c r="J30" i="11" s="1"/>
  <c r="K31" i="15"/>
  <c r="P28" i="6"/>
  <c r="Q28" i="6" s="1"/>
  <c r="J29" i="11" s="1"/>
  <c r="K30" i="15"/>
  <c r="P27" i="6"/>
  <c r="Q27" i="6" s="1"/>
  <c r="J28" i="11" s="1"/>
  <c r="K29" i="15"/>
  <c r="P26" i="6"/>
  <c r="Q26" i="6" s="1"/>
  <c r="J27" i="11" s="1"/>
  <c r="K28" i="15"/>
  <c r="P25" i="6"/>
  <c r="Q25" i="6" s="1"/>
  <c r="J26" i="11" s="1"/>
  <c r="K27" i="15"/>
  <c r="P24" i="6"/>
  <c r="Q24" i="6" s="1"/>
  <c r="J25" i="11" s="1"/>
  <c r="K26" i="15"/>
  <c r="P23" i="6"/>
  <c r="Q23" i="6" s="1"/>
  <c r="J24" i="11" s="1"/>
  <c r="K25" i="15"/>
  <c r="P22" i="6"/>
  <c r="Q22" i="6" s="1"/>
  <c r="J23" i="11" s="1"/>
  <c r="K24" i="15"/>
  <c r="P21" i="6"/>
  <c r="Q21" i="6" s="1"/>
  <c r="J22" i="11" s="1"/>
  <c r="K23" i="15"/>
  <c r="P20" i="6"/>
  <c r="Q20" i="6" s="1"/>
  <c r="J21" i="11" s="1"/>
  <c r="K22" i="15"/>
  <c r="P19" i="6"/>
  <c r="Q19" i="6" s="1"/>
  <c r="J20" i="11" s="1"/>
  <c r="K21" i="15"/>
  <c r="P18" i="6"/>
  <c r="Q18" i="6" s="1"/>
  <c r="J19" i="11" s="1"/>
  <c r="K20" i="15"/>
  <c r="P17" i="6"/>
  <c r="Q17" i="6" s="1"/>
  <c r="J18" i="11" s="1"/>
  <c r="K19" i="15"/>
  <c r="P16" i="6"/>
  <c r="Q16" i="6" s="1"/>
  <c r="J17" i="11" s="1"/>
  <c r="K18" i="15"/>
  <c r="P15" i="6"/>
  <c r="Q15" i="6" s="1"/>
  <c r="J16" i="11" s="1"/>
  <c r="K17" i="15"/>
  <c r="P14" i="6"/>
  <c r="Q14" i="6" s="1"/>
  <c r="J15" i="11" s="1"/>
  <c r="K16" i="15"/>
  <c r="P13" i="6"/>
  <c r="Q13" i="6" s="1"/>
  <c r="J14" i="11" s="1"/>
  <c r="K15" i="15"/>
  <c r="P12" i="6"/>
  <c r="Q12" i="6" s="1"/>
  <c r="J13" i="11" s="1"/>
  <c r="K14" i="15"/>
  <c r="P11" i="6"/>
  <c r="Q11" i="6" s="1"/>
  <c r="J12" i="11" s="1"/>
  <c r="K13" i="15"/>
  <c r="P10" i="6"/>
  <c r="Q10" i="6" s="1"/>
  <c r="J11" i="11" s="1"/>
  <c r="K12" i="15"/>
  <c r="P9" i="6"/>
  <c r="K11" i="15"/>
  <c r="O5" i="6"/>
  <c r="E11" i="7" s="1"/>
  <c r="B11" i="7" s="1"/>
  <c r="P8" i="6"/>
  <c r="F11" i="15" s="1"/>
  <c r="G208" i="12"/>
  <c r="H208" i="12" s="1"/>
  <c r="I208" i="12" s="1"/>
  <c r="F208" i="13" s="1"/>
  <c r="L210" i="3"/>
  <c r="I207" i="12"/>
  <c r="F207" i="13" s="1"/>
  <c r="G206" i="12"/>
  <c r="H206" i="12" s="1"/>
  <c r="I206" i="12" s="1"/>
  <c r="F206" i="13" s="1"/>
  <c r="L208" i="3"/>
  <c r="G204" i="12"/>
  <c r="H204" i="12" s="1"/>
  <c r="I204" i="12" s="1"/>
  <c r="F204" i="13" s="1"/>
  <c r="L206" i="3"/>
  <c r="I203" i="12"/>
  <c r="F203" i="13" s="1"/>
  <c r="G202" i="12"/>
  <c r="H202" i="12" s="1"/>
  <c r="I202" i="12" s="1"/>
  <c r="F202" i="13" s="1"/>
  <c r="L204" i="3"/>
  <c r="G200" i="12"/>
  <c r="H200" i="12" s="1"/>
  <c r="I200" i="12" s="1"/>
  <c r="F200" i="13" s="1"/>
  <c r="L202" i="3"/>
  <c r="G198" i="12"/>
  <c r="H198" i="12" s="1"/>
  <c r="I198" i="12" s="1"/>
  <c r="F198" i="13" s="1"/>
  <c r="L200" i="3"/>
  <c r="G196" i="12"/>
  <c r="H196" i="12" s="1"/>
  <c r="I196" i="12" s="1"/>
  <c r="F196" i="13" s="1"/>
  <c r="L198" i="3"/>
  <c r="G194" i="12"/>
  <c r="H194" i="12" s="1"/>
  <c r="I194" i="12" s="1"/>
  <c r="F194" i="13" s="1"/>
  <c r="L196" i="3"/>
  <c r="G192" i="12"/>
  <c r="H192" i="12" s="1"/>
  <c r="I192" i="12" s="1"/>
  <c r="F192" i="13" s="1"/>
  <c r="L194" i="3"/>
  <c r="I191" i="12"/>
  <c r="F191" i="13" s="1"/>
  <c r="G190" i="12"/>
  <c r="H190" i="12" s="1"/>
  <c r="I190" i="12" s="1"/>
  <c r="F190" i="13" s="1"/>
  <c r="L192" i="3"/>
  <c r="G188" i="12"/>
  <c r="H188" i="12" s="1"/>
  <c r="I188" i="12" s="1"/>
  <c r="F188" i="13" s="1"/>
  <c r="L190" i="3"/>
  <c r="I187" i="12"/>
  <c r="F187" i="13" s="1"/>
  <c r="G186" i="12"/>
  <c r="H186" i="12" s="1"/>
  <c r="I186" i="12" s="1"/>
  <c r="F186" i="13" s="1"/>
  <c r="L188" i="3"/>
  <c r="G184" i="12"/>
  <c r="H184" i="12" s="1"/>
  <c r="I184" i="12" s="1"/>
  <c r="F184" i="13" s="1"/>
  <c r="L186" i="3"/>
  <c r="G182" i="12"/>
  <c r="H182" i="12" s="1"/>
  <c r="I182" i="12" s="1"/>
  <c r="F182" i="13" s="1"/>
  <c r="L184" i="3"/>
  <c r="G180" i="12"/>
  <c r="H180" i="12" s="1"/>
  <c r="I180" i="12" s="1"/>
  <c r="F180" i="13" s="1"/>
  <c r="L182" i="3"/>
  <c r="G178" i="12"/>
  <c r="H178" i="12" s="1"/>
  <c r="I178" i="12" s="1"/>
  <c r="F178" i="13" s="1"/>
  <c r="L180" i="3"/>
  <c r="G176" i="12"/>
  <c r="H176" i="12" s="1"/>
  <c r="I176" i="12" s="1"/>
  <c r="F176" i="13" s="1"/>
  <c r="L178" i="3"/>
  <c r="I175" i="12"/>
  <c r="F175" i="13" s="1"/>
  <c r="G174" i="12"/>
  <c r="H174" i="12" s="1"/>
  <c r="I174" i="12" s="1"/>
  <c r="F174" i="13" s="1"/>
  <c r="L176" i="3"/>
  <c r="G172" i="12"/>
  <c r="H172" i="12" s="1"/>
  <c r="I172" i="12" s="1"/>
  <c r="F172" i="13" s="1"/>
  <c r="L174" i="3"/>
  <c r="G170" i="12"/>
  <c r="H170" i="12" s="1"/>
  <c r="I170" i="12" s="1"/>
  <c r="F170" i="13" s="1"/>
  <c r="L172" i="3"/>
  <c r="G166" i="12"/>
  <c r="H166" i="12" s="1"/>
  <c r="I166" i="12" s="1"/>
  <c r="F166" i="13" s="1"/>
  <c r="L168" i="3"/>
  <c r="G162" i="12"/>
  <c r="H162" i="12" s="1"/>
  <c r="I162" i="12" s="1"/>
  <c r="F162" i="13" s="1"/>
  <c r="L164" i="3"/>
  <c r="G160" i="12"/>
  <c r="H160" i="12" s="1"/>
  <c r="I160" i="12" s="1"/>
  <c r="F160" i="13" s="1"/>
  <c r="L162" i="3"/>
  <c r="G158" i="12"/>
  <c r="H158" i="12" s="1"/>
  <c r="I158" i="12" s="1"/>
  <c r="F158" i="13" s="1"/>
  <c r="L160" i="3"/>
  <c r="G156" i="12"/>
  <c r="H156" i="12" s="1"/>
  <c r="I156" i="12" s="1"/>
  <c r="F156" i="13" s="1"/>
  <c r="L158" i="3"/>
  <c r="G154" i="12"/>
  <c r="H154" i="12" s="1"/>
  <c r="I154" i="12" s="1"/>
  <c r="F154" i="13" s="1"/>
  <c r="L156" i="3"/>
  <c r="G152" i="12"/>
  <c r="H152" i="12" s="1"/>
  <c r="I152" i="12" s="1"/>
  <c r="F152" i="13" s="1"/>
  <c r="L154" i="3"/>
  <c r="G150" i="12"/>
  <c r="H150" i="12" s="1"/>
  <c r="I150" i="12" s="1"/>
  <c r="F150" i="13" s="1"/>
  <c r="L152" i="3"/>
  <c r="G148" i="12"/>
  <c r="H148" i="12" s="1"/>
  <c r="I148" i="12" s="1"/>
  <c r="F148" i="13" s="1"/>
  <c r="L150" i="3"/>
  <c r="G146" i="12"/>
  <c r="H146" i="12" s="1"/>
  <c r="I146" i="12" s="1"/>
  <c r="F146" i="13" s="1"/>
  <c r="L148" i="3"/>
  <c r="G144" i="12"/>
  <c r="H144" i="12" s="1"/>
  <c r="I144" i="12" s="1"/>
  <c r="F144" i="13" s="1"/>
  <c r="L146" i="3"/>
  <c r="G142" i="12"/>
  <c r="H142" i="12" s="1"/>
  <c r="I142" i="12" s="1"/>
  <c r="F142" i="13" s="1"/>
  <c r="L144" i="3"/>
  <c r="G140" i="12"/>
  <c r="H140" i="12" s="1"/>
  <c r="I140" i="12" s="1"/>
  <c r="F140" i="13" s="1"/>
  <c r="L142" i="3"/>
  <c r="I139" i="12"/>
  <c r="F139" i="13" s="1"/>
  <c r="G138" i="12"/>
  <c r="H138" i="12" s="1"/>
  <c r="I138" i="12" s="1"/>
  <c r="F138" i="13" s="1"/>
  <c r="L140" i="3"/>
  <c r="G136" i="12"/>
  <c r="H136" i="12" s="1"/>
  <c r="L138" i="3"/>
  <c r="G134" i="12"/>
  <c r="H134" i="12" s="1"/>
  <c r="I134" i="12" s="1"/>
  <c r="F134" i="13" s="1"/>
  <c r="L136" i="3"/>
  <c r="G132" i="12"/>
  <c r="H132" i="12" s="1"/>
  <c r="I132" i="12" s="1"/>
  <c r="F132" i="13" s="1"/>
  <c r="L134" i="3"/>
  <c r="G130" i="12"/>
  <c r="H130" i="12" s="1"/>
  <c r="I130" i="12" s="1"/>
  <c r="F130" i="13" s="1"/>
  <c r="L132" i="3"/>
  <c r="G128" i="12"/>
  <c r="H128" i="12" s="1"/>
  <c r="I128" i="12" s="1"/>
  <c r="F128" i="13" s="1"/>
  <c r="L130" i="3"/>
  <c r="G126" i="12"/>
  <c r="H126" i="12" s="1"/>
  <c r="I126" i="12" s="1"/>
  <c r="F126" i="13" s="1"/>
  <c r="L128" i="3"/>
  <c r="G124" i="12"/>
  <c r="H124" i="12" s="1"/>
  <c r="I124" i="12" s="1"/>
  <c r="F124" i="13" s="1"/>
  <c r="L126" i="3"/>
  <c r="G122" i="12"/>
  <c r="H122" i="12" s="1"/>
  <c r="I122" i="12" s="1"/>
  <c r="F122" i="13" s="1"/>
  <c r="L124" i="3"/>
  <c r="G120" i="12"/>
  <c r="H120" i="12" s="1"/>
  <c r="I120" i="12" s="1"/>
  <c r="F120" i="13" s="1"/>
  <c r="L122" i="3"/>
  <c r="G118" i="12"/>
  <c r="H118" i="12" s="1"/>
  <c r="I118" i="12" s="1"/>
  <c r="F118" i="13" s="1"/>
  <c r="L120" i="3"/>
  <c r="G116" i="12"/>
  <c r="H116" i="12" s="1"/>
  <c r="I116" i="12" s="1"/>
  <c r="F116" i="13" s="1"/>
  <c r="L118" i="3"/>
  <c r="G114" i="12"/>
  <c r="H114" i="12" s="1"/>
  <c r="I114" i="12" s="1"/>
  <c r="F114" i="13" s="1"/>
  <c r="L116" i="3"/>
  <c r="G112" i="12"/>
  <c r="H112" i="12" s="1"/>
  <c r="I112" i="12" s="1"/>
  <c r="F112" i="13" s="1"/>
  <c r="L114" i="3"/>
  <c r="G110" i="12"/>
  <c r="H110" i="12" s="1"/>
  <c r="I110" i="12" s="1"/>
  <c r="F110" i="13" s="1"/>
  <c r="L112" i="3"/>
  <c r="G108" i="12"/>
  <c r="H108" i="12" s="1"/>
  <c r="I108" i="12" s="1"/>
  <c r="F108" i="13" s="1"/>
  <c r="L110" i="3"/>
  <c r="I107" i="12"/>
  <c r="F107" i="13" s="1"/>
  <c r="G106" i="12"/>
  <c r="H106" i="12" s="1"/>
  <c r="I106" i="12" s="1"/>
  <c r="F106" i="13" s="1"/>
  <c r="L108" i="3"/>
  <c r="L106" i="3"/>
  <c r="G102" i="12"/>
  <c r="H102" i="12" s="1"/>
  <c r="I102" i="12" s="1"/>
  <c r="F102" i="13" s="1"/>
  <c r="L104" i="3"/>
  <c r="G98" i="12"/>
  <c r="H98" i="12" s="1"/>
  <c r="I98" i="12" s="1"/>
  <c r="F98" i="13" s="1"/>
  <c r="L100" i="3"/>
  <c r="G96" i="12"/>
  <c r="H96" i="12" s="1"/>
  <c r="I96" i="12" s="1"/>
  <c r="F96" i="13" s="1"/>
  <c r="L98" i="3"/>
  <c r="G94" i="12"/>
  <c r="H94" i="12" s="1"/>
  <c r="I94" i="12" s="1"/>
  <c r="F94" i="13" s="1"/>
  <c r="L96" i="3"/>
  <c r="G92" i="12"/>
  <c r="H92" i="12" s="1"/>
  <c r="I92" i="12" s="1"/>
  <c r="F92" i="13" s="1"/>
  <c r="L94" i="3"/>
  <c r="G90" i="12"/>
  <c r="H90" i="12" s="1"/>
  <c r="I90" i="12" s="1"/>
  <c r="F90" i="13" s="1"/>
  <c r="L92" i="3"/>
  <c r="G88" i="12"/>
  <c r="H88" i="12" s="1"/>
  <c r="I88" i="12" s="1"/>
  <c r="F88" i="13" s="1"/>
  <c r="L90" i="3"/>
  <c r="G86" i="12"/>
  <c r="H86" i="12" s="1"/>
  <c r="I86" i="12" s="1"/>
  <c r="F86" i="13" s="1"/>
  <c r="L88" i="3"/>
  <c r="G84" i="12"/>
  <c r="H84" i="12" s="1"/>
  <c r="I84" i="12" s="1"/>
  <c r="F84" i="13" s="1"/>
  <c r="L86" i="3"/>
  <c r="G82" i="12"/>
  <c r="H82" i="12" s="1"/>
  <c r="I82" i="12" s="1"/>
  <c r="F82" i="13" s="1"/>
  <c r="L84" i="3"/>
  <c r="G80" i="12"/>
  <c r="H80" i="12" s="1"/>
  <c r="I80" i="12" s="1"/>
  <c r="F80" i="13" s="1"/>
  <c r="L82" i="3"/>
  <c r="G78" i="12"/>
  <c r="H78" i="12" s="1"/>
  <c r="I78" i="12" s="1"/>
  <c r="F78" i="13" s="1"/>
  <c r="L80" i="3"/>
  <c r="G76" i="12"/>
  <c r="H76" i="12" s="1"/>
  <c r="I76" i="12" s="1"/>
  <c r="F76" i="13" s="1"/>
  <c r="L78" i="3"/>
  <c r="I75" i="12"/>
  <c r="F75" i="13" s="1"/>
  <c r="G74" i="12"/>
  <c r="H74" i="12" s="1"/>
  <c r="I74" i="12" s="1"/>
  <c r="F74" i="13" s="1"/>
  <c r="L76" i="3"/>
  <c r="G72" i="12"/>
  <c r="H72" i="12" s="1"/>
  <c r="I72" i="12" s="1"/>
  <c r="F72" i="13" s="1"/>
  <c r="L74" i="3"/>
  <c r="G70" i="12"/>
  <c r="H70" i="12" s="1"/>
  <c r="I70" i="12" s="1"/>
  <c r="F70" i="13" s="1"/>
  <c r="L72" i="3"/>
  <c r="G68" i="12"/>
  <c r="H68" i="12" s="1"/>
  <c r="I68" i="12" s="1"/>
  <c r="F68" i="13" s="1"/>
  <c r="L70" i="3"/>
  <c r="G66" i="12"/>
  <c r="H66" i="12" s="1"/>
  <c r="I66" i="12" s="1"/>
  <c r="F66" i="13" s="1"/>
  <c r="L68" i="3"/>
  <c r="G64" i="12"/>
  <c r="H64" i="12" s="1"/>
  <c r="I64" i="12" s="1"/>
  <c r="F64" i="13" s="1"/>
  <c r="L66" i="3"/>
  <c r="G62" i="12"/>
  <c r="H62" i="12" s="1"/>
  <c r="I62" i="12" s="1"/>
  <c r="F62" i="13" s="1"/>
  <c r="L64" i="3"/>
  <c r="I161" i="12"/>
  <c r="F161" i="13" s="1"/>
  <c r="I157" i="12"/>
  <c r="F157" i="13" s="1"/>
  <c r="I136" i="12"/>
  <c r="F136" i="13" s="1"/>
  <c r="I113" i="12"/>
  <c r="F113" i="13" s="1"/>
  <c r="I93" i="12"/>
  <c r="F93" i="13" s="1"/>
  <c r="I69" i="12"/>
  <c r="F69" i="13" s="1"/>
  <c r="I61" i="12"/>
  <c r="F61" i="13" s="1"/>
  <c r="L62" i="3"/>
  <c r="I60" i="12"/>
  <c r="F60" i="13" s="1"/>
  <c r="I59" i="12"/>
  <c r="F59" i="13" s="1"/>
  <c r="L60" i="3"/>
  <c r="I58" i="12"/>
  <c r="F58" i="13" s="1"/>
  <c r="L58" i="3"/>
  <c r="I56" i="12"/>
  <c r="F56" i="13" s="1"/>
  <c r="I55" i="12"/>
  <c r="F55" i="13" s="1"/>
  <c r="L56" i="3"/>
  <c r="I54" i="12"/>
  <c r="F54" i="13" s="1"/>
  <c r="I53" i="12"/>
  <c r="F53" i="13" s="1"/>
  <c r="L54" i="3"/>
  <c r="I52" i="12"/>
  <c r="F52" i="13" s="1"/>
  <c r="L52" i="3"/>
  <c r="I50" i="12"/>
  <c r="F50" i="13" s="1"/>
  <c r="I49" i="12"/>
  <c r="F49" i="13" s="1"/>
  <c r="L50" i="3"/>
  <c r="I48" i="12"/>
  <c r="F48" i="13" s="1"/>
  <c r="I47" i="12"/>
  <c r="F47" i="13" s="1"/>
  <c r="L48" i="3"/>
  <c r="I46" i="12"/>
  <c r="F46" i="13" s="1"/>
  <c r="I45" i="12"/>
  <c r="F45" i="13" s="1"/>
  <c r="L46" i="3"/>
  <c r="I44" i="12"/>
  <c r="F44" i="13" s="1"/>
  <c r="I43" i="12"/>
  <c r="F43" i="13" s="1"/>
  <c r="L44" i="3"/>
  <c r="I39" i="12"/>
  <c r="F39" i="13" s="1"/>
  <c r="L40" i="3"/>
  <c r="I38" i="12"/>
  <c r="F38" i="13" s="1"/>
  <c r="I37" i="12"/>
  <c r="F37" i="13" s="1"/>
  <c r="L36" i="3"/>
  <c r="I34" i="12"/>
  <c r="F34" i="13" s="1"/>
  <c r="I33" i="12"/>
  <c r="F33" i="13" s="1"/>
  <c r="L34" i="3"/>
  <c r="I32" i="12"/>
  <c r="F32" i="13" s="1"/>
  <c r="I31" i="12"/>
  <c r="F31" i="13" s="1"/>
  <c r="L32" i="3"/>
  <c r="I30" i="12"/>
  <c r="F30" i="13" s="1"/>
  <c r="I29" i="12"/>
  <c r="F29" i="13" s="1"/>
  <c r="L30" i="3"/>
  <c r="I28" i="12"/>
  <c r="F28" i="13" s="1"/>
  <c r="I27" i="12"/>
  <c r="F27" i="13" s="1"/>
  <c r="L28" i="3"/>
  <c r="I26" i="12"/>
  <c r="F26" i="13" s="1"/>
  <c r="L26" i="3"/>
  <c r="I24" i="12"/>
  <c r="F24" i="13" s="1"/>
  <c r="I23" i="12"/>
  <c r="F23" i="13" s="1"/>
  <c r="L24" i="3"/>
  <c r="I22" i="12"/>
  <c r="F22" i="13" s="1"/>
  <c r="I21" i="12"/>
  <c r="F21" i="13" s="1"/>
  <c r="L22" i="3"/>
  <c r="I20" i="12"/>
  <c r="F20" i="13" s="1"/>
  <c r="L18" i="3"/>
  <c r="I16" i="12"/>
  <c r="F16" i="13" s="1"/>
  <c r="L16" i="3"/>
  <c r="I14" i="12"/>
  <c r="F14" i="13" s="1"/>
  <c r="L14" i="3"/>
  <c r="I12" i="12"/>
  <c r="F12" i="13" s="1"/>
  <c r="L12" i="3"/>
  <c r="I208" i="11"/>
  <c r="F208" i="17" s="1"/>
  <c r="I207" i="11"/>
  <c r="F207" i="17" s="1"/>
  <c r="I206" i="11"/>
  <c r="F206" i="17" s="1"/>
  <c r="I205" i="11"/>
  <c r="F205" i="17" s="1"/>
  <c r="I204" i="11"/>
  <c r="F204" i="17" s="1"/>
  <c r="I203" i="11"/>
  <c r="F203" i="17" s="1"/>
  <c r="I202" i="11"/>
  <c r="F202" i="17" s="1"/>
  <c r="I201" i="11"/>
  <c r="F201" i="17" s="1"/>
  <c r="I200" i="11"/>
  <c r="F200" i="17" s="1"/>
  <c r="I199" i="11"/>
  <c r="F199" i="17" s="1"/>
  <c r="I198" i="11"/>
  <c r="F198" i="17" s="1"/>
  <c r="I197" i="11"/>
  <c r="F197" i="17" s="1"/>
  <c r="I196" i="11"/>
  <c r="F196" i="17" s="1"/>
  <c r="I195" i="11"/>
  <c r="F195" i="17" s="1"/>
  <c r="I194" i="11"/>
  <c r="F194" i="17" s="1"/>
  <c r="I193" i="11"/>
  <c r="F193" i="17" s="1"/>
  <c r="I192" i="11"/>
  <c r="F192" i="17" s="1"/>
  <c r="I191" i="11"/>
  <c r="F191" i="17" s="1"/>
  <c r="I190" i="11"/>
  <c r="F190" i="17" s="1"/>
  <c r="I189" i="11"/>
  <c r="F189" i="17" s="1"/>
  <c r="I188" i="11"/>
  <c r="F188" i="17" s="1"/>
  <c r="I187" i="11"/>
  <c r="F187" i="17" s="1"/>
  <c r="I186" i="11"/>
  <c r="F186" i="17" s="1"/>
  <c r="I185" i="11"/>
  <c r="F185" i="17" s="1"/>
  <c r="I184" i="11"/>
  <c r="F184" i="17" s="1"/>
  <c r="I183" i="11"/>
  <c r="F183" i="17" s="1"/>
  <c r="I182" i="11"/>
  <c r="F182" i="17" s="1"/>
  <c r="I181" i="11"/>
  <c r="F181" i="17" s="1"/>
  <c r="I180" i="11"/>
  <c r="F180" i="17" s="1"/>
  <c r="I179" i="11"/>
  <c r="F179" i="17" s="1"/>
  <c r="I178" i="11"/>
  <c r="F178" i="17" s="1"/>
  <c r="I177" i="11"/>
  <c r="F177" i="17" s="1"/>
  <c r="I176" i="11"/>
  <c r="F176" i="17" s="1"/>
  <c r="I175" i="11"/>
  <c r="F175" i="17" s="1"/>
  <c r="I174" i="11"/>
  <c r="F174" i="17" s="1"/>
  <c r="I173" i="11"/>
  <c r="F173" i="17" s="1"/>
  <c r="I172" i="11"/>
  <c r="F172" i="17" s="1"/>
  <c r="I171" i="11"/>
  <c r="F171" i="17" s="1"/>
  <c r="I170" i="11"/>
  <c r="F170" i="17" s="1"/>
  <c r="I169" i="11"/>
  <c r="F169" i="17" s="1"/>
  <c r="I168" i="11"/>
  <c r="F168" i="17" s="1"/>
  <c r="I167" i="11"/>
  <c r="F167" i="17" s="1"/>
  <c r="I166" i="11"/>
  <c r="F166" i="17" s="1"/>
  <c r="I165" i="11"/>
  <c r="F165" i="17" s="1"/>
  <c r="I164" i="11"/>
  <c r="F164" i="17" s="1"/>
  <c r="I163" i="11"/>
  <c r="F163" i="17" s="1"/>
  <c r="I162" i="11"/>
  <c r="F162" i="17" s="1"/>
  <c r="I161" i="11"/>
  <c r="F161" i="17" s="1"/>
  <c r="I160" i="11"/>
  <c r="F160" i="17" s="1"/>
  <c r="I159" i="11"/>
  <c r="F159" i="17" s="1"/>
  <c r="I158" i="11"/>
  <c r="F158" i="17" s="1"/>
  <c r="I157" i="11"/>
  <c r="F157" i="17" s="1"/>
  <c r="I156" i="11"/>
  <c r="F156" i="17" s="1"/>
  <c r="I155" i="11"/>
  <c r="F155" i="17" s="1"/>
  <c r="I154" i="11"/>
  <c r="F154" i="17" s="1"/>
  <c r="I153" i="11"/>
  <c r="F153" i="17" s="1"/>
  <c r="I152" i="11"/>
  <c r="F152" i="17" s="1"/>
  <c r="I151" i="11"/>
  <c r="F151" i="17" s="1"/>
  <c r="I150" i="11"/>
  <c r="F150" i="17" s="1"/>
  <c r="I149" i="11"/>
  <c r="F149" i="17" s="1"/>
  <c r="I148" i="11"/>
  <c r="F148" i="17" s="1"/>
  <c r="I147" i="11"/>
  <c r="F147" i="17" s="1"/>
  <c r="I146" i="11"/>
  <c r="F146" i="17" s="1"/>
  <c r="I145" i="11"/>
  <c r="F145" i="17" s="1"/>
  <c r="I144" i="11"/>
  <c r="F144" i="17" s="1"/>
  <c r="I143" i="11"/>
  <c r="F143" i="17" s="1"/>
  <c r="I142" i="11"/>
  <c r="F142" i="17" s="1"/>
  <c r="I141" i="11"/>
  <c r="F141" i="17" s="1"/>
  <c r="I140" i="11"/>
  <c r="F140" i="17" s="1"/>
  <c r="I139" i="11"/>
  <c r="F139" i="17" s="1"/>
  <c r="I138" i="11"/>
  <c r="F138" i="17" s="1"/>
  <c r="I137" i="11"/>
  <c r="F137" i="17" s="1"/>
  <c r="I136" i="11"/>
  <c r="F136" i="17" s="1"/>
  <c r="I135" i="11"/>
  <c r="F135" i="17" s="1"/>
  <c r="I134" i="11"/>
  <c r="F134" i="17" s="1"/>
  <c r="I133" i="11"/>
  <c r="F133" i="17" s="1"/>
  <c r="I132" i="11"/>
  <c r="F132" i="17" s="1"/>
  <c r="I131" i="11"/>
  <c r="F131" i="17" s="1"/>
  <c r="I130" i="11"/>
  <c r="F130" i="17" s="1"/>
  <c r="I129" i="11"/>
  <c r="F129" i="17" s="1"/>
  <c r="I128" i="11"/>
  <c r="F128" i="17" s="1"/>
  <c r="I127" i="11"/>
  <c r="F127" i="17" s="1"/>
  <c r="I126" i="11"/>
  <c r="F126" i="17" s="1"/>
  <c r="I125" i="11"/>
  <c r="F125" i="17" s="1"/>
  <c r="I124" i="11"/>
  <c r="F124" i="17" s="1"/>
  <c r="I123" i="11"/>
  <c r="F123" i="17" s="1"/>
  <c r="I122" i="11"/>
  <c r="F122" i="17" s="1"/>
  <c r="I121" i="11"/>
  <c r="F121" i="17" s="1"/>
  <c r="I120" i="11"/>
  <c r="F120" i="17" s="1"/>
  <c r="I119" i="11"/>
  <c r="F119" i="17" s="1"/>
  <c r="I118" i="11"/>
  <c r="F118" i="17" s="1"/>
  <c r="I117" i="11"/>
  <c r="F117" i="17" s="1"/>
  <c r="I116" i="11"/>
  <c r="F116" i="17" s="1"/>
  <c r="I115" i="11"/>
  <c r="F115" i="17" s="1"/>
  <c r="I114" i="11"/>
  <c r="F114" i="17" s="1"/>
  <c r="I113" i="11"/>
  <c r="F113" i="17" s="1"/>
  <c r="I112" i="11"/>
  <c r="F112" i="17" s="1"/>
  <c r="I111" i="11"/>
  <c r="F111" i="17" s="1"/>
  <c r="I110" i="11"/>
  <c r="F110" i="17" s="1"/>
  <c r="I109" i="11"/>
  <c r="F109" i="17" s="1"/>
  <c r="I108" i="11"/>
  <c r="F108" i="17" s="1"/>
  <c r="I107" i="11"/>
  <c r="F107" i="17" s="1"/>
  <c r="I106" i="11"/>
  <c r="F106" i="17" s="1"/>
  <c r="I105" i="11"/>
  <c r="F105" i="17" s="1"/>
  <c r="I104" i="11"/>
  <c r="F104" i="17" s="1"/>
  <c r="I103" i="11"/>
  <c r="F103" i="17" s="1"/>
  <c r="I102" i="11"/>
  <c r="F102" i="17" s="1"/>
  <c r="I101" i="11"/>
  <c r="F101" i="17" s="1"/>
  <c r="I100" i="11"/>
  <c r="F100" i="17" s="1"/>
  <c r="I99" i="11"/>
  <c r="F99" i="17" s="1"/>
  <c r="I98" i="11"/>
  <c r="F98" i="17" s="1"/>
  <c r="I97" i="11"/>
  <c r="F97" i="17" s="1"/>
  <c r="I96" i="11"/>
  <c r="F96" i="17" s="1"/>
  <c r="I95" i="11"/>
  <c r="F95" i="17" s="1"/>
  <c r="I94" i="11"/>
  <c r="F94" i="17" s="1"/>
  <c r="I93" i="11"/>
  <c r="F93" i="17" s="1"/>
  <c r="I92" i="11"/>
  <c r="F92" i="17" s="1"/>
  <c r="I91" i="11"/>
  <c r="F91" i="17" s="1"/>
  <c r="I90" i="11"/>
  <c r="F90" i="17" s="1"/>
  <c r="I89" i="11"/>
  <c r="F89" i="17" s="1"/>
  <c r="I88" i="11"/>
  <c r="F88" i="17" s="1"/>
  <c r="I87" i="11"/>
  <c r="F87" i="17" s="1"/>
  <c r="I86" i="11"/>
  <c r="F86" i="17" s="1"/>
  <c r="I85" i="11"/>
  <c r="F85" i="17" s="1"/>
  <c r="I84" i="11"/>
  <c r="F84" i="17" s="1"/>
  <c r="I83" i="11"/>
  <c r="F83" i="17" s="1"/>
  <c r="I82" i="11"/>
  <c r="F82" i="17" s="1"/>
  <c r="I81" i="11"/>
  <c r="F81" i="17" s="1"/>
  <c r="I80" i="11"/>
  <c r="F80" i="17" s="1"/>
  <c r="I79" i="11"/>
  <c r="F79" i="17" s="1"/>
  <c r="I78" i="11"/>
  <c r="F78" i="17" s="1"/>
  <c r="I77" i="11"/>
  <c r="F77" i="17" s="1"/>
  <c r="I76" i="11"/>
  <c r="F76" i="17" s="1"/>
  <c r="I75" i="11"/>
  <c r="F75" i="17" s="1"/>
  <c r="I74" i="11"/>
  <c r="F74" i="17" s="1"/>
  <c r="I73" i="11"/>
  <c r="F73" i="17" s="1"/>
  <c r="I72" i="11"/>
  <c r="F72" i="17" s="1"/>
  <c r="I71" i="11"/>
  <c r="F71" i="17" s="1"/>
  <c r="I70" i="11"/>
  <c r="F70" i="17" s="1"/>
  <c r="I69" i="11"/>
  <c r="F69" i="17" s="1"/>
  <c r="I68" i="11"/>
  <c r="F68" i="17" s="1"/>
  <c r="I67" i="11"/>
  <c r="F67" i="17" s="1"/>
  <c r="I66" i="11"/>
  <c r="F66" i="17" s="1"/>
  <c r="I65" i="11"/>
  <c r="F65" i="17" s="1"/>
  <c r="I64" i="11"/>
  <c r="F64" i="17" s="1"/>
  <c r="I63" i="11"/>
  <c r="F63" i="17" s="1"/>
  <c r="I62" i="11"/>
  <c r="F62" i="17" s="1"/>
  <c r="I61" i="11"/>
  <c r="F61" i="17" s="1"/>
  <c r="I60" i="11"/>
  <c r="F60" i="17" s="1"/>
  <c r="I59" i="11"/>
  <c r="F59" i="17" s="1"/>
  <c r="I58" i="11"/>
  <c r="F58" i="17" s="1"/>
  <c r="I57" i="11"/>
  <c r="F57" i="17" s="1"/>
  <c r="I56" i="11"/>
  <c r="F56" i="17" s="1"/>
  <c r="I55" i="11"/>
  <c r="F55" i="17" s="1"/>
  <c r="I54" i="11"/>
  <c r="F54" i="17" s="1"/>
  <c r="I53" i="11"/>
  <c r="F53" i="17" s="1"/>
  <c r="I52" i="11"/>
  <c r="F52" i="17" s="1"/>
  <c r="I51" i="11"/>
  <c r="F51" i="17" s="1"/>
  <c r="I50" i="11"/>
  <c r="F50" i="17" s="1"/>
  <c r="I49" i="11"/>
  <c r="F49" i="17" s="1"/>
  <c r="I48" i="11"/>
  <c r="F48" i="17" s="1"/>
  <c r="I47" i="11"/>
  <c r="F47" i="17" s="1"/>
  <c r="I46" i="11"/>
  <c r="F46" i="17" s="1"/>
  <c r="I45" i="11"/>
  <c r="F45" i="17" s="1"/>
  <c r="I44" i="11"/>
  <c r="F44" i="17" s="1"/>
  <c r="I43" i="11"/>
  <c r="F43" i="17" s="1"/>
  <c r="I42" i="11"/>
  <c r="F42" i="17" s="1"/>
  <c r="I41" i="11"/>
  <c r="F41" i="17" s="1"/>
  <c r="I40" i="11"/>
  <c r="F40" i="17" s="1"/>
  <c r="I39" i="11"/>
  <c r="F39" i="17" s="1"/>
  <c r="I38" i="11"/>
  <c r="F38" i="17" s="1"/>
  <c r="I37" i="11"/>
  <c r="F37" i="17" s="1"/>
  <c r="I36" i="11"/>
  <c r="F36" i="17" s="1"/>
  <c r="I35" i="11"/>
  <c r="F35" i="17" s="1"/>
  <c r="I34" i="11"/>
  <c r="F34" i="17" s="1"/>
  <c r="I5" i="13"/>
  <c r="I5" i="17"/>
  <c r="I19" i="12" l="1"/>
  <c r="F19" i="13" s="1"/>
  <c r="L166" i="3"/>
  <c r="L38" i="3"/>
  <c r="L75" i="3"/>
  <c r="L139" i="3"/>
  <c r="L91" i="3"/>
  <c r="L155" i="3"/>
  <c r="L170" i="3"/>
  <c r="L107" i="3"/>
  <c r="L179" i="3"/>
  <c r="L20" i="3"/>
  <c r="L102" i="3"/>
  <c r="L195" i="3"/>
  <c r="L42" i="3"/>
  <c r="L123" i="3"/>
  <c r="I11" i="12"/>
  <c r="F11" i="13" s="1"/>
  <c r="C12" i="7"/>
  <c r="F15" i="10" s="1"/>
  <c r="C26" i="10"/>
  <c r="B14" i="9"/>
  <c r="L71" i="3"/>
  <c r="L87" i="3"/>
  <c r="L103" i="3"/>
  <c r="L119" i="3"/>
  <c r="L135" i="3"/>
  <c r="L151" i="3"/>
  <c r="C23" i="10"/>
  <c r="L79" i="3"/>
  <c r="L95" i="3"/>
  <c r="L111" i="3"/>
  <c r="L127" i="3"/>
  <c r="L143" i="3"/>
  <c r="L159" i="3"/>
  <c r="L173" i="3"/>
  <c r="L187" i="3"/>
  <c r="Q9" i="6"/>
  <c r="J10" i="11" s="1"/>
  <c r="F12" i="15"/>
  <c r="F6" i="15" s="1"/>
  <c r="L13" i="3"/>
  <c r="L15" i="3"/>
  <c r="L17" i="3"/>
  <c r="L19" i="3"/>
  <c r="L21" i="3"/>
  <c r="L23" i="3"/>
  <c r="L25" i="3"/>
  <c r="L27" i="3"/>
  <c r="L29" i="3"/>
  <c r="L31" i="3"/>
  <c r="L33" i="3"/>
  <c r="L35" i="3"/>
  <c r="L37" i="3"/>
  <c r="L39" i="3"/>
  <c r="L41" i="3"/>
  <c r="L43" i="3"/>
  <c r="L45" i="3"/>
  <c r="L47" i="3"/>
  <c r="L49" i="3"/>
  <c r="L51" i="3"/>
  <c r="L53" i="3"/>
  <c r="L55" i="3"/>
  <c r="L57" i="3"/>
  <c r="L59" i="3"/>
  <c r="L61" i="3"/>
  <c r="L63" i="3"/>
  <c r="L65" i="3"/>
  <c r="L69" i="3"/>
  <c r="L73" i="3"/>
  <c r="L77" i="3"/>
  <c r="L81" i="3"/>
  <c r="L85" i="3"/>
  <c r="L89" i="3"/>
  <c r="L93" i="3"/>
  <c r="L97" i="3"/>
  <c r="L101" i="3"/>
  <c r="L105" i="3"/>
  <c r="L109" i="3"/>
  <c r="L113" i="3"/>
  <c r="L117" i="3"/>
  <c r="L121" i="3"/>
  <c r="L125" i="3"/>
  <c r="L129" i="3"/>
  <c r="L133" i="3"/>
  <c r="L137" i="3"/>
  <c r="L141" i="3"/>
  <c r="L145" i="3"/>
  <c r="L149" i="3"/>
  <c r="L153" i="3"/>
  <c r="L157" i="3"/>
  <c r="L161" i="3"/>
  <c r="L169" i="3"/>
  <c r="L175" i="3"/>
  <c r="L183" i="3"/>
  <c r="L191" i="3"/>
  <c r="L199" i="3"/>
  <c r="L207" i="3"/>
  <c r="I9" i="12"/>
  <c r="F9" i="13" s="1"/>
  <c r="F6" i="3"/>
  <c r="K6" i="3"/>
  <c r="L11" i="3"/>
  <c r="E11" i="10"/>
  <c r="H6" i="12"/>
  <c r="B18" i="10" s="1"/>
  <c r="B15" i="10" s="1"/>
  <c r="B31" i="10" s="1"/>
  <c r="C31" i="10" s="1"/>
  <c r="C10" i="10"/>
  <c r="C21" i="10"/>
  <c r="E14" i="10"/>
  <c r="C11" i="7"/>
  <c r="F14" i="10" s="1"/>
  <c r="J4" i="6"/>
  <c r="J4" i="1"/>
  <c r="H23" i="16"/>
  <c r="P5" i="6"/>
  <c r="B9" i="7" s="1"/>
  <c r="Q8" i="6"/>
  <c r="J9" i="11" s="1"/>
  <c r="G9" i="11"/>
  <c r="H9" i="11" s="1"/>
  <c r="K6" i="15"/>
  <c r="L11" i="15"/>
  <c r="G10" i="11"/>
  <c r="H10" i="11" s="1"/>
  <c r="I10" i="11" s="1"/>
  <c r="F10" i="17" s="1"/>
  <c r="L12" i="15"/>
  <c r="G11" i="11"/>
  <c r="H11" i="11" s="1"/>
  <c r="I11" i="11" s="1"/>
  <c r="F11" i="17" s="1"/>
  <c r="L13" i="15"/>
  <c r="G12" i="11"/>
  <c r="H12" i="11" s="1"/>
  <c r="I12" i="11" s="1"/>
  <c r="F12" i="17" s="1"/>
  <c r="L14" i="15"/>
  <c r="G13" i="11"/>
  <c r="H13" i="11" s="1"/>
  <c r="I13" i="11" s="1"/>
  <c r="F13" i="17" s="1"/>
  <c r="L15" i="15"/>
  <c r="G14" i="11"/>
  <c r="H14" i="11" s="1"/>
  <c r="I14" i="11" s="1"/>
  <c r="F14" i="17" s="1"/>
  <c r="L16" i="15"/>
  <c r="G15" i="11"/>
  <c r="H15" i="11" s="1"/>
  <c r="I15" i="11" s="1"/>
  <c r="F15" i="17" s="1"/>
  <c r="L17" i="15"/>
  <c r="G16" i="11"/>
  <c r="H16" i="11" s="1"/>
  <c r="I16" i="11" s="1"/>
  <c r="F16" i="17" s="1"/>
  <c r="L18" i="15"/>
  <c r="G17" i="11"/>
  <c r="H17" i="11" s="1"/>
  <c r="I17" i="11" s="1"/>
  <c r="F17" i="17" s="1"/>
  <c r="L19" i="15"/>
  <c r="G18" i="11"/>
  <c r="H18" i="11" s="1"/>
  <c r="I18" i="11" s="1"/>
  <c r="F18" i="17" s="1"/>
  <c r="L20" i="15"/>
  <c r="G19" i="11"/>
  <c r="H19" i="11" s="1"/>
  <c r="I19" i="11" s="1"/>
  <c r="F19" i="17" s="1"/>
  <c r="L21" i="15"/>
  <c r="G20" i="11"/>
  <c r="H20" i="11" s="1"/>
  <c r="I20" i="11" s="1"/>
  <c r="F20" i="17" s="1"/>
  <c r="L22" i="15"/>
  <c r="G21" i="11"/>
  <c r="H21" i="11" s="1"/>
  <c r="I21" i="11" s="1"/>
  <c r="F21" i="17" s="1"/>
  <c r="L23" i="15"/>
  <c r="G22" i="11"/>
  <c r="H22" i="11" s="1"/>
  <c r="I22" i="11" s="1"/>
  <c r="F22" i="17" s="1"/>
  <c r="L24" i="15"/>
  <c r="G23" i="11"/>
  <c r="H23" i="11" s="1"/>
  <c r="I23" i="11" s="1"/>
  <c r="F23" i="17" s="1"/>
  <c r="L25" i="15"/>
  <c r="G24" i="11"/>
  <c r="H24" i="11" s="1"/>
  <c r="I24" i="11" s="1"/>
  <c r="F24" i="17" s="1"/>
  <c r="L26" i="15"/>
  <c r="G25" i="11"/>
  <c r="H25" i="11" s="1"/>
  <c r="I25" i="11" s="1"/>
  <c r="F25" i="17" s="1"/>
  <c r="L27" i="15"/>
  <c r="G26" i="11"/>
  <c r="H26" i="11" s="1"/>
  <c r="I26" i="11" s="1"/>
  <c r="F26" i="17" s="1"/>
  <c r="L28" i="15"/>
  <c r="G27" i="11"/>
  <c r="H27" i="11" s="1"/>
  <c r="I27" i="11" s="1"/>
  <c r="F27" i="17" s="1"/>
  <c r="L29" i="15"/>
  <c r="G28" i="11"/>
  <c r="H28" i="11" s="1"/>
  <c r="I28" i="11" s="1"/>
  <c r="F28" i="17" s="1"/>
  <c r="L30" i="15"/>
  <c r="G29" i="11"/>
  <c r="H29" i="11" s="1"/>
  <c r="I29" i="11" s="1"/>
  <c r="F29" i="17" s="1"/>
  <c r="L31" i="15"/>
  <c r="G30" i="11"/>
  <c r="H30" i="11" s="1"/>
  <c r="I30" i="11" s="1"/>
  <c r="F30" i="17" s="1"/>
  <c r="L32" i="15"/>
  <c r="G31" i="11"/>
  <c r="H31" i="11" s="1"/>
  <c r="I31" i="11" s="1"/>
  <c r="F31" i="17" s="1"/>
  <c r="L33" i="15"/>
  <c r="G32" i="11"/>
  <c r="H32" i="11" s="1"/>
  <c r="I32" i="11" s="1"/>
  <c r="F32" i="17" s="1"/>
  <c r="L34" i="15"/>
  <c r="G33" i="11"/>
  <c r="H33" i="11" s="1"/>
  <c r="I33" i="11" s="1"/>
  <c r="F33" i="17" s="1"/>
  <c r="L35" i="15"/>
  <c r="T5" i="6"/>
  <c r="T6" i="1"/>
  <c r="J23" i="16"/>
  <c r="F5" i="13" l="1"/>
  <c r="L6" i="3"/>
  <c r="I6" i="12"/>
  <c r="B11" i="10" s="1"/>
  <c r="C11" i="10" s="1"/>
  <c r="C15" i="10"/>
  <c r="L6" i="15"/>
  <c r="H6" i="11"/>
  <c r="B19" i="10" s="1"/>
  <c r="B14" i="10" s="1"/>
  <c r="I9" i="11"/>
  <c r="E12" i="10"/>
  <c r="C9" i="7"/>
  <c r="F12" i="10" s="1"/>
  <c r="B10" i="7"/>
  <c r="E13" i="10" l="1"/>
  <c r="C10" i="7"/>
  <c r="F13" i="10" s="1"/>
  <c r="B30" i="10"/>
  <c r="C30" i="10" s="1"/>
  <c r="C14" i="10"/>
  <c r="F9" i="17"/>
  <c r="F5" i="17" s="1"/>
  <c r="I6" i="11"/>
  <c r="B12" i="10" s="1"/>
  <c r="C12" i="10" l="1"/>
  <c r="B13" i="10"/>
  <c r="B29" i="10" l="1"/>
  <c r="C29" i="10" s="1"/>
  <c r="C13" i="10"/>
</calcChain>
</file>

<file path=xl/sharedStrings.xml><?xml version="1.0" encoding="utf-8"?>
<sst xmlns="http://schemas.openxmlformats.org/spreadsheetml/2006/main" count="519" uniqueCount="244">
  <si>
    <t>Projeto:</t>
  </si>
  <si>
    <t>No.</t>
  </si>
  <si>
    <t>Categoria</t>
  </si>
  <si>
    <t>Impacto</t>
  </si>
  <si>
    <t>Priori-</t>
  </si>
  <si>
    <t>dade</t>
  </si>
  <si>
    <t>Probabi-</t>
  </si>
  <si>
    <t>lidade (%)</t>
  </si>
  <si>
    <t>Valor</t>
  </si>
  <si>
    <t>Esperado</t>
  </si>
  <si>
    <t>Sensibilidade:</t>
  </si>
  <si>
    <t xml:space="preserve"> </t>
  </si>
  <si>
    <t>Percentual de variação sobre a Quantificação (probabilidade e Impacto) do Risco - ferramenta de análise</t>
  </si>
  <si>
    <t>Chance de Ocorrência do Risco (%)</t>
  </si>
  <si>
    <t>Cliente:</t>
  </si>
  <si>
    <t>Resp:</t>
  </si>
  <si>
    <t>Evento de Ameaça</t>
  </si>
  <si>
    <t xml:space="preserve">Percentual de variação sobre a Quantificação (probabilidade e Impacto) do Risco - ferramenta de análise </t>
  </si>
  <si>
    <t>Evento de Oportunidade</t>
  </si>
  <si>
    <t>Observação</t>
  </si>
  <si>
    <t>sem Riscos</t>
  </si>
  <si>
    <t>Riscos - Ameaças</t>
  </si>
  <si>
    <t>Riscos - Oportunidades</t>
  </si>
  <si>
    <t>AMEAÇAS</t>
  </si>
  <si>
    <t>OPORTUNIDADES</t>
  </si>
  <si>
    <t>Ajustado</t>
  </si>
  <si>
    <t>(input)</t>
  </si>
  <si>
    <t>Responsável</t>
  </si>
  <si>
    <t>Probabilidade:</t>
  </si>
  <si>
    <t xml:space="preserve">Valor </t>
  </si>
  <si>
    <t xml:space="preserve">Data </t>
  </si>
  <si>
    <t>Ocorrência</t>
  </si>
  <si>
    <t>Data</t>
  </si>
  <si>
    <t>Identif.</t>
  </si>
  <si>
    <t xml:space="preserve">Valor Base do Projeto </t>
  </si>
  <si>
    <t>Dados Comuns do Projeto:</t>
  </si>
  <si>
    <t>Custo da</t>
  </si>
  <si>
    <t>Aceitar</t>
  </si>
  <si>
    <t>Mitigar</t>
  </si>
  <si>
    <t>Tipos de reação</t>
  </si>
  <si>
    <t>Percentual de variação sobre a Quantificação (probabilidade e Impacto) do Risco - ferramenta de análise de Sensibilidade</t>
  </si>
  <si>
    <t>Valor Base do Projeto - Original</t>
  </si>
  <si>
    <t xml:space="preserve">Novo Valor Base do Projeto </t>
  </si>
  <si>
    <t>Gerente Responsável:</t>
  </si>
  <si>
    <t>Data Análise:</t>
  </si>
  <si>
    <t>Resp. Revisão:</t>
  </si>
  <si>
    <t>Data Última Revisão:</t>
  </si>
  <si>
    <t>Foco da Análise:</t>
  </si>
  <si>
    <t>Valor Base do Projeto:</t>
  </si>
  <si>
    <t>Novo Valor Base do Projeto:</t>
  </si>
  <si>
    <t xml:space="preserve">Evento </t>
  </si>
  <si>
    <t>Evento</t>
  </si>
  <si>
    <t>Reserva Gerencial</t>
  </si>
  <si>
    <t>Total das Reservas</t>
  </si>
  <si>
    <t>Processo de Identificação dos Riscos:</t>
  </si>
  <si>
    <t>Ameaças:</t>
  </si>
  <si>
    <t>Oportunidades:</t>
  </si>
  <si>
    <t>Valores</t>
  </si>
  <si>
    <t>Totais</t>
  </si>
  <si>
    <t>Oportunidades</t>
  </si>
  <si>
    <t>Ameaças</t>
  </si>
  <si>
    <t>Estratégia</t>
  </si>
  <si>
    <t>Aceitar Ativa</t>
  </si>
  <si>
    <t>Aceitar Passiva</t>
  </si>
  <si>
    <t>Transferir</t>
  </si>
  <si>
    <t>Contingencia</t>
  </si>
  <si>
    <t>Contorno</t>
  </si>
  <si>
    <t>Acomp.</t>
  </si>
  <si>
    <t>Valores Esperados com Reservas</t>
  </si>
  <si>
    <t>Variação</t>
  </si>
  <si>
    <t>Valores Originais</t>
  </si>
  <si>
    <t>Somatório dos custos das ações de Contingência</t>
  </si>
  <si>
    <t>Entrar com o Valor Desejado (normalmente menor que os usuais 10%)</t>
  </si>
  <si>
    <t>Valor Total</t>
  </si>
  <si>
    <t>TOTAL - Valor Esperado das Ameaças</t>
  </si>
  <si>
    <t>TOTAL - Valor Esperado das Oportunidades</t>
  </si>
  <si>
    <t>Melhorar</t>
  </si>
  <si>
    <t>Sensibilidade</t>
  </si>
  <si>
    <t>Qualitativo</t>
  </si>
  <si>
    <t>PXI</t>
  </si>
  <si>
    <t>Quantitativo</t>
  </si>
  <si>
    <t>Rank</t>
  </si>
  <si>
    <t>Análise Qualitativa</t>
  </si>
  <si>
    <t>Evitar</t>
  </si>
  <si>
    <t xml:space="preserve">                Análise Quantitativa</t>
  </si>
  <si>
    <t xml:space="preserve">                  Análise Quantitativa</t>
  </si>
  <si>
    <t>Matriz auxiliar na determinação da probabilidade (P) de ocorrência do risco</t>
  </si>
  <si>
    <t>Descrição</t>
  </si>
  <si>
    <t>Muito Baixa</t>
  </si>
  <si>
    <t>Baixa</t>
  </si>
  <si>
    <t>Média</t>
  </si>
  <si>
    <r>
      <t>Possível</t>
    </r>
    <r>
      <rPr>
        <sz val="10"/>
        <rFont val="Calibri"/>
        <family val="2"/>
      </rPr>
      <t>. Deve ocorrer em algum momento.</t>
    </r>
  </si>
  <si>
    <t>Alta</t>
  </si>
  <si>
    <t>Muito Alta</t>
  </si>
  <si>
    <t>Matriz auxiliar na determinação do impacto (I) do risco sobre o projeto</t>
  </si>
  <si>
    <t>Categoria de Objetivos do Projeto</t>
  </si>
  <si>
    <t>Qualidade</t>
  </si>
  <si>
    <t>Custo</t>
  </si>
  <si>
    <t>Cronograma</t>
  </si>
  <si>
    <t>Escopo</t>
  </si>
  <si>
    <t>Muito Baixo</t>
  </si>
  <si>
    <t>Diminuição quase imperceptível do escopo.</t>
  </si>
  <si>
    <t>Baixo</t>
  </si>
  <si>
    <t>Apenas aplicações mais exigentes são afetadas.</t>
  </si>
  <si>
    <t>Áreas de pouca importância do escopo são afetadas</t>
  </si>
  <si>
    <t>Médio</t>
  </si>
  <si>
    <t>Alto</t>
  </si>
  <si>
    <t>Redução do escopo inaceitável para o cliente</t>
  </si>
  <si>
    <t>Muito Alto</t>
  </si>
  <si>
    <t>Produto final do projeto inadequado.</t>
  </si>
  <si>
    <t>Probabilidade</t>
  </si>
  <si>
    <t>Ferramenta de Gerenciamento de Riscos em Projetos</t>
  </si>
  <si>
    <t>TOTAL:</t>
  </si>
  <si>
    <t>Explorar</t>
  </si>
  <si>
    <t>Compartilhar</t>
  </si>
  <si>
    <t>Matriz de Vulnerabilidade (Ameaças 1 a 15)</t>
  </si>
  <si>
    <t>Matriz de vulnerabilidade auxiliar (P x I) para a determinação dos patamares de graduação dos riscos (Calculada automaticamente pelo sistema)</t>
  </si>
  <si>
    <t>Ordinal</t>
  </si>
  <si>
    <r>
      <t>Rara.</t>
    </r>
    <r>
      <rPr>
        <sz val="10"/>
        <rFont val="Calibri"/>
        <family val="2"/>
      </rPr>
      <t xml:space="preserve"> Ocorre somente em circunstâncias excepcionais.</t>
    </r>
  </si>
  <si>
    <r>
      <t xml:space="preserve">Improvável. </t>
    </r>
    <r>
      <rPr>
        <sz val="10"/>
        <rFont val="Calibri"/>
        <family val="2"/>
      </rPr>
      <t>Pode ocorre em algum momento.</t>
    </r>
  </si>
  <si>
    <r>
      <t xml:space="preserve">Provável. </t>
    </r>
    <r>
      <rPr>
        <sz val="10"/>
        <rFont val="Calibri"/>
        <family val="2"/>
      </rPr>
      <t>Vai ocorrer na maioria das circunstâncias.</t>
    </r>
  </si>
  <si>
    <r>
      <t xml:space="preserve">Quase certa. </t>
    </r>
    <r>
      <rPr>
        <sz val="10"/>
        <rFont val="Calibri"/>
        <family val="2"/>
      </rPr>
      <t>Ocorre em quase todas as circunstâncias.</t>
    </r>
  </si>
  <si>
    <t>GERAL</t>
  </si>
  <si>
    <t>Deslocamento insignificante no cronograma</t>
  </si>
  <si>
    <t>Deslocamento no cronograma &lt; 5%</t>
  </si>
  <si>
    <t>Deslocamento no cronograma &lt;5 - 10%</t>
  </si>
  <si>
    <t>Áreas importantes do escopo são afetadas</t>
  </si>
  <si>
    <t xml:space="preserve">Consequências não ameaçam o projeto mas este vai sofrer alterações
</t>
  </si>
  <si>
    <t>Deslocamento no cronograma &lt; 10 - 20%</t>
  </si>
  <si>
    <t xml:space="preserve">Consequências ameaçam o projeto
</t>
  </si>
  <si>
    <t>Deslocamento no cronograma &gt; 20%</t>
  </si>
  <si>
    <t xml:space="preserve">Consequências ameaçam o projeto e a organização
</t>
  </si>
  <si>
    <t xml:space="preserve">Consequências  não ameaçam  objetivos do projeto
</t>
  </si>
  <si>
    <t>Impactos</t>
  </si>
  <si>
    <t>Valores limite</t>
  </si>
  <si>
    <t>da matriz</t>
  </si>
  <si>
    <t>Responsáveis pelo Acompanhamento:</t>
  </si>
  <si>
    <t>Apesar de conterem formulas, podem ser alterados pelo usuário.</t>
  </si>
  <si>
    <t>Valor Monetário Esperado do Projeto (VME) - Inicial (Pré-Resposta)</t>
  </si>
  <si>
    <t>VME do Projeto com Riscos</t>
  </si>
  <si>
    <t>VME - Melhor Caso</t>
  </si>
  <si>
    <t>VME - Pior Caso</t>
  </si>
  <si>
    <t>Valor Monetário Esperado</t>
  </si>
  <si>
    <t>Respostas aos Riscos - Contenção/ Prevenção e Contingência - AMEAÇAS</t>
  </si>
  <si>
    <t>Valores Totais nas Respostas de AMEAÇAS</t>
  </si>
  <si>
    <t>OBS: Opotunidades na pasta Resposta-Oport</t>
  </si>
  <si>
    <t>Resposta</t>
  </si>
  <si>
    <t>RESPOSTA</t>
  </si>
  <si>
    <t>Dados antes da Resposta</t>
  </si>
  <si>
    <t>Respostas aos Riscos - Ações para as OPORTUNIDADES</t>
  </si>
  <si>
    <t>Valores Totais nas Respostas de OPORTUNIDADES</t>
  </si>
  <si>
    <t>CONTENÇÃO/ PREVENÇÃO (Antes que o risco ocorra)</t>
  </si>
  <si>
    <t>Valor Monetário Esperado do Projeto - Após as respostas</t>
  </si>
  <si>
    <t>Custo das Respostas - Ameaças</t>
  </si>
  <si>
    <t>Custo das Respostas - Oportunidades</t>
  </si>
  <si>
    <t>TOTAIS</t>
  </si>
  <si>
    <t>CONCLUSÃO -  entrar com o texto referente a suas conclusões e alterações no plano de gerenciamento e nos documentos do projeto</t>
  </si>
  <si>
    <t>Sem Riscos</t>
  </si>
  <si>
    <t>Lista Final de Ameaças (Pós-Resposta, para acompanhar durante o Projeto)</t>
  </si>
  <si>
    <t>Lista Final de Oportunidades (Pós-Resposta, para acompanhar durante o Projeto)</t>
  </si>
  <si>
    <t>Controle das AMEAÇAS</t>
  </si>
  <si>
    <t>Dados do Planejamento</t>
  </si>
  <si>
    <t>OPORT.</t>
  </si>
  <si>
    <t>Custo REAL</t>
  </si>
  <si>
    <t>Controle das OPORTUNIDADES</t>
  </si>
  <si>
    <t>Risco Geral das Ameaças do Projeto:</t>
  </si>
  <si>
    <t>Risco Geral das Oportunidades:</t>
  </si>
  <si>
    <t>Alguns exemplos de categorias de causas de riscos</t>
  </si>
  <si>
    <t>Com os custos das Respostas</t>
  </si>
  <si>
    <t>% em relação ao valor 
original do projeto</t>
  </si>
  <si>
    <t>VME Ameaças (final)</t>
  </si>
  <si>
    <t>VME Oportunidades (final)</t>
  </si>
  <si>
    <t>VME - Melhor Caso (só oportunidades)</t>
  </si>
  <si>
    <t>VME - Pior Caso (só ameaças)</t>
  </si>
  <si>
    <t>NOVOS</t>
  </si>
  <si>
    <t>se todas as ameaças acontecerem, já utilizando as respostas às ameaças.</t>
  </si>
  <si>
    <t>se todas as oportunidades acontecerem, já utilizando as respostas às oportunidades.</t>
  </si>
  <si>
    <t>Antes das Respostas</t>
  </si>
  <si>
    <t>Após as respostas</t>
  </si>
  <si>
    <t>Para usar durante o Projeto</t>
  </si>
  <si>
    <r>
      <rPr>
        <b/>
        <sz val="9"/>
        <color indexed="9"/>
        <rFont val="Helvetica"/>
      </rPr>
      <t xml:space="preserve">Valor  final </t>
    </r>
    <r>
      <rPr>
        <sz val="9"/>
        <color indexed="9"/>
        <rFont val="Helvetica"/>
        <family val="2"/>
      </rPr>
      <t>do custo ou do resultado do projeto</t>
    </r>
  </si>
  <si>
    <t>Inclui as reservas de contingência e gerencial</t>
  </si>
  <si>
    <t>Contingência</t>
  </si>
  <si>
    <t xml:space="preserve">   Atenção! Atualizar P / I conforme a resposta</t>
  </si>
  <si>
    <t xml:space="preserve">      Deve reduzir a probabilidade e/ou o impacto</t>
  </si>
  <si>
    <t xml:space="preserve">     Deve aumentar a probabilidade e/ou o impacto</t>
  </si>
  <si>
    <t>MELHORIA / ALAVANCAGEM (antes que o risco ocorra)</t>
  </si>
  <si>
    <t>APROVEITAMENTO (Depois que o risco ocorreu)</t>
  </si>
  <si>
    <t>Aproveitamento</t>
  </si>
  <si>
    <t>Custo do</t>
  </si>
  <si>
    <t>OBS: Ameacas na pasta Resposta-Ameacas</t>
  </si>
  <si>
    <t xml:space="preserve">Consequências são tratadas com operações de rotina 
</t>
  </si>
  <si>
    <t>Lista de Riscos - Ameaças - Análise inicial antes da resposta</t>
  </si>
  <si>
    <t>Lista de Riscos - Oportunidades - Análise inicial antes da resposta</t>
  </si>
  <si>
    <t>Incluindo Causa Raiz  e Efeito</t>
  </si>
  <si>
    <t>Descrição da Ameaça</t>
  </si>
  <si>
    <t>Descrição da Oportunidade</t>
  </si>
  <si>
    <t>versão 6.6</t>
  </si>
  <si>
    <t>Análise por Custos</t>
  </si>
  <si>
    <t>Campos de Entrada de Dados</t>
  </si>
  <si>
    <t>CONTINGÊNCIA ADICIONAL (Para usar depois que o risco ocorreu - se necessário)</t>
  </si>
  <si>
    <t>Variação insignificante de custo</t>
  </si>
  <si>
    <t>Variação  de custo &lt; 5%</t>
  </si>
  <si>
    <t>Variação de custo &lt;5 - 10%</t>
  </si>
  <si>
    <t>Variação  de custo &lt; 10 -20%</t>
  </si>
  <si>
    <t>Variação  de custo &gt; 20%</t>
  </si>
  <si>
    <t>Alteração quase imperceptível da qualidade.</t>
  </si>
  <si>
    <t>Alteração da qualidade requer a aprovação do cliente</t>
  </si>
  <si>
    <t>Alteração da qualidade inaceitável para o cliente.</t>
  </si>
  <si>
    <t xml:space="preserve">Produto final do projeto não utilizável / muito diferente </t>
  </si>
  <si>
    <t>Projeto Realização do Churrasco da Turma</t>
  </si>
  <si>
    <t>Turma MBA GP18</t>
  </si>
  <si>
    <t>Vicente</t>
  </si>
  <si>
    <t>Kenny</t>
  </si>
  <si>
    <t>Dificuldade de acesso ao local - Temporal não esperado no período, ocasionando no cancelamento do churrasco</t>
  </si>
  <si>
    <t>Aumento do custo do churrasco - Aumento do valor do churrasqueiro, ocasionando baixa adesão</t>
  </si>
  <si>
    <t>Reclamações - Playlist inadequada, gerando insatisfação dos participantes</t>
  </si>
  <si>
    <t>Inadimplência - Má indole, resultando em prejuízo</t>
  </si>
  <si>
    <t>Baixa adesão ao churrasco, pois concorre com outros eventos e, consequentemente, resultando no cancelamento do churrasco</t>
  </si>
  <si>
    <t>Baixa adesão - devido ao conflito com data e horário, resultando no cancelamento do churrasco</t>
  </si>
  <si>
    <t>Churrasqueiro ruim - Churrasqueiro sem habilidade, ocasionando insatisfação dos convidados</t>
  </si>
  <si>
    <t>Churrasqueiro não compareceu - Sofreu acidente, logo o churrasco irá atrasar</t>
  </si>
  <si>
    <t>Bebida quente - Pois a geladeira quebrou, logo gera instatisfação nos convidados</t>
  </si>
  <si>
    <t>Externo</t>
  </si>
  <si>
    <t>Técnico</t>
  </si>
  <si>
    <t>Organizacional</t>
  </si>
  <si>
    <t>Brainstorming</t>
  </si>
  <si>
    <t>Redução do custo da bebida</t>
  </si>
  <si>
    <t>Fornecimento do espaço de forma gratuita</t>
  </si>
  <si>
    <t xml:space="preserve">Negociação prévia com churrasqueiro oficializado em contrato, neste serão determinados valores, condições de pagamento bem como multas para o caso de alguma das partes não cumprir o acordado. </t>
  </si>
  <si>
    <t>Reclamações - Comida insuficiente, ocasionando na insatisfação dos participantes</t>
  </si>
  <si>
    <t>Reclamações - Bebida insuficiente, ocasionando na insatisfação dos participantes</t>
  </si>
  <si>
    <t>Faremos o planejamento antecipadamente com estimativa do número de participantes determinando a quantidade de bebida mínima necessária. Faremos também a confirmação de presença para assertividade no número de participantes.</t>
  </si>
  <si>
    <t>Membros do Grupo</t>
  </si>
  <si>
    <t>Adriana Torres
Jean Alves
Kenny Nunes
Priscila Liao
Vicente Milani</t>
  </si>
  <si>
    <t>Turma GP18</t>
  </si>
  <si>
    <t>Selecionaremos uma chacará com estrada pavimentada, no qual mesmo com chuva, não inviabilizará os eventos e que também ofereça espaço reserva  coberto como opção para eventos em dias chuvosos ou frios</t>
  </si>
  <si>
    <t>Faremos o planejamento antecipadamente com estimativa do número de participantes determinando a quantidade de comida mínima necessária. Faremos também a confirmação de presença para assertividade no número de participantes.
Ofereceremos cardápio com outros alimentos, além do churrasco, com variedades para atender diferentes preferencias alimentares, inclusive opções para vegetarianos e veganos.</t>
  </si>
  <si>
    <t>A organização da playlist será democrática para agradar a todos, porém não teremos músicas ofensivas e controversas evitando desconfortos. 
Antes do evento faremos levantamento das preferencias musicais individuais e solicitaremos sugestões de músicas. Assim, teremos em nossa playlist variedade de generos para agradar as diferentes preferencias. Identificaremos o volume adequado para a música ser perceptível, mas não tão alta a ponto de impedir a comunicação entre os participantes.</t>
  </si>
  <si>
    <t>Teremos política de pagamento antecipado onde os participantes deverão pagar o valor antes que o evento aconteça. Assim, todos os participantes estarão comprometidos financeiramente já na etapa da organização do evento. Teremos prazo final do pagamento claramente definido e comunicado a todos para que se programem e se organizem. 
Teremos clara comunicação sobre consenquências da inadimplência do pagamento, ou seja, sobre a exclusão da participação daqueles que não cumprirem com o acordo financeiro</t>
  </si>
  <si>
    <t xml:space="preserve">Pesquisaremos as agendas antecipadamente avaliando informações sobre eventos pessoais importantes dos participantes e selecionaremos a data com menor conflito. Esta etapa de seleção de data será realizada com antecedência e será divulgada para os participantes para que reservem o quanto antes em suas agendas. 
Adotaremos a estratégia de tornar o evento atraente para aumentar o interesse. Se os alunos tiverem a percepção que é uma ocasião única e especial poderão fazer um esforço extra para participar e priorizar em suas agendas. </t>
  </si>
  <si>
    <t xml:space="preserve">Deixaremos no local caixas térmicas grandes. Caso, no dia do churrasco, idenficarmos  o mal funcionamento, o comite irá até o posto mais próximo (previamente mapeado) buscar gelo. </t>
  </si>
  <si>
    <t>Deixaremos previamente organizado outro churrasqueiro que assumirá o compromisso mesmo que com valor mais elevado.</t>
  </si>
  <si>
    <t xml:space="preserve">Pesquisaremos, de preferencia antes de definir data e horário, com os alunos para mapear as datas mais convenientes. Avaliaremos a possibilidade de decisão de data e horário através de votação, assim os alunos poderão expressar  suas preferencias quanto a data e horário do churrasco, definindo o momento mais adequado para a maioria.
Adotaremos a estratégia de tornar o evento atraente para aumentar o interesse. Se os alunos tiverem a percepção que é uma ocasião única e especial poderão fazer um esforço extra para parcipar e priorizar em suas agendas.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</si>
</sst>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$&quot;#,##0_);\(&quot;$&quot;#,##0\)"/>
    <numFmt numFmtId="165" formatCode="&quot;$&quot;#,##0_);[Red]\(&quot;$&quot;#,##0\)"/>
    <numFmt numFmtId="166" formatCode="[$$-409]#,##0"/>
    <numFmt numFmtId="167" formatCode="[$$-409]#,##0_);[Red]\([$$-409]#,##0\)"/>
    <numFmt numFmtId="168" formatCode="dd/mm/yy;@"/>
    <numFmt numFmtId="169" formatCode="0.0%"/>
    <numFmt numFmtId="170" formatCode="0.0"/>
    <numFmt numFmtId="171" formatCode="&quot;R$&quot;\ #,##0"/>
    <numFmt numFmtId="172" formatCode="&quot;Muito Baixo&quot;"/>
    <numFmt numFmtId="173" formatCode="&quot;Baixo&quot;"/>
    <numFmt numFmtId="174" formatCode="&quot;Médio&quot;"/>
    <numFmt numFmtId="175" formatCode="&quot;Alto&quot;"/>
    <numFmt numFmtId="176" formatCode="&quot;Muito Alto&quot;"/>
  </numFmts>
  <fonts count="78">
    <font>
      <sz val="9"/>
      <name val="Arial"/>
    </font>
    <font>
      <b/>
      <sz val="14"/>
      <color indexed="9"/>
      <name val="Helvetica"/>
      <family val="2"/>
    </font>
    <font>
      <b/>
      <sz val="10"/>
      <color indexed="9"/>
      <name val="Helvetica"/>
      <family val="2"/>
    </font>
    <font>
      <sz val="10"/>
      <color indexed="9"/>
      <name val="Helvetica"/>
      <family val="2"/>
    </font>
    <font>
      <sz val="9"/>
      <name val="Helvetica"/>
      <family val="2"/>
    </font>
    <font>
      <sz val="10"/>
      <name val="Helvetica"/>
      <family val="2"/>
    </font>
    <font>
      <b/>
      <sz val="10"/>
      <color indexed="18"/>
      <name val="Helvetica"/>
      <family val="2"/>
    </font>
    <font>
      <b/>
      <sz val="10"/>
      <name val="Helvetica"/>
      <family val="2"/>
    </font>
    <font>
      <b/>
      <sz val="10"/>
      <color indexed="10"/>
      <name val="Helvetica"/>
      <family val="2"/>
    </font>
    <font>
      <b/>
      <sz val="10"/>
      <color indexed="43"/>
      <name val="Helvetica"/>
      <family val="2"/>
    </font>
    <font>
      <sz val="10"/>
      <color indexed="43"/>
      <name val="Helvetica"/>
      <family val="2"/>
    </font>
    <font>
      <sz val="10"/>
      <color indexed="18"/>
      <name val="Helvetica"/>
      <family val="2"/>
    </font>
    <font>
      <b/>
      <sz val="9"/>
      <color indexed="9"/>
      <name val="Helvetica"/>
      <family val="2"/>
    </font>
    <font>
      <sz val="9"/>
      <color indexed="9"/>
      <name val="Helvetica"/>
      <family val="2"/>
    </font>
    <font>
      <b/>
      <sz val="12"/>
      <color indexed="9"/>
      <name val="Helvetica"/>
      <family val="2"/>
    </font>
    <font>
      <sz val="11"/>
      <name val="Helvetica"/>
      <family val="2"/>
    </font>
    <font>
      <b/>
      <sz val="11"/>
      <color indexed="9"/>
      <name val="Helvetica"/>
      <family val="2"/>
    </font>
    <font>
      <sz val="8"/>
      <name val="Helvetica"/>
      <family val="2"/>
    </font>
    <font>
      <sz val="6"/>
      <color indexed="18"/>
      <name val="Helvetica"/>
      <family val="2"/>
    </font>
    <font>
      <sz val="6"/>
      <name val="Helvetica"/>
      <family val="2"/>
    </font>
    <font>
      <sz val="9"/>
      <color indexed="43"/>
      <name val="Helvetica"/>
      <family val="2"/>
    </font>
    <font>
      <b/>
      <sz val="11"/>
      <color indexed="10"/>
      <name val="Helvetica"/>
      <family val="2"/>
    </font>
    <font>
      <b/>
      <sz val="11"/>
      <name val="Helvetica"/>
      <family val="2"/>
    </font>
    <font>
      <sz val="11"/>
      <color indexed="9"/>
      <name val="Helvetica"/>
      <family val="2"/>
    </font>
    <font>
      <b/>
      <sz val="9"/>
      <name val="Helvetica"/>
      <family val="2"/>
    </font>
    <font>
      <b/>
      <i/>
      <sz val="10"/>
      <color indexed="9"/>
      <name val="Helvetica"/>
      <family val="2"/>
    </font>
    <font>
      <b/>
      <sz val="14"/>
      <color indexed="43"/>
      <name val="Helvetica"/>
      <family val="2"/>
    </font>
    <font>
      <i/>
      <sz val="10"/>
      <color indexed="9"/>
      <name val="Helvetica"/>
      <family val="2"/>
    </font>
    <font>
      <b/>
      <sz val="8"/>
      <color indexed="9"/>
      <name val="Helvetica"/>
      <family val="2"/>
    </font>
    <font>
      <i/>
      <sz val="10"/>
      <name val="Helvetica"/>
      <family val="2"/>
    </font>
    <font>
      <b/>
      <sz val="12"/>
      <color indexed="43"/>
      <name val="Helvetica"/>
      <family val="2"/>
    </font>
    <font>
      <i/>
      <sz val="11"/>
      <color indexed="9"/>
      <name val="Helvetica"/>
      <family val="2"/>
    </font>
    <font>
      <b/>
      <sz val="11"/>
      <color indexed="43"/>
      <name val="Helvetica"/>
      <family val="2"/>
    </font>
    <font>
      <sz val="11"/>
      <color indexed="43"/>
      <name val="Helvetica"/>
      <family val="2"/>
    </font>
    <font>
      <sz val="11"/>
      <name val="Helvetica"/>
    </font>
    <font>
      <sz val="9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9"/>
      <name val="Arial"/>
      <family val="2"/>
    </font>
    <font>
      <b/>
      <sz val="10"/>
      <color indexed="43"/>
      <name val="Helvetica"/>
    </font>
    <font>
      <sz val="10"/>
      <name val="Futura Bk"/>
      <family val="2"/>
    </font>
    <font>
      <b/>
      <sz val="10"/>
      <name val="Arial"/>
      <family val="2"/>
    </font>
    <font>
      <b/>
      <sz val="10"/>
      <name val="Futura Bk"/>
      <family val="2"/>
    </font>
    <font>
      <b/>
      <sz val="9"/>
      <name val="Futura Bk"/>
      <family val="2"/>
    </font>
    <font>
      <b/>
      <sz val="10"/>
      <color indexed="9"/>
      <name val="Helvetica"/>
    </font>
    <font>
      <sz val="10"/>
      <color indexed="9"/>
      <name val="Helvetica"/>
    </font>
    <font>
      <b/>
      <sz val="9"/>
      <color indexed="9"/>
      <name val="Helvetica"/>
    </font>
    <font>
      <sz val="9"/>
      <color indexed="9"/>
      <name val="Helvetica"/>
    </font>
    <font>
      <sz val="9"/>
      <color indexed="56"/>
      <name val="Helvetica"/>
    </font>
    <font>
      <sz val="9"/>
      <color indexed="56"/>
      <name val="Helvetica"/>
      <family val="2"/>
    </font>
    <font>
      <b/>
      <sz val="10"/>
      <color indexed="9"/>
      <name val="Calibri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4A68"/>
      <name val="Helvetica"/>
      <family val="2"/>
    </font>
    <font>
      <sz val="10"/>
      <color rgb="FF004A68"/>
      <name val="Helvetica"/>
      <family val="2"/>
    </font>
    <font>
      <b/>
      <sz val="11"/>
      <color rgb="FF004A68"/>
      <name val="Helvetica"/>
      <family val="2"/>
    </font>
    <font>
      <b/>
      <sz val="9"/>
      <color rgb="FF004A68"/>
      <name val="Helvetica"/>
      <family val="2"/>
    </font>
    <font>
      <sz val="11"/>
      <color rgb="FF004A68"/>
      <name val="Helvetica"/>
      <family val="2"/>
    </font>
    <font>
      <sz val="8"/>
      <color rgb="FF004A68"/>
      <name val="Helvetica"/>
      <family val="2"/>
    </font>
    <font>
      <i/>
      <sz val="10"/>
      <color rgb="FF004A68"/>
      <name val="Helvetica"/>
      <family val="2"/>
    </font>
    <font>
      <b/>
      <sz val="12"/>
      <color rgb="FF004A68"/>
      <name val="Futura Bk"/>
      <family val="2"/>
    </font>
    <font>
      <sz val="10"/>
      <color rgb="FF004A68"/>
      <name val="Helvetica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9"/>
      <color rgb="FF004A68"/>
      <name val="Helv"/>
      <family val="2"/>
    </font>
    <font>
      <b/>
      <sz val="9"/>
      <color rgb="FF004A68"/>
      <name val="Helvetica"/>
    </font>
    <font>
      <b/>
      <sz val="11"/>
      <color theme="0"/>
      <name val="Helvetica"/>
      <family val="2"/>
    </font>
    <font>
      <b/>
      <sz val="12"/>
      <color theme="0"/>
      <name val="Helvetica"/>
      <family val="2"/>
    </font>
    <font>
      <b/>
      <sz val="10"/>
      <color rgb="FF004A68"/>
      <name val="Helvetica"/>
    </font>
    <font>
      <sz val="10"/>
      <color rgb="FF005D82"/>
      <name val="Helvetica"/>
      <family val="2"/>
    </font>
    <font>
      <b/>
      <sz val="10"/>
      <color rgb="FF005D82"/>
      <name val="Helvetica"/>
      <family val="2"/>
    </font>
    <font>
      <b/>
      <sz val="10"/>
      <color theme="0"/>
      <name val="Helvetica"/>
      <family val="2"/>
    </font>
    <font>
      <sz val="10"/>
      <color theme="3" tint="-0.249977111117893"/>
      <name val="Helvetica"/>
    </font>
    <font>
      <b/>
      <sz val="10"/>
      <color theme="0"/>
      <name val="Calibri"/>
      <family val="2"/>
    </font>
    <font>
      <sz val="9"/>
      <color rgb="FF004A68"/>
      <name val="Helvetica"/>
    </font>
    <font>
      <b/>
      <sz val="11"/>
      <color rgb="FF005D82"/>
      <name val="Helvetica"/>
      <family val="2"/>
    </font>
    <font>
      <sz val="9"/>
      <color rgb="FF005D82"/>
      <name val="Arial"/>
      <family val="2"/>
    </font>
    <font>
      <sz val="9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2"/>
        <b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5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4A6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31849B"/>
        <bgColor indexed="64"/>
      </patternFill>
    </fill>
    <fill>
      <patternFill patternType="solid">
        <fgColor theme="2" tint="-9.9948118533890809E-2"/>
        <bgColor indexed="64"/>
      </patternFill>
    </fill>
  </fills>
  <borders count="43">
    <border>
      <left/>
      <right/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9"/>
      </bottom>
      <diagonal/>
    </border>
    <border>
      <left/>
      <right style="thin">
        <color indexed="64"/>
      </right>
      <top style="thin">
        <color indexed="64"/>
      </top>
      <bottom style="medium">
        <color indexed="9"/>
      </bottom>
      <diagonal/>
    </border>
    <border>
      <left/>
      <right style="thin">
        <color indexed="64"/>
      </right>
      <top/>
      <bottom style="medium">
        <color indexed="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medium">
        <color indexed="9"/>
      </bottom>
      <diagonal/>
    </border>
    <border>
      <left/>
      <right style="thin">
        <color theme="0"/>
      </right>
      <top/>
      <bottom style="medium">
        <color indexed="9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9"/>
      </top>
      <bottom/>
      <diagonal/>
    </border>
    <border>
      <left style="thin">
        <color theme="0"/>
      </left>
      <right style="thin">
        <color theme="1"/>
      </right>
      <top style="medium">
        <color indexed="9"/>
      </top>
      <bottom/>
      <diagonal/>
    </border>
    <border>
      <left style="thin">
        <color theme="0"/>
      </left>
      <right style="thin">
        <color theme="1"/>
      </right>
      <top/>
      <bottom style="thin">
        <color indexed="64"/>
      </bottom>
      <diagonal/>
    </border>
    <border>
      <left style="thin">
        <color theme="0"/>
      </left>
      <right/>
      <top style="medium">
        <color indexed="9"/>
      </top>
      <bottom/>
      <diagonal/>
    </border>
    <border>
      <left/>
      <right style="thin">
        <color theme="0"/>
      </right>
      <top style="medium">
        <color indexed="9"/>
      </top>
      <bottom/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medium">
        <color indexed="9"/>
      </top>
      <bottom style="thin">
        <color theme="0"/>
      </bottom>
      <diagonal/>
    </border>
    <border>
      <left/>
      <right style="thin">
        <color theme="0"/>
      </right>
      <top style="medium">
        <color indexed="9"/>
      </top>
      <bottom style="thin">
        <color theme="0"/>
      </bottom>
      <diagonal/>
    </border>
  </borders>
  <cellStyleXfs count="2">
    <xf numFmtId="0" fontId="0" fillId="0" borderId="0"/>
    <xf numFmtId="0" fontId="41" fillId="2" borderId="1" applyFill="0" applyBorder="0">
      <alignment horizontal="left" vertical="center"/>
    </xf>
  </cellStyleXfs>
  <cellXfs count="466">
    <xf numFmtId="0" fontId="0" fillId="0" borderId="0" xfId="0"/>
    <xf numFmtId="0" fontId="4" fillId="0" borderId="0" xfId="0" applyFont="1"/>
    <xf numFmtId="9" fontId="6" fillId="3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168" fontId="7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9" fontId="8" fillId="0" borderId="0" xfId="0" applyNumberFormat="1" applyFont="1" applyAlignment="1">
      <alignment horizontal="center" vertical="center"/>
    </xf>
    <xf numFmtId="0" fontId="5" fillId="0" borderId="0" xfId="0" applyFont="1"/>
    <xf numFmtId="0" fontId="10" fillId="0" borderId="0" xfId="0" applyFont="1"/>
    <xf numFmtId="168" fontId="5" fillId="0" borderId="0" xfId="0" applyNumberFormat="1" applyFont="1" applyAlignment="1">
      <alignment horizontal="left" vertical="center"/>
    </xf>
    <xf numFmtId="0" fontId="4" fillId="4" borderId="0" xfId="0" applyFont="1" applyFill="1"/>
    <xf numFmtId="0" fontId="11" fillId="0" borderId="0" xfId="0" applyFont="1" applyAlignment="1">
      <alignment horizontal="left" vertical="center"/>
    </xf>
    <xf numFmtId="0" fontId="5" fillId="4" borderId="0" xfId="0" applyFont="1" applyFill="1"/>
    <xf numFmtId="0" fontId="15" fillId="0" borderId="0" xfId="0" applyFont="1"/>
    <xf numFmtId="0" fontId="6" fillId="3" borderId="2" xfId="0" applyFont="1" applyFill="1" applyBorder="1" applyAlignment="1" applyProtection="1">
      <alignment horizontal="left" vertical="center"/>
      <protection locked="0"/>
    </xf>
    <xf numFmtId="14" fontId="6" fillId="3" borderId="2" xfId="0" applyNumberFormat="1" applyFont="1" applyFill="1" applyBorder="1" applyAlignment="1" applyProtection="1">
      <alignment horizontal="left" vertical="center"/>
      <protection locked="0"/>
    </xf>
    <xf numFmtId="0" fontId="17" fillId="0" borderId="0" xfId="0" applyFont="1" applyAlignment="1">
      <alignment horizontal="center"/>
    </xf>
    <xf numFmtId="0" fontId="18" fillId="0" borderId="0" xfId="0" applyFont="1"/>
    <xf numFmtId="0" fontId="18" fillId="0" borderId="0" xfId="0" applyFont="1" applyProtection="1">
      <protection locked="0"/>
    </xf>
    <xf numFmtId="0" fontId="19" fillId="4" borderId="0" xfId="0" applyFont="1" applyFill="1"/>
    <xf numFmtId="0" fontId="19" fillId="0" borderId="0" xfId="0" applyFont="1"/>
    <xf numFmtId="0" fontId="11" fillId="3" borderId="2" xfId="0" applyFont="1" applyFill="1" applyBorder="1" applyAlignment="1" applyProtection="1">
      <alignment horizontal="left" vertical="center" wrapText="1"/>
      <protection locked="0"/>
    </xf>
    <xf numFmtId="0" fontId="4" fillId="4" borderId="0" xfId="0" applyFont="1" applyFill="1" applyAlignment="1">
      <alignment wrapText="1"/>
    </xf>
    <xf numFmtId="0" fontId="4" fillId="0" borderId="0" xfId="0" applyFont="1" applyAlignment="1">
      <alignment wrapText="1"/>
    </xf>
    <xf numFmtId="9" fontId="8" fillId="0" borderId="0" xfId="0" applyNumberFormat="1" applyFont="1" applyAlignment="1">
      <alignment horizontal="left" vertical="center"/>
    </xf>
    <xf numFmtId="0" fontId="20" fillId="0" borderId="3" xfId="0" applyFont="1" applyBorder="1"/>
    <xf numFmtId="0" fontId="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9" fontId="21" fillId="0" borderId="0" xfId="0" applyNumberFormat="1" applyFont="1" applyAlignment="1">
      <alignment horizontal="left" vertical="center"/>
    </xf>
    <xf numFmtId="9" fontId="21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right" vertical="center"/>
    </xf>
    <xf numFmtId="0" fontId="22" fillId="0" borderId="0" xfId="0" applyFont="1"/>
    <xf numFmtId="0" fontId="24" fillId="0" borderId="4" xfId="0" applyFont="1" applyBorder="1"/>
    <xf numFmtId="0" fontId="4" fillId="0" borderId="4" xfId="0" applyFont="1" applyBorder="1"/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0" xfId="0" applyFont="1"/>
    <xf numFmtId="0" fontId="15" fillId="4" borderId="0" xfId="0" applyFont="1" applyFill="1"/>
    <xf numFmtId="167" fontId="16" fillId="0" borderId="0" xfId="0" applyNumberFormat="1" applyFont="1" applyAlignment="1">
      <alignment horizontal="right" vertical="center"/>
    </xf>
    <xf numFmtId="10" fontId="2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166" fontId="16" fillId="0" borderId="0" xfId="0" applyNumberFormat="1" applyFont="1" applyAlignment="1">
      <alignment horizontal="right" vertical="center"/>
    </xf>
    <xf numFmtId="10" fontId="16" fillId="0" borderId="0" xfId="0" applyNumberFormat="1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67" fontId="5" fillId="0" borderId="0" xfId="0" applyNumberFormat="1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7" fillId="0" borderId="0" xfId="0" applyFont="1" applyAlignment="1" applyProtection="1">
      <alignment horizontal="left" vertical="center"/>
      <protection locked="0"/>
    </xf>
    <xf numFmtId="0" fontId="20" fillId="0" borderId="0" xfId="0" applyFont="1"/>
    <xf numFmtId="0" fontId="29" fillId="0" borderId="0" xfId="0" applyFont="1"/>
    <xf numFmtId="0" fontId="5" fillId="0" borderId="0" xfId="0" applyFont="1" applyAlignment="1" applyProtection="1">
      <alignment horizontal="left" vertical="center"/>
      <protection locked="0"/>
    </xf>
    <xf numFmtId="0" fontId="4" fillId="0" borderId="5" xfId="0" applyFont="1" applyBorder="1"/>
    <xf numFmtId="0" fontId="5" fillId="0" borderId="0" xfId="0" applyFont="1" applyAlignment="1">
      <alignment horizontal="center"/>
    </xf>
    <xf numFmtId="0" fontId="1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167" fontId="2" fillId="0" borderId="0" xfId="0" applyNumberFormat="1" applyFont="1" applyAlignment="1">
      <alignment horizontal="right" vertical="center" wrapText="1"/>
    </xf>
    <xf numFmtId="38" fontId="2" fillId="0" borderId="6" xfId="0" applyNumberFormat="1" applyFont="1" applyBorder="1" applyAlignment="1">
      <alignment horizontal="right" vertical="center"/>
    </xf>
    <xf numFmtId="14" fontId="2" fillId="0" borderId="0" xfId="0" applyNumberFormat="1" applyFont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5" fillId="0" borderId="0" xfId="0" applyNumberFormat="1" applyFont="1" applyAlignment="1">
      <alignment horizontal="left" vertical="center"/>
    </xf>
    <xf numFmtId="0" fontId="33" fillId="0" borderId="0" xfId="0" applyFont="1"/>
    <xf numFmtId="0" fontId="33" fillId="0" borderId="4" xfId="0" applyFont="1" applyBorder="1"/>
    <xf numFmtId="165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left" vertical="center"/>
    </xf>
    <xf numFmtId="0" fontId="34" fillId="0" borderId="4" xfId="0" applyFont="1" applyBorder="1"/>
    <xf numFmtId="0" fontId="51" fillId="0" borderId="0" xfId="0" applyFont="1"/>
    <xf numFmtId="0" fontId="51" fillId="9" borderId="4" xfId="0" applyFont="1" applyFill="1" applyBorder="1"/>
    <xf numFmtId="169" fontId="51" fillId="0" borderId="0" xfId="0" applyNumberFormat="1" applyFont="1" applyAlignment="1">
      <alignment horizontal="center"/>
    </xf>
    <xf numFmtId="0" fontId="52" fillId="0" borderId="0" xfId="0" applyFont="1" applyAlignment="1">
      <alignment horizontal="justify" vertical="top" wrapText="1"/>
    </xf>
    <xf numFmtId="0" fontId="51" fillId="0" borderId="2" xfId="0" applyFont="1" applyBorder="1"/>
    <xf numFmtId="0" fontId="51" fillId="9" borderId="4" xfId="0" applyFont="1" applyFill="1" applyBorder="1" applyAlignment="1">
      <alignment horizontal="left" vertical="center"/>
    </xf>
    <xf numFmtId="0" fontId="38" fillId="0" borderId="4" xfId="0" applyFont="1" applyBorder="1"/>
    <xf numFmtId="0" fontId="1" fillId="10" borderId="0" xfId="0" applyFont="1" applyFill="1"/>
    <xf numFmtId="0" fontId="13" fillId="10" borderId="0" xfId="0" applyFont="1" applyFill="1"/>
    <xf numFmtId="0" fontId="2" fillId="10" borderId="0" xfId="0" applyFont="1" applyFill="1"/>
    <xf numFmtId="0" fontId="14" fillId="10" borderId="0" xfId="0" applyFont="1" applyFill="1"/>
    <xf numFmtId="0" fontId="16" fillId="10" borderId="0" xfId="0" applyFont="1" applyFill="1" applyAlignment="1">
      <alignment horizontal="left" vertical="center"/>
    </xf>
    <xf numFmtId="0" fontId="4" fillId="10" borderId="0" xfId="0" applyFont="1" applyFill="1"/>
    <xf numFmtId="0" fontId="16" fillId="10" borderId="0" xfId="0" applyFont="1" applyFill="1" applyAlignment="1">
      <alignment vertical="top" wrapText="1"/>
    </xf>
    <xf numFmtId="0" fontId="16" fillId="10" borderId="0" xfId="0" applyFont="1" applyFill="1"/>
    <xf numFmtId="40" fontId="53" fillId="3" borderId="2" xfId="0" applyNumberFormat="1" applyFont="1" applyFill="1" applyBorder="1" applyAlignment="1" applyProtection="1">
      <alignment horizontal="left" vertical="center"/>
      <protection locked="0"/>
    </xf>
    <xf numFmtId="40" fontId="53" fillId="0" borderId="2" xfId="0" applyNumberFormat="1" applyFont="1" applyBorder="1" applyAlignment="1">
      <alignment horizontal="left" vertical="center"/>
    </xf>
    <xf numFmtId="2" fontId="37" fillId="11" borderId="4" xfId="0" applyNumberFormat="1" applyFont="1" applyFill="1" applyBorder="1" applyAlignment="1">
      <alignment horizontal="center" vertical="top" wrapText="1"/>
    </xf>
    <xf numFmtId="0" fontId="1" fillId="10" borderId="0" xfId="0" applyFont="1" applyFill="1" applyAlignment="1">
      <alignment horizontal="left" vertical="center"/>
    </xf>
    <xf numFmtId="14" fontId="2" fillId="10" borderId="0" xfId="0" applyNumberFormat="1" applyFont="1" applyFill="1" applyAlignment="1">
      <alignment horizontal="left" vertical="center"/>
    </xf>
    <xf numFmtId="0" fontId="3" fillId="10" borderId="0" xfId="0" applyFont="1" applyFill="1" applyAlignment="1">
      <alignment horizontal="left" vertical="center"/>
    </xf>
    <xf numFmtId="0" fontId="3" fillId="10" borderId="0" xfId="0" applyFont="1" applyFill="1" applyAlignment="1">
      <alignment horizontal="left" vertical="center" wrapText="1"/>
    </xf>
    <xf numFmtId="0" fontId="3" fillId="10" borderId="29" xfId="0" applyFont="1" applyFill="1" applyBorder="1" applyAlignment="1">
      <alignment horizontal="left" vertical="center"/>
    </xf>
    <xf numFmtId="0" fontId="3" fillId="10" borderId="30" xfId="0" applyFont="1" applyFill="1" applyBorder="1" applyAlignment="1">
      <alignment horizontal="left" vertical="center"/>
    </xf>
    <xf numFmtId="0" fontId="2" fillId="10" borderId="0" xfId="0" applyFont="1" applyFill="1" applyAlignment="1">
      <alignment horizontal="right" vertical="center"/>
    </xf>
    <xf numFmtId="0" fontId="2" fillId="10" borderId="30" xfId="0" applyFont="1" applyFill="1" applyBorder="1" applyAlignment="1">
      <alignment horizontal="left" vertical="center"/>
    </xf>
    <xf numFmtId="0" fontId="2" fillId="10" borderId="0" xfId="0" applyFont="1" applyFill="1" applyAlignment="1">
      <alignment horizontal="left" vertical="center"/>
    </xf>
    <xf numFmtId="0" fontId="3" fillId="10" borderId="7" xfId="0" applyFont="1" applyFill="1" applyBorder="1"/>
    <xf numFmtId="0" fontId="5" fillId="10" borderId="0" xfId="0" applyFont="1" applyFill="1" applyAlignment="1">
      <alignment horizontal="left" vertical="center"/>
    </xf>
    <xf numFmtId="14" fontId="5" fillId="10" borderId="0" xfId="0" applyNumberFormat="1" applyFont="1" applyFill="1" applyAlignment="1">
      <alignment horizontal="left" vertical="center"/>
    </xf>
    <xf numFmtId="0" fontId="2" fillId="10" borderId="29" xfId="0" applyFont="1" applyFill="1" applyBorder="1" applyAlignment="1">
      <alignment horizontal="right" vertical="center"/>
    </xf>
    <xf numFmtId="0" fontId="2" fillId="10" borderId="30" xfId="0" applyFont="1" applyFill="1" applyBorder="1" applyAlignment="1">
      <alignment horizontal="right" vertical="center"/>
    </xf>
    <xf numFmtId="14" fontId="2" fillId="10" borderId="30" xfId="0" applyNumberFormat="1" applyFont="1" applyFill="1" applyBorder="1" applyAlignment="1">
      <alignment horizontal="left" vertical="center"/>
    </xf>
    <xf numFmtId="0" fontId="5" fillId="10" borderId="8" xfId="0" applyFont="1" applyFill="1" applyBorder="1" applyAlignment="1">
      <alignment horizontal="left" vertical="center"/>
    </xf>
    <xf numFmtId="14" fontId="5" fillId="10" borderId="8" xfId="0" applyNumberFormat="1" applyFont="1" applyFill="1" applyBorder="1" applyAlignment="1">
      <alignment horizontal="left" vertical="center"/>
    </xf>
    <xf numFmtId="0" fontId="2" fillId="10" borderId="8" xfId="0" applyFont="1" applyFill="1" applyBorder="1" applyAlignment="1">
      <alignment horizontal="left" vertical="center"/>
    </xf>
    <xf numFmtId="0" fontId="3" fillId="10" borderId="8" xfId="0" applyFont="1" applyFill="1" applyBorder="1" applyAlignment="1">
      <alignment horizontal="left" vertical="center"/>
    </xf>
    <xf numFmtId="0" fontId="3" fillId="10" borderId="8" xfId="0" applyFont="1" applyFill="1" applyBorder="1"/>
    <xf numFmtId="0" fontId="3" fillId="10" borderId="9" xfId="0" applyFont="1" applyFill="1" applyBorder="1"/>
    <xf numFmtId="0" fontId="9" fillId="10" borderId="3" xfId="0" applyFont="1" applyFill="1" applyBorder="1" applyAlignment="1">
      <alignment horizontal="left" vertical="center"/>
    </xf>
    <xf numFmtId="14" fontId="9" fillId="10" borderId="3" xfId="0" applyNumberFormat="1" applyFont="1" applyFill="1" applyBorder="1" applyAlignment="1">
      <alignment horizontal="left" vertical="center"/>
    </xf>
    <xf numFmtId="0" fontId="10" fillId="10" borderId="3" xfId="0" applyFont="1" applyFill="1" applyBorder="1" applyAlignment="1">
      <alignment horizontal="left" vertical="center"/>
    </xf>
    <xf numFmtId="0" fontId="10" fillId="10" borderId="3" xfId="0" applyFont="1" applyFill="1" applyBorder="1" applyAlignment="1">
      <alignment horizontal="left" vertical="center" wrapText="1"/>
    </xf>
    <xf numFmtId="0" fontId="9" fillId="10" borderId="31" xfId="0" applyFont="1" applyFill="1" applyBorder="1" applyAlignment="1">
      <alignment horizontal="left" vertical="center"/>
    </xf>
    <xf numFmtId="0" fontId="9" fillId="10" borderId="32" xfId="0" applyFont="1" applyFill="1" applyBorder="1" applyAlignment="1">
      <alignment horizontal="left" vertical="center"/>
    </xf>
    <xf numFmtId="167" fontId="10" fillId="10" borderId="3" xfId="0" applyNumberFormat="1" applyFont="1" applyFill="1" applyBorder="1" applyAlignment="1">
      <alignment horizontal="right" vertical="center"/>
    </xf>
    <xf numFmtId="0" fontId="2" fillId="10" borderId="10" xfId="0" applyFont="1" applyFill="1" applyBorder="1" applyAlignment="1">
      <alignment horizontal="center" vertical="center"/>
    </xf>
    <xf numFmtId="14" fontId="2" fillId="10" borderId="10" xfId="0" applyNumberFormat="1" applyFont="1" applyFill="1" applyBorder="1" applyAlignment="1">
      <alignment horizontal="center" vertical="center"/>
    </xf>
    <xf numFmtId="0" fontId="2" fillId="10" borderId="0" xfId="0" applyFont="1" applyFill="1" applyAlignment="1">
      <alignment horizontal="left" vertical="center" wrapText="1"/>
    </xf>
    <xf numFmtId="0" fontId="2" fillId="10" borderId="0" xfId="0" applyFont="1" applyFill="1" applyAlignment="1">
      <alignment horizontal="center" vertical="center"/>
    </xf>
    <xf numFmtId="0" fontId="2" fillId="10" borderId="11" xfId="0" applyFont="1" applyFill="1" applyBorder="1" applyAlignment="1">
      <alignment horizontal="center" vertical="center"/>
    </xf>
    <xf numFmtId="0" fontId="2" fillId="10" borderId="12" xfId="0" applyFont="1" applyFill="1" applyBorder="1" applyAlignment="1">
      <alignment horizontal="left" vertical="center"/>
    </xf>
    <xf numFmtId="14" fontId="2" fillId="10" borderId="12" xfId="0" applyNumberFormat="1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left" vertical="center"/>
    </xf>
    <xf numFmtId="0" fontId="3" fillId="10" borderId="8" xfId="0" applyFont="1" applyFill="1" applyBorder="1" applyAlignment="1">
      <alignment horizontal="left" vertical="center" wrapText="1"/>
    </xf>
    <xf numFmtId="0" fontId="2" fillId="10" borderId="8" xfId="0" applyFont="1" applyFill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14" fontId="54" fillId="3" borderId="4" xfId="0" applyNumberFormat="1" applyFont="1" applyFill="1" applyBorder="1" applyAlignment="1" applyProtection="1">
      <alignment horizontal="center" vertical="center"/>
      <protection locked="0"/>
    </xf>
    <xf numFmtId="0" fontId="54" fillId="3" borderId="4" xfId="0" applyFont="1" applyFill="1" applyBorder="1" applyAlignment="1" applyProtection="1">
      <alignment horizontal="left" vertical="center" wrapText="1"/>
      <protection locked="0"/>
    </xf>
    <xf numFmtId="9" fontId="53" fillId="3" borderId="4" xfId="0" applyNumberFormat="1" applyFont="1" applyFill="1" applyBorder="1" applyAlignment="1" applyProtection="1">
      <alignment horizontal="center" vertical="center"/>
      <protection locked="0"/>
    </xf>
    <xf numFmtId="2" fontId="53" fillId="12" borderId="4" xfId="0" applyNumberFormat="1" applyFont="1" applyFill="1" applyBorder="1" applyAlignment="1">
      <alignment horizontal="center" vertical="center"/>
    </xf>
    <xf numFmtId="1" fontId="53" fillId="12" borderId="4" xfId="0" applyNumberFormat="1" applyFont="1" applyFill="1" applyBorder="1" applyAlignment="1">
      <alignment horizontal="center" vertical="center"/>
    </xf>
    <xf numFmtId="167" fontId="53" fillId="3" borderId="4" xfId="0" applyNumberFormat="1" applyFont="1" applyFill="1" applyBorder="1" applyAlignment="1" applyProtection="1">
      <alignment horizontal="right" vertical="center"/>
      <protection locked="0"/>
    </xf>
    <xf numFmtId="167" fontId="54" fillId="0" borderId="4" xfId="0" applyNumberFormat="1" applyFont="1" applyBorder="1" applyAlignment="1">
      <alignment horizontal="right" vertical="center"/>
    </xf>
    <xf numFmtId="14" fontId="54" fillId="3" borderId="4" xfId="0" applyNumberFormat="1" applyFont="1" applyFill="1" applyBorder="1" applyAlignment="1" applyProtection="1">
      <alignment horizontal="left" vertical="center"/>
      <protection locked="0"/>
    </xf>
    <xf numFmtId="0" fontId="54" fillId="3" borderId="0" xfId="0" applyFont="1" applyFill="1" applyAlignment="1" applyProtection="1">
      <alignment horizontal="left" vertical="center"/>
      <protection locked="0"/>
    </xf>
    <xf numFmtId="0" fontId="12" fillId="10" borderId="14" xfId="0" applyFont="1" applyFill="1" applyBorder="1" applyAlignment="1">
      <alignment horizontal="left" vertical="center"/>
    </xf>
    <xf numFmtId="14" fontId="2" fillId="10" borderId="2" xfId="0" applyNumberFormat="1" applyFont="1" applyFill="1" applyBorder="1" applyAlignment="1">
      <alignment horizontal="left" vertical="center"/>
    </xf>
    <xf numFmtId="0" fontId="54" fillId="0" borderId="0" xfId="0" applyFont="1" applyAlignment="1">
      <alignment horizontal="left" vertical="center"/>
    </xf>
    <xf numFmtId="0" fontId="54" fillId="0" borderId="0" xfId="0" applyFont="1"/>
    <xf numFmtId="9" fontId="53" fillId="3" borderId="2" xfId="0" applyNumberFormat="1" applyFont="1" applyFill="1" applyBorder="1" applyAlignment="1" applyProtection="1">
      <alignment horizontal="center" vertical="center"/>
      <protection locked="0"/>
    </xf>
    <xf numFmtId="0" fontId="1" fillId="10" borderId="15" xfId="0" applyFont="1" applyFill="1" applyBorder="1" applyAlignment="1">
      <alignment horizontal="left" vertical="center"/>
    </xf>
    <xf numFmtId="14" fontId="2" fillId="10" borderId="6" xfId="0" applyNumberFormat="1" applyFont="1" applyFill="1" applyBorder="1" applyAlignment="1">
      <alignment horizontal="left" vertical="center"/>
    </xf>
    <xf numFmtId="0" fontId="3" fillId="10" borderId="6" xfId="0" applyFont="1" applyFill="1" applyBorder="1" applyAlignment="1">
      <alignment horizontal="left" vertical="center"/>
    </xf>
    <xf numFmtId="0" fontId="3" fillId="10" borderId="6" xfId="0" applyFont="1" applyFill="1" applyBorder="1" applyAlignment="1">
      <alignment horizontal="left" vertical="center" wrapText="1"/>
    </xf>
    <xf numFmtId="0" fontId="2" fillId="10" borderId="6" xfId="0" applyFont="1" applyFill="1" applyBorder="1" applyAlignment="1">
      <alignment horizontal="right" vertical="center"/>
    </xf>
    <xf numFmtId="0" fontId="2" fillId="10" borderId="6" xfId="0" applyFont="1" applyFill="1" applyBorder="1" applyAlignment="1">
      <alignment horizontal="left" vertical="center"/>
    </xf>
    <xf numFmtId="0" fontId="2" fillId="10" borderId="10" xfId="0" applyFont="1" applyFill="1" applyBorder="1" applyAlignment="1">
      <alignment horizontal="left" vertical="center"/>
    </xf>
    <xf numFmtId="14" fontId="2" fillId="10" borderId="8" xfId="0" applyNumberFormat="1" applyFont="1" applyFill="1" applyBorder="1" applyAlignment="1">
      <alignment horizontal="left" vertical="center"/>
    </xf>
    <xf numFmtId="9" fontId="2" fillId="10" borderId="8" xfId="0" applyNumberFormat="1" applyFont="1" applyFill="1" applyBorder="1" applyAlignment="1">
      <alignment horizontal="left" vertical="center"/>
    </xf>
    <xf numFmtId="0" fontId="3" fillId="10" borderId="16" xfId="0" applyFont="1" applyFill="1" applyBorder="1"/>
    <xf numFmtId="0" fontId="5" fillId="10" borderId="0" xfId="0" applyFont="1" applyFill="1" applyAlignment="1">
      <alignment horizontal="left" vertical="center" wrapText="1"/>
    </xf>
    <xf numFmtId="0" fontId="9" fillId="10" borderId="17" xfId="0" applyFont="1" applyFill="1" applyBorder="1" applyAlignment="1">
      <alignment horizontal="left" vertical="center"/>
    </xf>
    <xf numFmtId="14" fontId="9" fillId="10" borderId="17" xfId="0" applyNumberFormat="1" applyFont="1" applyFill="1" applyBorder="1" applyAlignment="1">
      <alignment horizontal="left" vertical="center"/>
    </xf>
    <xf numFmtId="0" fontId="10" fillId="10" borderId="17" xfId="0" applyFont="1" applyFill="1" applyBorder="1" applyAlignment="1">
      <alignment horizontal="left" vertical="center"/>
    </xf>
    <xf numFmtId="0" fontId="10" fillId="10" borderId="17" xfId="0" applyFont="1" applyFill="1" applyBorder="1" applyAlignment="1">
      <alignment horizontal="left" vertical="center" wrapText="1"/>
    </xf>
    <xf numFmtId="167" fontId="9" fillId="10" borderId="18" xfId="0" applyNumberFormat="1" applyFont="1" applyFill="1" applyBorder="1" applyAlignment="1">
      <alignment horizontal="right" vertical="center"/>
    </xf>
    <xf numFmtId="0" fontId="10" fillId="10" borderId="19" xfId="0" applyFont="1" applyFill="1" applyBorder="1" applyAlignment="1">
      <alignment horizontal="left" vertical="center"/>
    </xf>
    <xf numFmtId="0" fontId="2" fillId="10" borderId="13" xfId="0" applyFont="1" applyFill="1" applyBorder="1" applyAlignment="1">
      <alignment horizontal="center" vertical="center"/>
    </xf>
    <xf numFmtId="0" fontId="10" fillId="10" borderId="20" xfId="0" applyFont="1" applyFill="1" applyBorder="1" applyAlignment="1">
      <alignment horizontal="left" vertical="center"/>
    </xf>
    <xf numFmtId="167" fontId="39" fillId="10" borderId="3" xfId="0" applyNumberFormat="1" applyFont="1" applyFill="1" applyBorder="1" applyAlignment="1">
      <alignment horizontal="right" vertical="center"/>
    </xf>
    <xf numFmtId="0" fontId="2" fillId="10" borderId="29" xfId="0" applyFont="1" applyFill="1" applyBorder="1" applyAlignment="1">
      <alignment horizontal="left" vertical="center"/>
    </xf>
    <xf numFmtId="14" fontId="2" fillId="10" borderId="29" xfId="0" applyNumberFormat="1" applyFont="1" applyFill="1" applyBorder="1" applyAlignment="1">
      <alignment horizontal="left" vertical="center"/>
    </xf>
    <xf numFmtId="9" fontId="2" fillId="10" borderId="29" xfId="0" applyNumberFormat="1" applyFont="1" applyFill="1" applyBorder="1" applyAlignment="1">
      <alignment horizontal="left" vertical="center"/>
    </xf>
    <xf numFmtId="0" fontId="2" fillId="10" borderId="33" xfId="0" applyFont="1" applyFill="1" applyBorder="1" applyAlignment="1">
      <alignment horizontal="left" vertical="center"/>
    </xf>
    <xf numFmtId="14" fontId="2" fillId="10" borderId="33" xfId="0" applyNumberFormat="1" applyFont="1" applyFill="1" applyBorder="1" applyAlignment="1">
      <alignment horizontal="center" vertical="center"/>
    </xf>
    <xf numFmtId="0" fontId="2" fillId="10" borderId="33" xfId="0" applyFont="1" applyFill="1" applyBorder="1" applyAlignment="1">
      <alignment horizontal="center" vertical="center"/>
    </xf>
    <xf numFmtId="0" fontId="2" fillId="10" borderId="34" xfId="0" applyFont="1" applyFill="1" applyBorder="1" applyAlignment="1">
      <alignment horizontal="center" vertical="center"/>
    </xf>
    <xf numFmtId="14" fontId="2" fillId="10" borderId="34" xfId="0" applyNumberFormat="1" applyFont="1" applyFill="1" applyBorder="1" applyAlignment="1">
      <alignment horizontal="center" vertical="center"/>
    </xf>
    <xf numFmtId="2" fontId="37" fillId="13" borderId="4" xfId="0" applyNumberFormat="1" applyFont="1" applyFill="1" applyBorder="1" applyAlignment="1">
      <alignment horizontal="center" vertical="top" wrapText="1"/>
    </xf>
    <xf numFmtId="0" fontId="51" fillId="14" borderId="4" xfId="0" applyFont="1" applyFill="1" applyBorder="1" applyAlignment="1">
      <alignment horizontal="center" vertical="center"/>
    </xf>
    <xf numFmtId="0" fontId="3" fillId="10" borderId="0" xfId="0" applyFont="1" applyFill="1"/>
    <xf numFmtId="0" fontId="2" fillId="10" borderId="35" xfId="0" applyFont="1" applyFill="1" applyBorder="1" applyAlignment="1">
      <alignment horizontal="center" vertical="center"/>
    </xf>
    <xf numFmtId="0" fontId="2" fillId="10" borderId="36" xfId="0" applyFont="1" applyFill="1" applyBorder="1" applyAlignment="1">
      <alignment horizontal="center" vertical="center"/>
    </xf>
    <xf numFmtId="0" fontId="16" fillId="10" borderId="10" xfId="0" applyFont="1" applyFill="1" applyBorder="1" applyAlignment="1">
      <alignment horizontal="right" vertical="center"/>
    </xf>
    <xf numFmtId="14" fontId="2" fillId="10" borderId="0" xfId="0" applyNumberFormat="1" applyFont="1" applyFill="1" applyAlignment="1">
      <alignment horizontal="right" vertical="center"/>
    </xf>
    <xf numFmtId="0" fontId="16" fillId="10" borderId="0" xfId="0" applyFont="1" applyFill="1" applyAlignment="1">
      <alignment horizontal="center" vertical="center"/>
    </xf>
    <xf numFmtId="9" fontId="16" fillId="10" borderId="0" xfId="0" applyNumberFormat="1" applyFont="1" applyFill="1" applyAlignment="1">
      <alignment horizontal="center" vertical="center"/>
    </xf>
    <xf numFmtId="0" fontId="16" fillId="10" borderId="12" xfId="0" applyFont="1" applyFill="1" applyBorder="1" applyAlignment="1">
      <alignment horizontal="right" vertical="center"/>
    </xf>
    <xf numFmtId="0" fontId="16" fillId="10" borderId="8" xfId="0" applyFont="1" applyFill="1" applyBorder="1" applyAlignment="1">
      <alignment horizontal="left" vertical="center"/>
    </xf>
    <xf numFmtId="0" fontId="2" fillId="10" borderId="8" xfId="0" applyFont="1" applyFill="1" applyBorder="1" applyAlignment="1">
      <alignment horizontal="right" vertical="center"/>
    </xf>
    <xf numFmtId="9" fontId="16" fillId="10" borderId="8" xfId="0" applyNumberFormat="1" applyFont="1" applyFill="1" applyBorder="1" applyAlignment="1">
      <alignment horizontal="center" vertical="center"/>
    </xf>
    <xf numFmtId="14" fontId="2" fillId="10" borderId="14" xfId="0" applyNumberFormat="1" applyFont="1" applyFill="1" applyBorder="1" applyAlignment="1">
      <alignment horizontal="left" vertical="center"/>
    </xf>
    <xf numFmtId="167" fontId="16" fillId="10" borderId="2" xfId="0" applyNumberFormat="1" applyFont="1" applyFill="1" applyBorder="1" applyAlignment="1">
      <alignment horizontal="center" vertical="center"/>
    </xf>
    <xf numFmtId="167" fontId="16" fillId="10" borderId="21" xfId="0" applyNumberFormat="1" applyFont="1" applyFill="1" applyBorder="1" applyAlignment="1">
      <alignment horizontal="center" vertical="center"/>
    </xf>
    <xf numFmtId="0" fontId="16" fillId="10" borderId="21" xfId="0" applyFont="1" applyFill="1" applyBorder="1" applyAlignment="1">
      <alignment horizontal="left" vertical="center"/>
    </xf>
    <xf numFmtId="0" fontId="16" fillId="10" borderId="2" xfId="0" applyFont="1" applyFill="1" applyBorder="1" applyAlignment="1">
      <alignment horizontal="left" vertical="center"/>
    </xf>
    <xf numFmtId="0" fontId="2" fillId="10" borderId="14" xfId="0" applyFont="1" applyFill="1" applyBorder="1" applyAlignment="1">
      <alignment horizontal="left" vertical="center"/>
    </xf>
    <xf numFmtId="167" fontId="16" fillId="10" borderId="4" xfId="0" applyNumberFormat="1" applyFont="1" applyFill="1" applyBorder="1" applyAlignment="1">
      <alignment horizontal="right" vertical="center"/>
    </xf>
    <xf numFmtId="10" fontId="16" fillId="10" borderId="4" xfId="0" applyNumberFormat="1" applyFont="1" applyFill="1" applyBorder="1" applyAlignment="1">
      <alignment horizontal="center" vertical="center"/>
    </xf>
    <xf numFmtId="0" fontId="23" fillId="10" borderId="21" xfId="0" applyFont="1" applyFill="1" applyBorder="1" applyAlignment="1">
      <alignment horizontal="left" vertical="center"/>
    </xf>
    <xf numFmtId="0" fontId="53" fillId="0" borderId="4" xfId="0" applyFont="1" applyBorder="1" applyAlignment="1">
      <alignment horizontal="left" vertical="center"/>
    </xf>
    <xf numFmtId="167" fontId="55" fillId="0" borderId="4" xfId="0" applyNumberFormat="1" applyFont="1" applyBorder="1" applyAlignment="1">
      <alignment horizontal="right" vertical="center"/>
    </xf>
    <xf numFmtId="10" fontId="55" fillId="0" borderId="4" xfId="0" applyNumberFormat="1" applyFont="1" applyBorder="1" applyAlignment="1">
      <alignment horizontal="center" vertical="center"/>
    </xf>
    <xf numFmtId="0" fontId="56" fillId="0" borderId="6" xfId="0" applyFont="1" applyBorder="1" applyAlignment="1">
      <alignment horizontal="left" vertical="center"/>
    </xf>
    <xf numFmtId="166" fontId="55" fillId="0" borderId="16" xfId="0" applyNumberFormat="1" applyFont="1" applyBorder="1" applyAlignment="1">
      <alignment horizontal="left" vertical="center"/>
    </xf>
    <xf numFmtId="0" fontId="56" fillId="0" borderId="0" xfId="0" applyFont="1" applyAlignment="1">
      <alignment horizontal="left" vertical="center"/>
    </xf>
    <xf numFmtId="166" fontId="55" fillId="0" borderId="7" xfId="0" applyNumberFormat="1" applyFont="1" applyBorder="1" applyAlignment="1">
      <alignment horizontal="left" vertical="center"/>
    </xf>
    <xf numFmtId="166" fontId="55" fillId="0" borderId="9" xfId="0" applyNumberFormat="1" applyFont="1" applyBorder="1" applyAlignment="1">
      <alignment horizontal="left" vertical="center"/>
    </xf>
    <xf numFmtId="14" fontId="2" fillId="10" borderId="0" xfId="0" applyNumberFormat="1" applyFont="1" applyFill="1" applyAlignment="1">
      <alignment horizontal="center" vertical="center"/>
    </xf>
    <xf numFmtId="0" fontId="3" fillId="10" borderId="0" xfId="0" applyFont="1" applyFill="1" applyAlignment="1">
      <alignment horizontal="center"/>
    </xf>
    <xf numFmtId="0" fontId="32" fillId="10" borderId="14" xfId="0" applyFont="1" applyFill="1" applyBorder="1" applyAlignment="1">
      <alignment horizontal="left" vertical="center"/>
    </xf>
    <xf numFmtId="14" fontId="33" fillId="10" borderId="8" xfId="0" applyNumberFormat="1" applyFont="1" applyFill="1" applyBorder="1" applyAlignment="1">
      <alignment horizontal="left" vertical="center"/>
    </xf>
    <xf numFmtId="0" fontId="33" fillId="10" borderId="21" xfId="0" applyFont="1" applyFill="1" applyBorder="1" applyAlignment="1">
      <alignment horizontal="left" vertical="center"/>
    </xf>
    <xf numFmtId="0" fontId="33" fillId="10" borderId="21" xfId="0" applyFont="1" applyFill="1" applyBorder="1" applyAlignment="1">
      <alignment horizontal="left" vertical="center" wrapText="1"/>
    </xf>
    <xf numFmtId="0" fontId="33" fillId="10" borderId="8" xfId="0" applyFont="1" applyFill="1" applyBorder="1" applyAlignment="1">
      <alignment horizontal="left" vertical="center" wrapText="1"/>
    </xf>
    <xf numFmtId="167" fontId="32" fillId="10" borderId="13" xfId="0" applyNumberFormat="1" applyFont="1" applyFill="1" applyBorder="1" applyAlignment="1">
      <alignment horizontal="right" vertical="center" wrapText="1"/>
    </xf>
    <xf numFmtId="38" fontId="32" fillId="10" borderId="21" xfId="0" applyNumberFormat="1" applyFont="1" applyFill="1" applyBorder="1" applyAlignment="1">
      <alignment horizontal="right" vertical="center"/>
    </xf>
    <xf numFmtId="38" fontId="32" fillId="10" borderId="21" xfId="0" applyNumberFormat="1" applyFont="1" applyFill="1" applyBorder="1" applyAlignment="1">
      <alignment horizontal="center" vertical="center"/>
    </xf>
    <xf numFmtId="0" fontId="26" fillId="10" borderId="0" xfId="0" applyFont="1" applyFill="1" applyAlignment="1">
      <alignment horizontal="left" vertical="center"/>
    </xf>
    <xf numFmtId="14" fontId="14" fillId="10" borderId="0" xfId="0" applyNumberFormat="1" applyFont="1" applyFill="1" applyAlignment="1">
      <alignment horizontal="left" vertical="center"/>
    </xf>
    <xf numFmtId="0" fontId="32" fillId="10" borderId="0" xfId="0" applyFont="1" applyFill="1" applyAlignment="1">
      <alignment horizontal="left" vertical="center" wrapText="1"/>
    </xf>
    <xf numFmtId="0" fontId="32" fillId="10" borderId="5" xfId="0" applyFont="1" applyFill="1" applyBorder="1" applyAlignment="1">
      <alignment horizontal="left" vertical="center"/>
    </xf>
    <xf numFmtId="0" fontId="2" fillId="10" borderId="15" xfId="0" applyFont="1" applyFill="1" applyBorder="1" applyAlignment="1">
      <alignment horizontal="center" vertical="center"/>
    </xf>
    <xf numFmtId="14" fontId="2" fillId="10" borderId="15" xfId="0" applyNumberFormat="1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2" fillId="10" borderId="6" xfId="0" applyFont="1" applyFill="1" applyBorder="1" applyAlignment="1">
      <alignment horizontal="left" vertical="center" wrapText="1"/>
    </xf>
    <xf numFmtId="0" fontId="2" fillId="10" borderId="5" xfId="0" applyFont="1" applyFill="1" applyBorder="1" applyAlignment="1">
      <alignment horizontal="center" vertical="center" wrapText="1"/>
    </xf>
    <xf numFmtId="167" fontId="2" fillId="10" borderId="5" xfId="0" applyNumberFormat="1" applyFont="1" applyFill="1" applyBorder="1" applyAlignment="1">
      <alignment horizontal="center" vertical="center"/>
    </xf>
    <xf numFmtId="14" fontId="2" fillId="10" borderId="13" xfId="0" applyNumberFormat="1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 wrapText="1"/>
    </xf>
    <xf numFmtId="167" fontId="2" fillId="10" borderId="13" xfId="0" applyNumberFormat="1" applyFont="1" applyFill="1" applyBorder="1" applyAlignment="1">
      <alignment horizontal="center" vertical="center"/>
    </xf>
    <xf numFmtId="14" fontId="54" fillId="0" borderId="4" xfId="0" applyNumberFormat="1" applyFont="1" applyBorder="1" applyAlignment="1">
      <alignment horizontal="center" vertical="center"/>
    </xf>
    <xf numFmtId="0" fontId="54" fillId="0" borderId="4" xfId="0" applyFont="1" applyBorder="1" applyAlignment="1">
      <alignment horizontal="left" vertical="center"/>
    </xf>
    <xf numFmtId="0" fontId="54" fillId="0" borderId="4" xfId="0" applyFont="1" applyBorder="1" applyAlignment="1">
      <alignment horizontal="left" vertical="top" wrapText="1"/>
    </xf>
    <xf numFmtId="167" fontId="54" fillId="0" borderId="4" xfId="0" applyNumberFormat="1" applyFont="1" applyBorder="1" applyAlignment="1">
      <alignment horizontal="right" vertical="center" wrapText="1"/>
    </xf>
    <xf numFmtId="38" fontId="54" fillId="3" borderId="4" xfId="0" applyNumberFormat="1" applyFont="1" applyFill="1" applyBorder="1" applyAlignment="1" applyProtection="1">
      <alignment horizontal="left" vertical="center" wrapText="1"/>
      <protection locked="0"/>
    </xf>
    <xf numFmtId="38" fontId="54" fillId="3" borderId="4" xfId="0" applyNumberFormat="1" applyFont="1" applyFill="1" applyBorder="1" applyAlignment="1" applyProtection="1">
      <alignment horizontal="center" vertical="center" wrapText="1"/>
      <protection locked="0"/>
    </xf>
    <xf numFmtId="167" fontId="54" fillId="3" borderId="4" xfId="0" applyNumberFormat="1" applyFont="1" applyFill="1" applyBorder="1" applyAlignment="1" applyProtection="1">
      <alignment horizontal="right" vertical="center" wrapText="1"/>
      <protection locked="0"/>
    </xf>
    <xf numFmtId="167" fontId="53" fillId="0" borderId="4" xfId="0" applyNumberFormat="1" applyFont="1" applyBorder="1" applyAlignment="1">
      <alignment horizontal="right" vertical="center"/>
    </xf>
    <xf numFmtId="0" fontId="5" fillId="10" borderId="0" xfId="0" applyFont="1" applyFill="1" applyAlignment="1">
      <alignment horizontal="center" vertical="center"/>
    </xf>
    <xf numFmtId="38" fontId="32" fillId="10" borderId="2" xfId="0" applyNumberFormat="1" applyFont="1" applyFill="1" applyBorder="1" applyAlignment="1">
      <alignment horizontal="right" vertical="center"/>
    </xf>
    <xf numFmtId="38" fontId="32" fillId="10" borderId="2" xfId="0" applyNumberFormat="1" applyFont="1" applyFill="1" applyBorder="1" applyAlignment="1">
      <alignment horizontal="center" vertical="center"/>
    </xf>
    <xf numFmtId="0" fontId="54" fillId="0" borderId="4" xfId="0" applyFont="1" applyBorder="1" applyAlignment="1">
      <alignment horizontal="left" vertical="center" wrapText="1"/>
    </xf>
    <xf numFmtId="0" fontId="14" fillId="10" borderId="15" xfId="0" applyFont="1" applyFill="1" applyBorder="1" applyAlignment="1">
      <alignment horizontal="left" vertical="center"/>
    </xf>
    <xf numFmtId="167" fontId="3" fillId="10" borderId="6" xfId="0" applyNumberFormat="1" applyFont="1" applyFill="1" applyBorder="1" applyAlignment="1">
      <alignment horizontal="left" vertical="center"/>
    </xf>
    <xf numFmtId="167" fontId="16" fillId="10" borderId="0" xfId="0" applyNumberFormat="1" applyFont="1" applyFill="1" applyAlignment="1">
      <alignment horizontal="left" vertical="center"/>
    </xf>
    <xf numFmtId="167" fontId="2" fillId="10" borderId="0" xfId="0" applyNumberFormat="1" applyFont="1" applyFill="1" applyAlignment="1">
      <alignment horizontal="left" vertical="center"/>
    </xf>
    <xf numFmtId="9" fontId="2" fillId="10" borderId="0" xfId="0" applyNumberFormat="1" applyFont="1" applyFill="1" applyAlignment="1">
      <alignment horizontal="center" vertical="center"/>
    </xf>
    <xf numFmtId="167" fontId="16" fillId="10" borderId="8" xfId="0" applyNumberFormat="1" applyFont="1" applyFill="1" applyBorder="1" applyAlignment="1">
      <alignment horizontal="left" vertical="center"/>
    </xf>
    <xf numFmtId="9" fontId="2" fillId="10" borderId="8" xfId="0" applyNumberFormat="1" applyFont="1" applyFill="1" applyBorder="1" applyAlignment="1">
      <alignment horizontal="center" vertical="center"/>
    </xf>
    <xf numFmtId="167" fontId="2" fillId="10" borderId="2" xfId="0" applyNumberFormat="1" applyFont="1" applyFill="1" applyBorder="1" applyAlignment="1">
      <alignment horizontal="center" vertical="center"/>
    </xf>
    <xf numFmtId="167" fontId="2" fillId="10" borderId="21" xfId="0" applyNumberFormat="1" applyFont="1" applyFill="1" applyBorder="1" applyAlignment="1">
      <alignment horizontal="center" vertical="center"/>
    </xf>
    <xf numFmtId="0" fontId="2" fillId="10" borderId="16" xfId="0" applyFont="1" applyFill="1" applyBorder="1" applyAlignment="1">
      <alignment horizontal="center" vertical="center"/>
    </xf>
    <xf numFmtId="167" fontId="57" fillId="0" borderId="4" xfId="0" applyNumberFormat="1" applyFont="1" applyBorder="1" applyAlignment="1">
      <alignment horizontal="right" vertical="center"/>
    </xf>
    <xf numFmtId="9" fontId="57" fillId="0" borderId="4" xfId="0" applyNumberFormat="1" applyFont="1" applyBorder="1" applyAlignment="1">
      <alignment horizontal="center" vertical="center"/>
    </xf>
    <xf numFmtId="0" fontId="58" fillId="0" borderId="4" xfId="0" applyFont="1" applyBorder="1" applyAlignment="1">
      <alignment horizontal="left" vertical="center"/>
    </xf>
    <xf numFmtId="166" fontId="2" fillId="10" borderId="2" xfId="0" applyNumberFormat="1" applyFont="1" applyFill="1" applyBorder="1" applyAlignment="1">
      <alignment horizontal="center" vertical="center"/>
    </xf>
    <xf numFmtId="166" fontId="16" fillId="10" borderId="2" xfId="0" applyNumberFormat="1" applyFont="1" applyFill="1" applyBorder="1" applyAlignment="1">
      <alignment horizontal="right" vertical="center"/>
    </xf>
    <xf numFmtId="0" fontId="16" fillId="10" borderId="14" xfId="0" applyFont="1" applyFill="1" applyBorder="1" applyAlignment="1">
      <alignment horizontal="left" vertical="center"/>
    </xf>
    <xf numFmtId="167" fontId="16" fillId="10" borderId="21" xfId="0" applyNumberFormat="1" applyFont="1" applyFill="1" applyBorder="1" applyAlignment="1">
      <alignment horizontal="right" vertical="center"/>
    </xf>
    <xf numFmtId="0" fontId="28" fillId="10" borderId="21" xfId="0" applyFont="1" applyFill="1" applyBorder="1" applyAlignment="1">
      <alignment horizontal="left" vertical="center"/>
    </xf>
    <xf numFmtId="167" fontId="55" fillId="3" borderId="4" xfId="0" applyNumberFormat="1" applyFont="1" applyFill="1" applyBorder="1" applyAlignment="1" applyProtection="1">
      <alignment horizontal="right" vertical="center"/>
      <protection locked="0"/>
    </xf>
    <xf numFmtId="0" fontId="14" fillId="10" borderId="15" xfId="0" applyFont="1" applyFill="1" applyBorder="1" applyAlignment="1" applyProtection="1">
      <alignment horizontal="left" vertical="center"/>
      <protection locked="0"/>
    </xf>
    <xf numFmtId="0" fontId="5" fillId="10" borderId="0" xfId="0" applyFont="1" applyFill="1" applyAlignment="1" applyProtection="1">
      <alignment horizontal="left" vertical="center"/>
      <protection locked="0"/>
    </xf>
    <xf numFmtId="0" fontId="5" fillId="10" borderId="8" xfId="0" applyFont="1" applyFill="1" applyBorder="1" applyAlignment="1" applyProtection="1">
      <alignment horizontal="left" vertical="center"/>
      <protection locked="0"/>
    </xf>
    <xf numFmtId="0" fontId="9" fillId="10" borderId="17" xfId="0" applyFont="1" applyFill="1" applyBorder="1" applyAlignment="1" applyProtection="1">
      <alignment horizontal="left" vertical="center"/>
      <protection locked="0"/>
    </xf>
    <xf numFmtId="167" fontId="10" fillId="10" borderId="17" xfId="0" applyNumberFormat="1" applyFont="1" applyFill="1" applyBorder="1" applyAlignment="1">
      <alignment horizontal="right" vertical="center"/>
    </xf>
    <xf numFmtId="0" fontId="2" fillId="10" borderId="10" xfId="0" applyFont="1" applyFill="1" applyBorder="1" applyAlignment="1" applyProtection="1">
      <alignment horizontal="center" vertical="center"/>
      <protection locked="0"/>
    </xf>
    <xf numFmtId="0" fontId="2" fillId="10" borderId="12" xfId="0" applyFont="1" applyFill="1" applyBorder="1" applyAlignment="1" applyProtection="1">
      <alignment horizontal="left" vertical="center"/>
      <protection locked="0"/>
    </xf>
    <xf numFmtId="0" fontId="54" fillId="3" borderId="4" xfId="0" applyFont="1" applyFill="1" applyBorder="1" applyAlignment="1" applyProtection="1">
      <alignment horizontal="center" vertical="center"/>
      <protection locked="0"/>
    </xf>
    <xf numFmtId="0" fontId="2" fillId="10" borderId="14" xfId="0" applyFont="1" applyFill="1" applyBorder="1" applyAlignment="1" applyProtection="1">
      <alignment horizontal="left" vertical="center"/>
      <protection locked="0"/>
    </xf>
    <xf numFmtId="14" fontId="2" fillId="10" borderId="21" xfId="0" applyNumberFormat="1" applyFont="1" applyFill="1" applyBorder="1" applyAlignment="1">
      <alignment horizontal="left" vertical="center"/>
    </xf>
    <xf numFmtId="0" fontId="3" fillId="10" borderId="2" xfId="0" applyFont="1" applyFill="1" applyBorder="1" applyAlignment="1">
      <alignment horizontal="left" vertical="center"/>
    </xf>
    <xf numFmtId="168" fontId="2" fillId="10" borderId="6" xfId="0" applyNumberFormat="1" applyFont="1" applyFill="1" applyBorder="1" applyAlignment="1">
      <alignment horizontal="left" vertical="center"/>
    </xf>
    <xf numFmtId="168" fontId="2" fillId="10" borderId="0" xfId="0" applyNumberFormat="1" applyFont="1" applyFill="1" applyAlignment="1">
      <alignment horizontal="left" vertical="center"/>
    </xf>
    <xf numFmtId="168" fontId="2" fillId="10" borderId="8" xfId="0" applyNumberFormat="1" applyFont="1" applyFill="1" applyBorder="1" applyAlignment="1">
      <alignment horizontal="left" vertical="center"/>
    </xf>
    <xf numFmtId="168" fontId="2" fillId="10" borderId="10" xfId="0" applyNumberFormat="1" applyFont="1" applyFill="1" applyBorder="1" applyAlignment="1">
      <alignment horizontal="center" vertical="center"/>
    </xf>
    <xf numFmtId="168" fontId="2" fillId="10" borderId="12" xfId="0" applyNumberFormat="1" applyFont="1" applyFill="1" applyBorder="1" applyAlignment="1">
      <alignment horizontal="center" vertical="center"/>
    </xf>
    <xf numFmtId="0" fontId="2" fillId="10" borderId="12" xfId="0" applyFont="1" applyFill="1" applyBorder="1" applyAlignment="1">
      <alignment horizontal="center" vertical="center"/>
    </xf>
    <xf numFmtId="168" fontId="9" fillId="10" borderId="17" xfId="0" applyNumberFormat="1" applyFont="1" applyFill="1" applyBorder="1" applyAlignment="1">
      <alignment horizontal="left" vertical="center"/>
    </xf>
    <xf numFmtId="168" fontId="54" fillId="3" borderId="4" xfId="0" applyNumberFormat="1" applyFont="1" applyFill="1" applyBorder="1" applyAlignment="1" applyProtection="1">
      <alignment horizontal="center" vertical="center"/>
      <protection locked="0"/>
    </xf>
    <xf numFmtId="168" fontId="2" fillId="10" borderId="21" xfId="0" applyNumberFormat="1" applyFont="1" applyFill="1" applyBorder="1" applyAlignment="1">
      <alignment horizontal="left" vertical="center"/>
    </xf>
    <xf numFmtId="165" fontId="2" fillId="10" borderId="0" xfId="0" applyNumberFormat="1" applyFont="1" applyFill="1" applyAlignment="1">
      <alignment horizontal="left" vertical="center"/>
    </xf>
    <xf numFmtId="0" fontId="27" fillId="10" borderId="0" xfId="0" applyFont="1" applyFill="1"/>
    <xf numFmtId="0" fontId="25" fillId="10" borderId="0" xfId="0" applyFont="1" applyFill="1" applyAlignment="1">
      <alignment horizontal="left" vertical="center"/>
    </xf>
    <xf numFmtId="168" fontId="2" fillId="10" borderId="15" xfId="0" applyNumberFormat="1" applyFont="1" applyFill="1" applyBorder="1" applyAlignment="1">
      <alignment horizontal="center" vertical="center"/>
    </xf>
    <xf numFmtId="165" fontId="2" fillId="10" borderId="5" xfId="0" applyNumberFormat="1" applyFont="1" applyFill="1" applyBorder="1" applyAlignment="1">
      <alignment horizontal="center" vertical="center"/>
    </xf>
    <xf numFmtId="14" fontId="2" fillId="10" borderId="5" xfId="0" applyNumberFormat="1" applyFont="1" applyFill="1" applyBorder="1" applyAlignment="1">
      <alignment horizontal="center" vertical="center"/>
    </xf>
    <xf numFmtId="168" fontId="2" fillId="10" borderId="13" xfId="0" applyNumberFormat="1" applyFont="1" applyFill="1" applyBorder="1" applyAlignment="1">
      <alignment horizontal="center" vertical="center"/>
    </xf>
    <xf numFmtId="165" fontId="2" fillId="10" borderId="13" xfId="0" applyNumberFormat="1" applyFont="1" applyFill="1" applyBorder="1" applyAlignment="1">
      <alignment horizontal="center" vertical="center"/>
    </xf>
    <xf numFmtId="0" fontId="30" fillId="10" borderId="0" xfId="0" applyFont="1" applyFill="1" applyAlignment="1">
      <alignment horizontal="left" vertical="center"/>
    </xf>
    <xf numFmtId="168" fontId="54" fillId="0" borderId="4" xfId="0" applyNumberFormat="1" applyFont="1" applyBorder="1" applyAlignment="1">
      <alignment horizontal="center" vertical="center"/>
    </xf>
    <xf numFmtId="165" fontId="54" fillId="3" borderId="4" xfId="0" applyNumberFormat="1" applyFont="1" applyFill="1" applyBorder="1" applyAlignment="1" applyProtection="1">
      <alignment horizontal="right" vertical="center" wrapText="1"/>
      <protection locked="0"/>
    </xf>
    <xf numFmtId="38" fontId="59" fillId="3" borderId="4" xfId="0" applyNumberFormat="1" applyFont="1" applyFill="1" applyBorder="1" applyAlignment="1" applyProtection="1">
      <alignment horizontal="left" vertical="center" wrapText="1"/>
      <protection locked="0"/>
    </xf>
    <xf numFmtId="14" fontId="54" fillId="3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10" borderId="14" xfId="0" applyFont="1" applyFill="1" applyBorder="1" applyAlignment="1">
      <alignment horizontal="left" vertical="center"/>
    </xf>
    <xf numFmtId="168" fontId="3" fillId="10" borderId="8" xfId="0" applyNumberFormat="1" applyFont="1" applyFill="1" applyBorder="1" applyAlignment="1">
      <alignment horizontal="left" vertical="center"/>
    </xf>
    <xf numFmtId="0" fontId="3" fillId="10" borderId="21" xfId="0" applyFont="1" applyFill="1" applyBorder="1" applyAlignment="1">
      <alignment horizontal="left" vertical="center"/>
    </xf>
    <xf numFmtId="0" fontId="3" fillId="10" borderId="21" xfId="0" applyFont="1" applyFill="1" applyBorder="1" applyAlignment="1">
      <alignment horizontal="left" vertical="center" wrapText="1"/>
    </xf>
    <xf numFmtId="167" fontId="2" fillId="10" borderId="13" xfId="0" applyNumberFormat="1" applyFont="1" applyFill="1" applyBorder="1" applyAlignment="1">
      <alignment horizontal="right" vertical="center" wrapText="1"/>
    </xf>
    <xf numFmtId="38" fontId="2" fillId="10" borderId="21" xfId="0" applyNumberFormat="1" applyFont="1" applyFill="1" applyBorder="1" applyAlignment="1">
      <alignment horizontal="right" vertical="center"/>
    </xf>
    <xf numFmtId="38" fontId="2" fillId="10" borderId="21" xfId="0" applyNumberFormat="1" applyFont="1" applyFill="1" applyBorder="1" applyAlignment="1">
      <alignment horizontal="center" vertical="center"/>
    </xf>
    <xf numFmtId="165" fontId="2" fillId="10" borderId="13" xfId="0" applyNumberFormat="1" applyFont="1" applyFill="1" applyBorder="1" applyAlignment="1">
      <alignment horizontal="right" vertical="center" wrapText="1"/>
    </xf>
    <xf numFmtId="0" fontId="27" fillId="10" borderId="2" xfId="0" applyFont="1" applyFill="1" applyBorder="1" applyAlignment="1">
      <alignment horizontal="left" vertical="center"/>
    </xf>
    <xf numFmtId="14" fontId="3" fillId="10" borderId="2" xfId="0" applyNumberFormat="1" applyFont="1" applyFill="1" applyBorder="1" applyAlignment="1">
      <alignment horizontal="center" vertical="center"/>
    </xf>
    <xf numFmtId="0" fontId="32" fillId="10" borderId="0" xfId="0" applyFont="1" applyFill="1" applyAlignment="1">
      <alignment horizontal="left" vertical="center"/>
    </xf>
    <xf numFmtId="0" fontId="23" fillId="10" borderId="0" xfId="0" applyFont="1" applyFill="1" applyAlignment="1">
      <alignment horizontal="left" vertical="center"/>
    </xf>
    <xf numFmtId="38" fontId="2" fillId="10" borderId="2" xfId="0" applyNumberFormat="1" applyFont="1" applyFill="1" applyBorder="1" applyAlignment="1">
      <alignment horizontal="right" vertical="center"/>
    </xf>
    <xf numFmtId="38" fontId="25" fillId="10" borderId="2" xfId="0" applyNumberFormat="1" applyFont="1" applyFill="1" applyBorder="1" applyAlignment="1">
      <alignment horizontal="right" vertical="center"/>
    </xf>
    <xf numFmtId="14" fontId="2" fillId="10" borderId="2" xfId="0" applyNumberFormat="1" applyFont="1" applyFill="1" applyBorder="1" applyAlignment="1">
      <alignment horizontal="center" vertical="center"/>
    </xf>
    <xf numFmtId="0" fontId="40" fillId="7" borderId="0" xfId="0" applyFont="1" applyFill="1"/>
    <xf numFmtId="0" fontId="42" fillId="7" borderId="0" xfId="1" applyFont="1" applyFill="1" applyBorder="1" applyAlignment="1">
      <alignment horizontal="right" vertical="center"/>
    </xf>
    <xf numFmtId="0" fontId="43" fillId="7" borderId="0" xfId="0" applyFont="1" applyFill="1"/>
    <xf numFmtId="164" fontId="42" fillId="7" borderId="0" xfId="0" applyNumberFormat="1" applyFont="1" applyFill="1"/>
    <xf numFmtId="0" fontId="60" fillId="7" borderId="0" xfId="0" applyFont="1" applyFill="1"/>
    <xf numFmtId="166" fontId="54" fillId="0" borderId="4" xfId="0" applyNumberFormat="1" applyFont="1" applyBorder="1" applyAlignment="1">
      <alignment horizontal="right" vertical="center"/>
    </xf>
    <xf numFmtId="14" fontId="54" fillId="0" borderId="4" xfId="0" applyNumberFormat="1" applyFont="1" applyBorder="1" applyAlignment="1">
      <alignment horizontal="left" vertical="top" wrapText="1"/>
    </xf>
    <xf numFmtId="0" fontId="62" fillId="15" borderId="4" xfId="0" applyFont="1" applyFill="1" applyBorder="1" applyAlignment="1">
      <alignment horizontal="center"/>
    </xf>
    <xf numFmtId="169" fontId="51" fillId="14" borderId="4" xfId="0" applyNumberFormat="1" applyFont="1" applyFill="1" applyBorder="1" applyAlignment="1">
      <alignment horizontal="center"/>
    </xf>
    <xf numFmtId="0" fontId="63" fillId="15" borderId="4" xfId="0" applyFont="1" applyFill="1" applyBorder="1"/>
    <xf numFmtId="0" fontId="62" fillId="15" borderId="4" xfId="0" applyFont="1" applyFill="1" applyBorder="1"/>
    <xf numFmtId="0" fontId="62" fillId="15" borderId="4" xfId="0" applyFont="1" applyFill="1" applyBorder="1" applyAlignment="1">
      <alignment horizontal="center" vertical="top" wrapText="1"/>
    </xf>
    <xf numFmtId="2" fontId="37" fillId="16" borderId="4" xfId="0" applyNumberFormat="1" applyFont="1" applyFill="1" applyBorder="1" applyAlignment="1">
      <alignment horizontal="center" vertical="top" wrapText="1"/>
    </xf>
    <xf numFmtId="0" fontId="35" fillId="0" borderId="0" xfId="0" applyFont="1"/>
    <xf numFmtId="2" fontId="0" fillId="0" borderId="0" xfId="0" applyNumberFormat="1"/>
    <xf numFmtId="0" fontId="64" fillId="14" borderId="4" xfId="0" applyFont="1" applyFill="1" applyBorder="1" applyAlignment="1">
      <alignment horizontal="left" vertical="center"/>
    </xf>
    <xf numFmtId="0" fontId="65" fillId="3" borderId="4" xfId="0" applyFont="1" applyFill="1" applyBorder="1" applyAlignment="1">
      <alignment horizontal="center" vertical="center"/>
    </xf>
    <xf numFmtId="167" fontId="30" fillId="10" borderId="32" xfId="0" applyNumberFormat="1" applyFont="1" applyFill="1" applyBorder="1" applyAlignment="1">
      <alignment horizontal="right" vertical="center"/>
    </xf>
    <xf numFmtId="167" fontId="30" fillId="10" borderId="3" xfId="0" applyNumberFormat="1" applyFont="1" applyFill="1" applyBorder="1" applyAlignment="1">
      <alignment horizontal="right" vertical="center"/>
    </xf>
    <xf numFmtId="167" fontId="30" fillId="10" borderId="31" xfId="0" applyNumberFormat="1" applyFont="1" applyFill="1" applyBorder="1" applyAlignment="1">
      <alignment horizontal="right" vertical="center"/>
    </xf>
    <xf numFmtId="38" fontId="54" fillId="3" borderId="13" xfId="0" applyNumberFormat="1" applyFont="1" applyFill="1" applyBorder="1" applyAlignment="1" applyProtection="1">
      <alignment horizontal="left" vertical="center" wrapText="1"/>
      <protection locked="0"/>
    </xf>
    <xf numFmtId="167" fontId="23" fillId="0" borderId="4" xfId="0" applyNumberFormat="1" applyFont="1" applyBorder="1" applyAlignment="1">
      <alignment horizontal="right" vertical="center"/>
    </xf>
    <xf numFmtId="167" fontId="16" fillId="0" borderId="4" xfId="0" applyNumberFormat="1" applyFont="1" applyBorder="1" applyAlignment="1">
      <alignment horizontal="right" vertical="center"/>
    </xf>
    <xf numFmtId="0" fontId="66" fillId="10" borderId="0" xfId="0" applyFont="1" applyFill="1" applyAlignment="1">
      <alignment horizontal="left" vertical="center"/>
    </xf>
    <xf numFmtId="14" fontId="67" fillId="17" borderId="2" xfId="0" applyNumberFormat="1" applyFont="1" applyFill="1" applyBorder="1" applyAlignment="1" applyProtection="1">
      <alignment horizontal="left" vertical="center"/>
      <protection locked="0"/>
    </xf>
    <xf numFmtId="165" fontId="23" fillId="10" borderId="0" xfId="0" applyNumberFormat="1" applyFont="1" applyFill="1" applyAlignment="1">
      <alignment horizontal="left" vertical="center"/>
    </xf>
    <xf numFmtId="0" fontId="31" fillId="10" borderId="0" xfId="0" applyFont="1" applyFill="1" applyAlignment="1">
      <alignment horizontal="left" vertical="center"/>
    </xf>
    <xf numFmtId="14" fontId="23" fillId="10" borderId="0" xfId="0" applyNumberFormat="1" applyFont="1" applyFill="1" applyAlignment="1">
      <alignment horizontal="center" vertical="center"/>
    </xf>
    <xf numFmtId="167" fontId="23" fillId="10" borderId="0" xfId="0" applyNumberFormat="1" applyFont="1" applyFill="1" applyAlignment="1">
      <alignment horizontal="left" vertical="center"/>
    </xf>
    <xf numFmtId="0" fontId="25" fillId="10" borderId="0" xfId="0" applyFont="1" applyFill="1" applyAlignment="1">
      <alignment horizontal="center" vertical="center"/>
    </xf>
    <xf numFmtId="171" fontId="2" fillId="10" borderId="0" xfId="0" applyNumberFormat="1" applyFont="1" applyFill="1" applyAlignment="1">
      <alignment horizontal="center" vertical="center"/>
    </xf>
    <xf numFmtId="171" fontId="44" fillId="10" borderId="0" xfId="0" applyNumberFormat="1" applyFont="1" applyFill="1" applyAlignment="1">
      <alignment horizontal="right" vertical="center" wrapText="1"/>
    </xf>
    <xf numFmtId="171" fontId="44" fillId="10" borderId="0" xfId="0" applyNumberFormat="1" applyFont="1" applyFill="1" applyAlignment="1">
      <alignment horizontal="right" vertical="center"/>
    </xf>
    <xf numFmtId="167" fontId="2" fillId="10" borderId="0" xfId="0" applyNumberFormat="1" applyFont="1" applyFill="1" applyAlignment="1">
      <alignment horizontal="right" vertical="center"/>
    </xf>
    <xf numFmtId="0" fontId="45" fillId="10" borderId="34" xfId="0" applyFont="1" applyFill="1" applyBorder="1" applyAlignment="1">
      <alignment horizontal="center" vertical="center"/>
    </xf>
    <xf numFmtId="0" fontId="68" fillId="12" borderId="4" xfId="0" applyFont="1" applyFill="1" applyBorder="1" applyAlignment="1">
      <alignment horizontal="center" vertical="center" wrapText="1"/>
    </xf>
    <xf numFmtId="0" fontId="54" fillId="18" borderId="4" xfId="0" applyFont="1" applyFill="1" applyBorder="1" applyAlignment="1" applyProtection="1">
      <alignment horizontal="center" vertical="center" wrapText="1"/>
      <protection locked="0"/>
    </xf>
    <xf numFmtId="0" fontId="44" fillId="10" borderId="0" xfId="0" applyFont="1" applyFill="1" applyAlignment="1">
      <alignment horizontal="left" vertical="center"/>
    </xf>
    <xf numFmtId="2" fontId="44" fillId="10" borderId="0" xfId="0" applyNumberFormat="1" applyFont="1" applyFill="1" applyAlignment="1">
      <alignment horizontal="right" vertical="center"/>
    </xf>
    <xf numFmtId="0" fontId="16" fillId="19" borderId="22" xfId="0" applyFont="1" applyFill="1" applyBorder="1" applyAlignment="1">
      <alignment horizontal="right" vertical="center"/>
    </xf>
    <xf numFmtId="0" fontId="16" fillId="19" borderId="23" xfId="0" applyFont="1" applyFill="1" applyBorder="1" applyAlignment="1">
      <alignment horizontal="right" vertical="center"/>
    </xf>
    <xf numFmtId="166" fontId="16" fillId="19" borderId="24" xfId="0" applyNumberFormat="1" applyFont="1" applyFill="1" applyBorder="1" applyAlignment="1">
      <alignment horizontal="center" vertical="center"/>
    </xf>
    <xf numFmtId="167" fontId="16" fillId="19" borderId="25" xfId="0" applyNumberFormat="1" applyFont="1" applyFill="1" applyBorder="1" applyAlignment="1">
      <alignment horizontal="right" vertical="center"/>
    </xf>
    <xf numFmtId="167" fontId="16" fillId="19" borderId="26" xfId="0" applyNumberFormat="1" applyFont="1" applyFill="1" applyBorder="1" applyAlignment="1">
      <alignment horizontal="right" vertical="center"/>
    </xf>
    <xf numFmtId="0" fontId="32" fillId="20" borderId="12" xfId="0" applyFont="1" applyFill="1" applyBorder="1" applyAlignment="1">
      <alignment horizontal="center"/>
    </xf>
    <xf numFmtId="0" fontId="32" fillId="20" borderId="0" xfId="0" applyFont="1" applyFill="1" applyAlignment="1">
      <alignment horizontal="center"/>
    </xf>
    <xf numFmtId="0" fontId="4" fillId="20" borderId="0" xfId="0" applyFont="1" applyFill="1"/>
    <xf numFmtId="0" fontId="2" fillId="20" borderId="6" xfId="0" applyFont="1" applyFill="1" applyBorder="1" applyAlignment="1">
      <alignment horizontal="center" vertical="center"/>
    </xf>
    <xf numFmtId="0" fontId="2" fillId="20" borderId="5" xfId="0" applyFont="1" applyFill="1" applyBorder="1" applyAlignment="1">
      <alignment horizontal="center" vertical="center"/>
    </xf>
    <xf numFmtId="0" fontId="2" fillId="20" borderId="8" xfId="0" applyFont="1" applyFill="1" applyBorder="1" applyAlignment="1">
      <alignment horizontal="center" vertical="center"/>
    </xf>
    <xf numFmtId="0" fontId="2" fillId="20" borderId="13" xfId="0" applyFont="1" applyFill="1" applyBorder="1" applyAlignment="1">
      <alignment horizontal="center" vertical="center"/>
    </xf>
    <xf numFmtId="167" fontId="69" fillId="21" borderId="4" xfId="0" applyNumberFormat="1" applyFont="1" applyFill="1" applyBorder="1" applyAlignment="1">
      <alignment horizontal="right" vertical="center"/>
    </xf>
    <xf numFmtId="9" fontId="69" fillId="21" borderId="4" xfId="0" applyNumberFormat="1" applyFont="1" applyFill="1" applyBorder="1" applyAlignment="1">
      <alignment horizontal="center" vertical="center"/>
    </xf>
    <xf numFmtId="167" fontId="70" fillId="21" borderId="4" xfId="0" applyNumberFormat="1" applyFont="1" applyFill="1" applyBorder="1" applyAlignment="1">
      <alignment horizontal="left" vertical="center"/>
    </xf>
    <xf numFmtId="10" fontId="70" fillId="21" borderId="4" xfId="0" applyNumberFormat="1" applyFont="1" applyFill="1" applyBorder="1" applyAlignment="1">
      <alignment horizontal="center" vertical="center"/>
    </xf>
    <xf numFmtId="10" fontId="69" fillId="21" borderId="4" xfId="0" applyNumberFormat="1" applyFont="1" applyFill="1" applyBorder="1" applyAlignment="1">
      <alignment horizontal="center" vertical="center"/>
    </xf>
    <xf numFmtId="10" fontId="48" fillId="0" borderId="0" xfId="0" applyNumberFormat="1" applyFont="1" applyAlignment="1">
      <alignment horizontal="left" vertical="center"/>
    </xf>
    <xf numFmtId="0" fontId="2" fillId="20" borderId="14" xfId="0" applyFont="1" applyFill="1" applyBorder="1" applyAlignment="1">
      <alignment horizontal="left" vertical="center"/>
    </xf>
    <xf numFmtId="167" fontId="16" fillId="20" borderId="4" xfId="0" applyNumberFormat="1" applyFont="1" applyFill="1" applyBorder="1" applyAlignment="1">
      <alignment horizontal="right" vertical="center"/>
    </xf>
    <xf numFmtId="10" fontId="16" fillId="20" borderId="4" xfId="0" applyNumberFormat="1" applyFont="1" applyFill="1" applyBorder="1" applyAlignment="1">
      <alignment horizontal="center" vertical="center"/>
    </xf>
    <xf numFmtId="0" fontId="71" fillId="20" borderId="21" xfId="0" applyFont="1" applyFill="1" applyBorder="1" applyAlignment="1">
      <alignment horizontal="left" vertical="center"/>
    </xf>
    <xf numFmtId="167" fontId="66" fillId="20" borderId="4" xfId="0" applyNumberFormat="1" applyFont="1" applyFill="1" applyBorder="1" applyAlignment="1">
      <alignment horizontal="right" vertical="center"/>
    </xf>
    <xf numFmtId="167" fontId="16" fillId="20" borderId="14" xfId="0" applyNumberFormat="1" applyFont="1" applyFill="1" applyBorder="1" applyAlignment="1">
      <alignment horizontal="right" vertical="center"/>
    </xf>
    <xf numFmtId="167" fontId="2" fillId="0" borderId="16" xfId="0" applyNumberFormat="1" applyFont="1" applyBorder="1" applyAlignment="1">
      <alignment horizontal="right" vertical="center" wrapText="1"/>
    </xf>
    <xf numFmtId="167" fontId="72" fillId="0" borderId="6" xfId="0" applyNumberFormat="1" applyFont="1" applyBorder="1" applyAlignment="1">
      <alignment horizontal="center" vertical="center"/>
    </xf>
    <xf numFmtId="0" fontId="72" fillId="0" borderId="15" xfId="0" applyFont="1" applyBorder="1" applyAlignment="1">
      <alignment horizontal="left" vertical="center"/>
    </xf>
    <xf numFmtId="38" fontId="2" fillId="0" borderId="16" xfId="0" applyNumberFormat="1" applyFont="1" applyBorder="1" applyAlignment="1">
      <alignment horizontal="center" vertical="center"/>
    </xf>
    <xf numFmtId="167" fontId="32" fillId="20" borderId="13" xfId="0" applyNumberFormat="1" applyFont="1" applyFill="1" applyBorder="1" applyAlignment="1">
      <alignment horizontal="right" vertical="center" wrapText="1"/>
    </xf>
    <xf numFmtId="0" fontId="32" fillId="20" borderId="8" xfId="0" applyFont="1" applyFill="1" applyBorder="1" applyAlignment="1">
      <alignment horizontal="left" vertical="center"/>
    </xf>
    <xf numFmtId="2" fontId="37" fillId="8" borderId="4" xfId="0" applyNumberFormat="1" applyFont="1" applyFill="1" applyBorder="1" applyAlignment="1">
      <alignment horizontal="center" vertical="top" wrapText="1"/>
    </xf>
    <xf numFmtId="0" fontId="52" fillId="0" borderId="5" xfId="0" applyFont="1" applyBorder="1" applyAlignment="1">
      <alignment horizontal="left" vertical="center"/>
    </xf>
    <xf numFmtId="0" fontId="0" fillId="0" borderId="14" xfId="0" applyBorder="1"/>
    <xf numFmtId="0" fontId="0" fillId="0" borderId="21" xfId="0" applyBorder="1"/>
    <xf numFmtId="0" fontId="0" fillId="0" borderId="2" xfId="0" applyBorder="1"/>
    <xf numFmtId="0" fontId="73" fillId="10" borderId="4" xfId="0" applyFont="1" applyFill="1" applyBorder="1" applyAlignment="1">
      <alignment horizontal="center" vertical="top" wrapText="1"/>
    </xf>
    <xf numFmtId="170" fontId="73" fillId="10" borderId="4" xfId="0" applyNumberFormat="1" applyFont="1" applyFill="1" applyBorder="1" applyAlignment="1">
      <alignment horizontal="center" vertical="top" wrapText="1"/>
    </xf>
    <xf numFmtId="0" fontId="50" fillId="10" borderId="11" xfId="0" applyFont="1" applyFill="1" applyBorder="1" applyAlignment="1">
      <alignment horizontal="center" vertical="top" wrapText="1"/>
    </xf>
    <xf numFmtId="0" fontId="73" fillId="10" borderId="13" xfId="0" applyFont="1" applyFill="1" applyBorder="1" applyAlignment="1">
      <alignment horizontal="center" vertical="top" wrapText="1"/>
    </xf>
    <xf numFmtId="0" fontId="73" fillId="10" borderId="2" xfId="0" applyFont="1" applyFill="1" applyBorder="1" applyAlignment="1">
      <alignment horizontal="center" vertical="top" wrapText="1"/>
    </xf>
    <xf numFmtId="2" fontId="37" fillId="6" borderId="2" xfId="0" applyNumberFormat="1" applyFont="1" applyFill="1" applyBorder="1" applyAlignment="1">
      <alignment horizontal="center" vertical="top" wrapText="1"/>
    </xf>
    <xf numFmtId="2" fontId="37" fillId="5" borderId="2" xfId="0" applyNumberFormat="1" applyFont="1" applyFill="1" applyBorder="1" applyAlignment="1">
      <alignment horizontal="center" vertical="top" wrapText="1"/>
    </xf>
    <xf numFmtId="0" fontId="73" fillId="10" borderId="27" xfId="0" applyFont="1" applyFill="1" applyBorder="1" applyAlignment="1">
      <alignment horizontal="center" vertical="top" wrapText="1"/>
    </xf>
    <xf numFmtId="2" fontId="37" fillId="13" borderId="27" xfId="0" applyNumberFormat="1" applyFont="1" applyFill="1" applyBorder="1" applyAlignment="1">
      <alignment horizontal="center" vertical="top" wrapText="1"/>
    </xf>
    <xf numFmtId="2" fontId="37" fillId="11" borderId="27" xfId="0" applyNumberFormat="1" applyFont="1" applyFill="1" applyBorder="1" applyAlignment="1">
      <alignment horizontal="center" vertical="top" wrapText="1"/>
    </xf>
    <xf numFmtId="0" fontId="51" fillId="9" borderId="4" xfId="0" applyFont="1" applyFill="1" applyBorder="1" applyAlignment="1" applyProtection="1">
      <alignment horizontal="center" vertical="center" wrapText="1"/>
      <protection locked="0"/>
    </xf>
    <xf numFmtId="0" fontId="51" fillId="9" borderId="4" xfId="0" applyFont="1" applyFill="1" applyBorder="1" applyAlignment="1">
      <alignment horizontal="center" vertical="center" wrapText="1"/>
    </xf>
    <xf numFmtId="0" fontId="51" fillId="9" borderId="4" xfId="0" applyFont="1" applyFill="1" applyBorder="1" applyAlignment="1" applyProtection="1">
      <alignment horizontal="center" vertical="top" wrapText="1"/>
      <protection locked="0"/>
    </xf>
    <xf numFmtId="172" fontId="4" fillId="0" borderId="0" xfId="0" applyNumberFormat="1" applyFont="1"/>
    <xf numFmtId="173" fontId="4" fillId="0" borderId="0" xfId="0" applyNumberFormat="1" applyFont="1"/>
    <xf numFmtId="174" fontId="4" fillId="0" borderId="0" xfId="0" applyNumberFormat="1" applyFont="1"/>
    <xf numFmtId="175" fontId="4" fillId="0" borderId="0" xfId="0" applyNumberFormat="1" applyFont="1"/>
    <xf numFmtId="176" fontId="4" fillId="0" borderId="0" xfId="0" applyNumberFormat="1" applyFont="1"/>
    <xf numFmtId="0" fontId="3" fillId="10" borderId="0" xfId="0" applyFont="1" applyFill="1" applyAlignment="1">
      <alignment horizontal="center" vertical="center" wrapText="1"/>
    </xf>
    <xf numFmtId="0" fontId="3" fillId="10" borderId="8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67" fontId="32" fillId="10" borderId="13" xfId="0" applyNumberFormat="1" applyFont="1" applyFill="1" applyBorder="1" applyAlignment="1">
      <alignment horizontal="center" vertical="center" wrapText="1"/>
    </xf>
    <xf numFmtId="167" fontId="2" fillId="0" borderId="0" xfId="0" applyNumberFormat="1" applyFont="1" applyAlignment="1">
      <alignment horizontal="center" vertical="center" wrapText="1"/>
    </xf>
    <xf numFmtId="166" fontId="61" fillId="12" borderId="4" xfId="0" applyNumberFormat="1" applyFont="1" applyFill="1" applyBorder="1" applyAlignment="1">
      <alignment horizontal="center" vertical="center"/>
    </xf>
    <xf numFmtId="0" fontId="5" fillId="10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4" fontId="54" fillId="0" borderId="4" xfId="0" applyNumberFormat="1" applyFont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16" fillId="10" borderId="0" xfId="0" applyFont="1" applyFill="1" applyAlignment="1">
      <alignment horizontal="left" vertical="center" wrapText="1"/>
    </xf>
    <xf numFmtId="0" fontId="11" fillId="3" borderId="16" xfId="0" applyFont="1" applyFill="1" applyBorder="1" applyAlignment="1" applyProtection="1">
      <alignment horizontal="left" vertical="center" wrapText="1"/>
      <protection locked="0"/>
    </xf>
    <xf numFmtId="0" fontId="11" fillId="3" borderId="9" xfId="0" applyFont="1" applyFill="1" applyBorder="1" applyAlignment="1" applyProtection="1">
      <alignment horizontal="left" vertical="center" wrapText="1"/>
      <protection locked="0"/>
    </xf>
    <xf numFmtId="0" fontId="36" fillId="0" borderId="14" xfId="0" applyFont="1" applyBorder="1" applyAlignment="1">
      <alignment horizontal="justify"/>
    </xf>
    <xf numFmtId="0" fontId="0" fillId="0" borderId="21" xfId="0" applyBorder="1"/>
    <xf numFmtId="0" fontId="0" fillId="0" borderId="2" xfId="0" applyBorder="1"/>
    <xf numFmtId="0" fontId="62" fillId="15" borderId="14" xfId="0" applyFont="1" applyFill="1" applyBorder="1" applyAlignment="1">
      <alignment horizontal="center"/>
    </xf>
    <xf numFmtId="0" fontId="52" fillId="9" borderId="14" xfId="0" applyFont="1" applyFill="1" applyBorder="1" applyAlignment="1">
      <alignment horizontal="justify" vertical="top" wrapText="1"/>
    </xf>
    <xf numFmtId="0" fontId="62" fillId="15" borderId="4" xfId="0" applyFont="1" applyFill="1" applyBorder="1" applyAlignment="1">
      <alignment horizontal="center" vertical="top" wrapText="1"/>
    </xf>
    <xf numFmtId="0" fontId="73" fillId="10" borderId="28" xfId="0" applyFont="1" applyFill="1" applyBorder="1" applyAlignment="1">
      <alignment horizontal="center" vertical="top" wrapText="1"/>
    </xf>
    <xf numFmtId="0" fontId="73" fillId="10" borderId="4" xfId="0" applyFont="1" applyFill="1" applyBorder="1" applyAlignment="1">
      <alignment horizontal="center" vertical="top" wrapText="1"/>
    </xf>
    <xf numFmtId="0" fontId="73" fillId="10" borderId="14" xfId="0" applyFont="1" applyFill="1" applyBorder="1" applyAlignment="1">
      <alignment horizontal="center" vertical="top" wrapText="1"/>
    </xf>
    <xf numFmtId="0" fontId="73" fillId="10" borderId="21" xfId="0" applyFont="1" applyFill="1" applyBorder="1" applyAlignment="1">
      <alignment horizontal="center" vertical="top" wrapText="1"/>
    </xf>
    <xf numFmtId="0" fontId="73" fillId="10" borderId="2" xfId="0" applyFont="1" applyFill="1" applyBorder="1" applyAlignment="1">
      <alignment horizontal="center" vertical="top" wrapText="1"/>
    </xf>
    <xf numFmtId="49" fontId="54" fillId="3" borderId="14" xfId="0" applyNumberFormat="1" applyFont="1" applyFill="1" applyBorder="1" applyAlignment="1" applyProtection="1">
      <alignment horizontal="left" vertical="center" wrapText="1"/>
      <protection locked="0"/>
    </xf>
    <xf numFmtId="0" fontId="0" fillId="0" borderId="2" xfId="0" applyBorder="1" applyAlignment="1">
      <alignment horizontal="left" vertical="center" wrapText="1"/>
    </xf>
    <xf numFmtId="0" fontId="2" fillId="10" borderId="37" xfId="0" applyFont="1" applyFill="1" applyBorder="1" applyAlignment="1">
      <alignment horizontal="center" vertical="center" wrapText="1"/>
    </xf>
    <xf numFmtId="0" fontId="0" fillId="0" borderId="38" xfId="0" applyBorder="1"/>
    <xf numFmtId="0" fontId="3" fillId="10" borderId="39" xfId="0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2" fillId="10" borderId="41" xfId="0" applyFont="1" applyFill="1" applyBorder="1" applyAlignment="1">
      <alignment horizontal="center" vertical="center" wrapText="1"/>
    </xf>
    <xf numFmtId="0" fontId="2" fillId="10" borderId="42" xfId="0" applyFont="1" applyFill="1" applyBorder="1" applyAlignment="1">
      <alignment horizontal="center" vertical="center" wrapText="1"/>
    </xf>
    <xf numFmtId="0" fontId="24" fillId="0" borderId="4" xfId="0" applyFont="1" applyBorder="1"/>
    <xf numFmtId="0" fontId="2" fillId="10" borderId="5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 wrapText="1"/>
    </xf>
    <xf numFmtId="0" fontId="0" fillId="0" borderId="2" xfId="0" applyBorder="1" applyAlignment="1">
      <alignment vertical="center" wrapText="1"/>
    </xf>
    <xf numFmtId="0" fontId="0" fillId="0" borderId="11" xfId="0" applyBorder="1" applyAlignment="1">
      <alignment horizontal="center" vertical="center"/>
    </xf>
    <xf numFmtId="167" fontId="2" fillId="10" borderId="5" xfId="0" applyNumberFormat="1" applyFont="1" applyFill="1" applyBorder="1" applyAlignment="1">
      <alignment horizontal="center" vertical="center"/>
    </xf>
    <xf numFmtId="0" fontId="3" fillId="10" borderId="14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54" fillId="0" borderId="14" xfId="0" applyFont="1" applyBorder="1" applyAlignment="1">
      <alignment horizontal="left" vertical="center" wrapText="1"/>
    </xf>
    <xf numFmtId="0" fontId="54" fillId="0" borderId="14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54" fillId="0" borderId="14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49" fillId="0" borderId="15" xfId="0" applyFont="1" applyBorder="1" applyAlignment="1">
      <alignment horizontal="left" vertical="center"/>
    </xf>
    <xf numFmtId="0" fontId="74" fillId="0" borderId="6" xfId="0" applyFont="1" applyBorder="1" applyAlignment="1">
      <alignment horizontal="left" vertical="center"/>
    </xf>
    <xf numFmtId="0" fontId="35" fillId="0" borderId="16" xfId="0" applyFont="1" applyBorder="1" applyAlignment="1">
      <alignment vertical="center"/>
    </xf>
    <xf numFmtId="0" fontId="74" fillId="0" borderId="12" xfId="0" applyFont="1" applyBorder="1" applyAlignment="1">
      <alignment horizontal="left" vertical="center"/>
    </xf>
    <xf numFmtId="0" fontId="74" fillId="0" borderId="8" xfId="0" applyFont="1" applyBorder="1" applyAlignment="1">
      <alignment horizontal="left" vertical="center"/>
    </xf>
    <xf numFmtId="0" fontId="35" fillId="0" borderId="9" xfId="0" applyFont="1" applyBorder="1" applyAlignment="1">
      <alignment vertical="center"/>
    </xf>
    <xf numFmtId="0" fontId="5" fillId="14" borderId="6" xfId="0" applyFont="1" applyFill="1" applyBorder="1" applyAlignment="1">
      <alignment horizontal="left" vertical="center"/>
    </xf>
    <xf numFmtId="0" fontId="5" fillId="14" borderId="0" xfId="0" applyFont="1" applyFill="1" applyAlignment="1">
      <alignment horizontal="left" vertical="center"/>
    </xf>
    <xf numFmtId="167" fontId="5" fillId="14" borderId="0" xfId="0" applyNumberFormat="1" applyFont="1" applyFill="1" applyAlignment="1">
      <alignment horizontal="left" vertical="center"/>
    </xf>
    <xf numFmtId="0" fontId="58" fillId="0" borderId="5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9" fontId="75" fillId="21" borderId="14" xfId="0" applyNumberFormat="1" applyFont="1" applyFill="1" applyBorder="1" applyAlignment="1">
      <alignment horizontal="center" vertical="center"/>
    </xf>
    <xf numFmtId="0" fontId="76" fillId="21" borderId="2" xfId="0" applyFont="1" applyFill="1" applyBorder="1" applyAlignment="1">
      <alignment vertical="center"/>
    </xf>
    <xf numFmtId="0" fontId="75" fillId="0" borderId="14" xfId="0" applyFont="1" applyBorder="1" applyAlignment="1">
      <alignment horizontal="center" vertical="center"/>
    </xf>
    <xf numFmtId="0" fontId="76" fillId="0" borderId="21" xfId="0" applyFont="1" applyBorder="1" applyAlignment="1">
      <alignment horizontal="center" vertical="center"/>
    </xf>
    <xf numFmtId="0" fontId="76" fillId="0" borderId="2" xfId="0" applyFont="1" applyBorder="1" applyAlignment="1">
      <alignment horizontal="center" vertical="center"/>
    </xf>
    <xf numFmtId="0" fontId="13" fillId="10" borderId="14" xfId="0" applyFont="1" applyFill="1" applyBorder="1" applyAlignment="1">
      <alignment horizontal="left" vertical="center"/>
    </xf>
    <xf numFmtId="0" fontId="0" fillId="0" borderId="21" xfId="0" applyBorder="1" applyAlignment="1">
      <alignment vertical="center"/>
    </xf>
    <xf numFmtId="0" fontId="0" fillId="0" borderId="2" xfId="0" applyBorder="1" applyAlignment="1">
      <alignment vertical="center"/>
    </xf>
    <xf numFmtId="0" fontId="47" fillId="10" borderId="14" xfId="0" applyFont="1" applyFill="1" applyBorder="1" applyAlignment="1">
      <alignment horizontal="left" vertical="center"/>
    </xf>
    <xf numFmtId="0" fontId="54" fillId="3" borderId="14" xfId="0" applyFont="1" applyFill="1" applyBorder="1" applyAlignment="1" applyProtection="1">
      <alignment horizontal="left" vertical="center" wrapText="1"/>
      <protection locked="0"/>
    </xf>
    <xf numFmtId="0" fontId="3" fillId="10" borderId="12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66" fillId="10" borderId="12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2">
    <cellStyle name="Normal" xfId="0" builtinId="0"/>
    <cellStyle name="Table Heading" xfId="1" xr:uid="{00000000-0005-0000-0000-000001000000}"/>
  </cellStyles>
  <dxfs count="40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71974918842007"/>
          <c:y val="6.1538461538461556E-2"/>
          <c:w val="0.80874460799573111"/>
          <c:h val="0.73715444392980278"/>
        </c:manualLayout>
      </c:layout>
      <c:scatterChart>
        <c:scatterStyle val="lineMarker"/>
        <c:varyColors val="0"/>
        <c:ser>
          <c:idx val="8"/>
          <c:order val="0"/>
          <c:tx>
            <c:strRef>
              <c:f>'Ameacas-Pré'!$A$8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00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9A07-4E71-810E-65464317BB1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'Ameacas-Pré'!$F$8</c:f>
              <c:numCache>
                <c:formatCode>0%</c:formatCode>
                <c:ptCount val="1"/>
                <c:pt idx="0">
                  <c:v>0.3</c:v>
                </c:pt>
              </c:numCache>
            </c:numRef>
          </c:xVal>
          <c:yVal>
            <c:numRef>
              <c:f>'Ameacas-Pré'!$K$8</c:f>
              <c:numCache>
                <c:formatCode>General</c:formatCode>
                <c:ptCount val="1"/>
                <c:pt idx="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07-4E71-810E-65464317BB15}"/>
            </c:ext>
          </c:extLst>
        </c:ser>
        <c:ser>
          <c:idx val="0"/>
          <c:order val="1"/>
          <c:tx>
            <c:strRef>
              <c:f>'Ameacas-Pré'!$A$9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dLbls>
            <c:dLbl>
              <c:idx val="0"/>
              <c:spPr/>
              <c:txPr>
                <a:bodyPr/>
                <a:lstStyle/>
                <a:p>
                  <a:pPr>
                    <a:defRPr sz="1000" b="1" i="0" baseline="0"/>
                  </a:pPr>
                  <a:endParaRPr lang="pt-BR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9A07-4E71-810E-65464317BB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'Ameacas-Pré'!$F$9</c:f>
              <c:numCache>
                <c:formatCode>0%</c:formatCode>
                <c:ptCount val="1"/>
                <c:pt idx="0">
                  <c:v>0.5</c:v>
                </c:pt>
              </c:numCache>
            </c:numRef>
          </c:xVal>
          <c:yVal>
            <c:numRef>
              <c:f>'Ameacas-Pré'!$K$9</c:f>
              <c:numCache>
                <c:formatCode>General</c:formatCode>
                <c:ptCount val="1"/>
                <c:pt idx="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07-4E71-810E-65464317BB15}"/>
            </c:ext>
          </c:extLst>
        </c:ser>
        <c:ser>
          <c:idx val="1"/>
          <c:order val="2"/>
          <c:tx>
            <c:strRef>
              <c:f>'Ameacas-Pré'!$A$10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'Ameacas-Pré'!$F$10</c:f>
              <c:numCache>
                <c:formatCode>0%</c:formatCode>
                <c:ptCount val="1"/>
                <c:pt idx="0">
                  <c:v>0.3</c:v>
                </c:pt>
              </c:numCache>
            </c:numRef>
          </c:xVal>
          <c:yVal>
            <c:numRef>
              <c:f>'Ameacas-Pré'!$K$10</c:f>
              <c:numCache>
                <c:formatCode>General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07-4E71-810E-65464317BB15}"/>
            </c:ext>
          </c:extLst>
        </c:ser>
        <c:ser>
          <c:idx val="2"/>
          <c:order val="3"/>
          <c:tx>
            <c:strRef>
              <c:f>'Ameacas-Pré'!$A$11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'Ameacas-Pré'!$F$11</c:f>
              <c:numCache>
                <c:formatCode>0%</c:formatCode>
                <c:ptCount val="1"/>
                <c:pt idx="0">
                  <c:v>0.9</c:v>
                </c:pt>
              </c:numCache>
            </c:numRef>
          </c:xVal>
          <c:yVal>
            <c:numRef>
              <c:f>'Ameacas-Pré'!$K$11</c:f>
              <c:numCache>
                <c:formatCode>General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07-4E71-810E-65464317BB15}"/>
            </c:ext>
          </c:extLst>
        </c:ser>
        <c:ser>
          <c:idx val="3"/>
          <c:order val="4"/>
          <c:tx>
            <c:strRef>
              <c:f>'Ameacas-Pré'!$A$12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'Ameacas-Pré'!$F$12</c:f>
              <c:numCache>
                <c:formatCode>0%</c:formatCode>
                <c:ptCount val="1"/>
                <c:pt idx="0">
                  <c:v>0.5</c:v>
                </c:pt>
              </c:numCache>
            </c:numRef>
          </c:xVal>
          <c:yVal>
            <c:numRef>
              <c:f>'Ameacas-Pré'!$K$12</c:f>
              <c:numCache>
                <c:formatCode>General</c:formatCode>
                <c:ptCount val="1"/>
                <c:pt idx="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A07-4E71-810E-65464317BB15}"/>
            </c:ext>
          </c:extLst>
        </c:ser>
        <c:ser>
          <c:idx val="4"/>
          <c:order val="5"/>
          <c:tx>
            <c:strRef>
              <c:f>'Ameacas-Pré'!$A$13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'Ameacas-Pré'!$F$13</c:f>
              <c:numCache>
                <c:formatCode>0%</c:formatCode>
                <c:ptCount val="1"/>
                <c:pt idx="0">
                  <c:v>0.3</c:v>
                </c:pt>
              </c:numCache>
            </c:numRef>
          </c:xVal>
          <c:yVal>
            <c:numRef>
              <c:f>'Ameacas-Pré'!$K$14</c:f>
              <c:numCache>
                <c:formatCode>General</c:formatCode>
                <c:ptCount val="1"/>
                <c:pt idx="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A07-4E71-810E-65464317BB15}"/>
            </c:ext>
          </c:extLst>
        </c:ser>
        <c:ser>
          <c:idx val="5"/>
          <c:order val="6"/>
          <c:tx>
            <c:strRef>
              <c:f>'Ameacas-Pré'!$A$14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'Ameacas-Pré'!$F$14</c:f>
              <c:numCache>
                <c:formatCode>0%</c:formatCode>
                <c:ptCount val="1"/>
                <c:pt idx="0">
                  <c:v>0.7</c:v>
                </c:pt>
              </c:numCache>
            </c:numRef>
          </c:xVal>
          <c:yVal>
            <c:numRef>
              <c:f>'Ameacas-Pré'!$K$15</c:f>
              <c:numCache>
                <c:formatCode>General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A07-4E71-810E-65464317BB15}"/>
            </c:ext>
          </c:extLst>
        </c:ser>
        <c:ser>
          <c:idx val="6"/>
          <c:order val="7"/>
          <c:tx>
            <c:strRef>
              <c:f>'Ameacas-Pré'!$A$15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'Ameacas-Pré'!$F$15</c:f>
              <c:numCache>
                <c:formatCode>0%</c:formatCode>
                <c:ptCount val="1"/>
                <c:pt idx="0">
                  <c:v>0.3</c:v>
                </c:pt>
              </c:numCache>
            </c:numRef>
          </c:xVal>
          <c:yVal>
            <c:numRef>
              <c:f>'Ameacas-Pré'!$K$16</c:f>
              <c:numCache>
                <c:formatCode>General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A07-4E71-810E-65464317BB15}"/>
            </c:ext>
          </c:extLst>
        </c:ser>
        <c:ser>
          <c:idx val="7"/>
          <c:order val="8"/>
          <c:tx>
            <c:strRef>
              <c:f>'Ameacas-Pré'!$A$16</c:f>
              <c:strCache>
                <c:ptCount val="1"/>
                <c:pt idx="0">
                  <c:v>9</c:v>
                </c:pt>
              </c:strCache>
            </c:strRef>
          </c:tx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9A07-4E71-810E-65464317BB1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'Ameacas-Pré'!$F$16</c:f>
              <c:numCache>
                <c:formatCode>0%</c:formatCode>
                <c:ptCount val="1"/>
                <c:pt idx="0">
                  <c:v>0.1</c:v>
                </c:pt>
              </c:numCache>
            </c:numRef>
          </c:xVal>
          <c:yVal>
            <c:numRef>
              <c:f>'Ameacas-Pré'!$K$16</c:f>
              <c:numCache>
                <c:formatCode>General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A07-4E71-810E-65464317BB15}"/>
            </c:ext>
          </c:extLst>
        </c:ser>
        <c:ser>
          <c:idx val="9"/>
          <c:order val="9"/>
          <c:tx>
            <c:strRef>
              <c:f>'Ameacas-Pré'!$A$17</c:f>
              <c:strCache>
                <c:ptCount val="1"/>
                <c:pt idx="0">
                  <c:v>10</c:v>
                </c:pt>
              </c:strCache>
            </c:strRef>
          </c:tx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9A07-4E71-810E-65464317BB15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/>
                  </a:pPr>
                  <a:endParaRPr lang="pt-BR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A07-4E71-810E-65464317BB1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'Ameacas-Pré'!$F$17</c:f>
              <c:numCache>
                <c:formatCode>0%</c:formatCode>
                <c:ptCount val="1"/>
                <c:pt idx="0">
                  <c:v>0.3</c:v>
                </c:pt>
              </c:numCache>
            </c:numRef>
          </c:xVal>
          <c:yVal>
            <c:numRef>
              <c:f>'Ameacas-Pré'!$K$17</c:f>
              <c:numCache>
                <c:formatCode>General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A07-4E71-810E-65464317BB15}"/>
            </c:ext>
          </c:extLst>
        </c:ser>
        <c:ser>
          <c:idx val="10"/>
          <c:order val="10"/>
          <c:tx>
            <c:strRef>
              <c:f>'Ameacas-Pré'!$A$18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'Ameacas-Pré'!$F$18</c:f>
              <c:numCache>
                <c:formatCode>0%</c:formatCode>
                <c:ptCount val="1"/>
                <c:pt idx="0">
                  <c:v>0.3</c:v>
                </c:pt>
              </c:numCache>
            </c:numRef>
          </c:xVal>
          <c:yVal>
            <c:numRef>
              <c:f>'Ameacas-Pré'!$K$18</c:f>
              <c:numCache>
                <c:formatCode>General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A07-4E71-810E-65464317BB15}"/>
            </c:ext>
          </c:extLst>
        </c:ser>
        <c:ser>
          <c:idx val="11"/>
          <c:order val="11"/>
          <c:tx>
            <c:strRef>
              <c:f>'Ameacas-Pré'!$A$19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'Ameacas-Pré'!$F$19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A07-4E71-810E-65464317BB15}"/>
            </c:ext>
          </c:extLst>
        </c:ser>
        <c:ser>
          <c:idx val="12"/>
          <c:order val="12"/>
          <c:tx>
            <c:strRef>
              <c:f>'Ameacas-Pré'!$A$20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'Ameacas-Pré'!$F$20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A07-4E71-810E-65464317BB15}"/>
            </c:ext>
          </c:extLst>
        </c:ser>
        <c:ser>
          <c:idx val="13"/>
          <c:order val="13"/>
          <c:tx>
            <c:strRef>
              <c:f>'Ameacas-Pré'!$A$21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'Ameacas-Pré'!$F$21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'Ameacas-Pré'!$K$21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A07-4E71-810E-65464317BB15}"/>
            </c:ext>
          </c:extLst>
        </c:ser>
        <c:ser>
          <c:idx val="14"/>
          <c:order val="14"/>
          <c:tx>
            <c:strRef>
              <c:f>'Ameacas-Pré'!$A$22</c:f>
              <c:strCache>
                <c:ptCount val="1"/>
                <c:pt idx="0">
                  <c:v>15</c:v>
                </c:pt>
              </c:strCache>
            </c:strRef>
          </c:tx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9A07-4E71-810E-65464317BB1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'Ameacas-Pré'!$F$22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'Ameacas-Pré'!$K$22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A07-4E71-810E-65464317B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645576"/>
        <c:axId val="1"/>
      </c:scatterChart>
      <c:valAx>
        <c:axId val="371645576"/>
        <c:scaling>
          <c:orientation val="minMax"/>
          <c:max val="1"/>
          <c:min val="0"/>
        </c:scaling>
        <c:delete val="0"/>
        <c:axPos val="b"/>
        <c:minorGridlines>
          <c:spPr>
            <a:ln w="12700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Impacto</a:t>
                </a:r>
              </a:p>
            </c:rich>
          </c:tx>
          <c:layout>
            <c:manualLayout>
              <c:xMode val="edge"/>
              <c:yMode val="edge"/>
              <c:x val="0.48019355492721461"/>
              <c:y val="0.9140773497951437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in"/>
        <c:minorTickMark val="in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crossBetween val="midCat"/>
        <c:minorUnit val="0.2"/>
      </c:valAx>
      <c:valAx>
        <c:axId val="1"/>
        <c:scaling>
          <c:orientation val="minMax"/>
          <c:max val="1"/>
          <c:min val="0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Probabilidade</a:t>
                </a:r>
              </a:p>
            </c:rich>
          </c:tx>
          <c:layout>
            <c:manualLayout>
              <c:xMode val="edge"/>
              <c:yMode val="edge"/>
              <c:x val="2.7322535130993718E-2"/>
              <c:y val="0.326570721441621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71645576"/>
        <c:crossesAt val="0"/>
        <c:crossBetween val="midCat"/>
        <c:majorUnit val="0.2"/>
        <c:minorUnit val="0.1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pt-BR"/>
    </a:p>
  </c:txPr>
  <c:printSettings>
    <c:headerFooter alignWithMargins="0"/>
    <c:pageMargins b="0.98425196899999978" l="0.78740157499999996" r="0.78740157499999996" t="0.98425196899999978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29</xdr:row>
      <xdr:rowOff>0</xdr:rowOff>
    </xdr:from>
    <xdr:to>
      <xdr:col>5</xdr:col>
      <xdr:colOff>666750</xdr:colOff>
      <xdr:row>48</xdr:row>
      <xdr:rowOff>0</xdr:rowOff>
    </xdr:to>
    <xdr:pic>
      <xdr:nvPicPr>
        <xdr:cNvPr id="88090" name="Imagem 1" descr="Categoria dos Riscos.jpg">
          <a:extLst>
            <a:ext uri="{FF2B5EF4-FFF2-40B4-BE49-F238E27FC236}">
              <a16:creationId xmlns:a16="http://schemas.microsoft.com/office/drawing/2014/main" id="{00000000-0008-0000-0100-00001A58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7410450"/>
          <a:ext cx="4171950" cy="2895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76200</xdr:colOff>
      <xdr:row>10</xdr:row>
      <xdr:rowOff>38100</xdr:rowOff>
    </xdr:from>
    <xdr:to>
      <xdr:col>26</xdr:col>
      <xdr:colOff>1504950</xdr:colOff>
      <xdr:row>26</xdr:row>
      <xdr:rowOff>123825</xdr:rowOff>
    </xdr:to>
    <xdr:graphicFrame macro="">
      <xdr:nvGraphicFramePr>
        <xdr:cNvPr id="1160" name="Chart 2">
          <a:extLst>
            <a:ext uri="{FF2B5EF4-FFF2-40B4-BE49-F238E27FC236}">
              <a16:creationId xmlns:a16="http://schemas.microsoft.com/office/drawing/2014/main" id="{00000000-0008-0000-0200-000088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3</xdr:row>
          <xdr:rowOff>88900</xdr:rowOff>
        </xdr:from>
        <xdr:to>
          <xdr:col>12</xdr:col>
          <xdr:colOff>679450</xdr:colOff>
          <xdr:row>4</xdr:row>
          <xdr:rowOff>184150</xdr:rowOff>
        </xdr:to>
        <xdr:sp macro="" textlink="">
          <xdr:nvSpPr>
            <xdr:cNvPr id="1111" name="Botao1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2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3</xdr:row>
          <xdr:rowOff>76200</xdr:rowOff>
        </xdr:from>
        <xdr:to>
          <xdr:col>12</xdr:col>
          <xdr:colOff>679450</xdr:colOff>
          <xdr:row>4</xdr:row>
          <xdr:rowOff>171450</xdr:rowOff>
        </xdr:to>
        <xdr:sp macro="" textlink="">
          <xdr:nvSpPr>
            <xdr:cNvPr id="2063" name="Botao1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4727304</xdr:colOff>
      <xdr:row>0</xdr:row>
      <xdr:rowOff>74084</xdr:rowOff>
    </xdr:from>
    <xdr:to>
      <xdr:col>8</xdr:col>
      <xdr:colOff>655709</xdr:colOff>
      <xdr:row>3</xdr:row>
      <xdr:rowOff>103876</xdr:rowOff>
    </xdr:to>
    <xdr:sp macro="" textlink="">
      <xdr:nvSpPr>
        <xdr:cNvPr id="2" name="Texto Explicativo 1 1" descr="probabilidade e/ou impacto devem ser alterados se uma ação de CONTENÇÃO/PREVENÇÃO for tomada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11345332" y="74084"/>
          <a:ext cx="2211917" cy="582083"/>
        </a:xfrm>
        <a:prstGeom prst="borderCallout1">
          <a:avLst>
            <a:gd name="adj1" fmla="val 18750"/>
            <a:gd name="adj2" fmla="val -8333"/>
            <a:gd name="adj3" fmla="val 239773"/>
            <a:gd name="adj4" fmla="val -25414"/>
          </a:avLst>
        </a:prstGeom>
        <a:solidFill>
          <a:srgbClr val="FFFF00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1100"/>
            <a:t>Probabilidade /Impacto devem ser alterados se uma ação</a:t>
          </a:r>
          <a:r>
            <a:rPr lang="pt-BR" sz="1100" baseline="0"/>
            <a:t> de contenção / prevenção for tomada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295911</xdr:colOff>
      <xdr:row>0</xdr:row>
      <xdr:rowOff>84455</xdr:rowOff>
    </xdr:from>
    <xdr:to>
      <xdr:col>11</xdr:col>
      <xdr:colOff>722297</xdr:colOff>
      <xdr:row>3</xdr:row>
      <xdr:rowOff>83877</xdr:rowOff>
    </xdr:to>
    <xdr:sp macro="" textlink="">
      <xdr:nvSpPr>
        <xdr:cNvPr id="2" name="Texto Explicativo 1 1" descr="probabilidade e/ou impacto devem ser alterados se uma ação de CONTENÇÃO/PREVENÇÃO for tomada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11334750" y="95250"/>
          <a:ext cx="1566333" cy="550333"/>
        </a:xfrm>
        <a:prstGeom prst="borderCallout1">
          <a:avLst>
            <a:gd name="adj1" fmla="val 18750"/>
            <a:gd name="adj2" fmla="val -8333"/>
            <a:gd name="adj3" fmla="val 245542"/>
            <a:gd name="adj4" fmla="val -36225"/>
          </a:avLst>
        </a:prstGeom>
        <a:solidFill>
          <a:srgbClr val="FFFF00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1100"/>
            <a:t>Probabilidade /Impacto devem ser alterados se uma resposta </a:t>
          </a:r>
          <a:r>
            <a:rPr lang="pt-BR" sz="1100" baseline="0"/>
            <a:t>for dada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>
    <pageSetUpPr fitToPage="1"/>
  </sheetPr>
  <dimension ref="A1:N26"/>
  <sheetViews>
    <sheetView tabSelected="1" topLeftCell="A19" zoomScale="120" zoomScaleNormal="120" workbookViewId="0">
      <selection activeCell="B28" sqref="B28"/>
    </sheetView>
  </sheetViews>
  <sheetFormatPr defaultColWidth="9.09765625" defaultRowHeight="11.5"/>
  <cols>
    <col min="1" max="1" width="31.8984375" style="1" customWidth="1"/>
    <col min="2" max="2" width="92.3984375" style="1" customWidth="1"/>
    <col min="3" max="10" width="0" style="12" hidden="1" customWidth="1"/>
    <col min="11" max="12" width="9.09765625" style="12" hidden="1" customWidth="1"/>
    <col min="13" max="13" width="3.296875" style="1" customWidth="1"/>
    <col min="14" max="14" width="2.69921875" style="1" customWidth="1"/>
    <col min="15" max="27" width="1.8984375" style="1" customWidth="1"/>
    <col min="28" max="16384" width="9.09765625" style="1"/>
  </cols>
  <sheetData>
    <row r="1" spans="1:14" ht="18">
      <c r="A1" s="77" t="s">
        <v>111</v>
      </c>
      <c r="B1" s="78"/>
    </row>
    <row r="2" spans="1:14" ht="13">
      <c r="A2" s="79" t="s">
        <v>197</v>
      </c>
      <c r="B2" s="78"/>
    </row>
    <row r="3" spans="1:14" ht="15.5">
      <c r="A3" s="80"/>
      <c r="B3" s="78"/>
    </row>
    <row r="4" spans="1:14" ht="14">
      <c r="A4" s="15"/>
    </row>
    <row r="5" spans="1:14" ht="15.5">
      <c r="A5" s="80" t="s">
        <v>35</v>
      </c>
      <c r="B5" s="78"/>
    </row>
    <row r="6" spans="1:14" ht="14">
      <c r="A6" s="81" t="s">
        <v>0</v>
      </c>
      <c r="B6" s="16" t="s">
        <v>210</v>
      </c>
    </row>
    <row r="7" spans="1:14" ht="14">
      <c r="A7" s="81" t="s">
        <v>14</v>
      </c>
      <c r="B7" s="16" t="s">
        <v>211</v>
      </c>
    </row>
    <row r="8" spans="1:14" ht="14">
      <c r="A8" s="81" t="s">
        <v>43</v>
      </c>
      <c r="B8" s="16" t="s">
        <v>212</v>
      </c>
    </row>
    <row r="9" spans="1:14" ht="14">
      <c r="A9" s="81" t="s">
        <v>44</v>
      </c>
      <c r="B9" s="17">
        <v>45277</v>
      </c>
    </row>
    <row r="10" spans="1:14" ht="14">
      <c r="A10" s="81" t="s">
        <v>45</v>
      </c>
      <c r="B10" s="16" t="s">
        <v>213</v>
      </c>
    </row>
    <row r="11" spans="1:14" ht="14">
      <c r="A11" s="81" t="s">
        <v>46</v>
      </c>
      <c r="B11" s="17">
        <v>45277</v>
      </c>
    </row>
    <row r="12" spans="1:14" ht="15.5">
      <c r="A12" s="81" t="s">
        <v>47</v>
      </c>
      <c r="B12" s="325" t="s">
        <v>198</v>
      </c>
      <c r="N12" s="18">
        <f>IF(B12="Análise por Custos",1,-1)</f>
        <v>1</v>
      </c>
    </row>
    <row r="13" spans="1:14" ht="14">
      <c r="A13" s="81" t="s">
        <v>48</v>
      </c>
      <c r="B13" s="85">
        <v>7000</v>
      </c>
    </row>
    <row r="14" spans="1:14" ht="14">
      <c r="A14" s="81" t="s">
        <v>49</v>
      </c>
      <c r="B14" s="86">
        <f>VME!B10</f>
        <v>8750</v>
      </c>
    </row>
    <row r="15" spans="1:14" s="22" customFormat="1" ht="8">
      <c r="A15" s="19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</row>
    <row r="16" spans="1:14" s="22" customFormat="1" ht="8"/>
    <row r="17" spans="1:12" s="25" customFormat="1" ht="28">
      <c r="A17" s="83" t="s">
        <v>54</v>
      </c>
      <c r="B17" s="23" t="s">
        <v>226</v>
      </c>
      <c r="C17" s="24"/>
      <c r="D17" s="24"/>
      <c r="E17" s="24"/>
      <c r="F17" s="24"/>
      <c r="G17" s="24"/>
      <c r="H17" s="24"/>
      <c r="I17" s="24"/>
      <c r="J17" s="24"/>
      <c r="K17" s="24"/>
      <c r="L17" s="24"/>
    </row>
    <row r="18" spans="1:12" ht="14">
      <c r="A18" s="84"/>
      <c r="B18" s="82"/>
    </row>
    <row r="19" spans="1:12" s="22" customFormat="1" ht="8"/>
    <row r="20" spans="1:12" s="25" customFormat="1" ht="28">
      <c r="A20" s="83" t="s">
        <v>136</v>
      </c>
      <c r="B20" s="23" t="s">
        <v>235</v>
      </c>
      <c r="C20" s="24"/>
      <c r="D20" s="24"/>
      <c r="E20" s="24"/>
      <c r="F20" s="24"/>
      <c r="G20" s="24"/>
      <c r="H20" s="24"/>
      <c r="I20" s="24"/>
      <c r="J20" s="24"/>
      <c r="K20" s="24"/>
      <c r="L20" s="24"/>
    </row>
    <row r="21" spans="1:12" ht="12.5" customHeight="1">
      <c r="A21" s="403" t="s">
        <v>233</v>
      </c>
      <c r="B21" s="404" t="s">
        <v>234</v>
      </c>
    </row>
    <row r="22" spans="1:12" ht="58.5" customHeight="1">
      <c r="A22" s="403"/>
      <c r="B22" s="405"/>
    </row>
    <row r="23" spans="1:12" s="22" customFormat="1" ht="18" customHeight="1"/>
    <row r="24" spans="1:12" s="22" customFormat="1" ht="15.5" customHeight="1">
      <c r="B24" s="22" t="s">
        <v>11</v>
      </c>
      <c r="C24" s="21"/>
      <c r="D24" s="21"/>
      <c r="E24" s="21"/>
      <c r="F24" s="21"/>
      <c r="G24" s="21"/>
      <c r="H24" s="21"/>
      <c r="I24" s="21"/>
      <c r="J24" s="21"/>
      <c r="K24" s="21"/>
      <c r="L24" s="21"/>
    </row>
    <row r="25" spans="1:12" ht="13">
      <c r="A25" s="317" t="s">
        <v>199</v>
      </c>
      <c r="B25" s="316" t="s">
        <v>137</v>
      </c>
    </row>
    <row r="26" spans="1:12" s="22" customFormat="1" ht="8">
      <c r="C26" s="21"/>
      <c r="D26" s="21"/>
      <c r="E26" s="21"/>
      <c r="F26" s="21"/>
      <c r="G26" s="21"/>
      <c r="H26" s="21"/>
      <c r="I26" s="21"/>
      <c r="J26" s="21"/>
      <c r="K26" s="21"/>
      <c r="L26" s="21"/>
    </row>
  </sheetData>
  <mergeCells count="2">
    <mergeCell ref="A21:A22"/>
    <mergeCell ref="B21:B22"/>
  </mergeCells>
  <phoneticPr fontId="0" type="noConversion"/>
  <dataValidations xWindow="814" yWindow="281" count="1">
    <dataValidation type="list" showInputMessage="1" showErrorMessage="1" promptTitle="Escolha:" prompt="Custos ou Resultado" sqref="B12" xr:uid="{00000000-0002-0000-0000-000000000000}">
      <formula1>"Análise por Custos,Análise por Resultado"</formula1>
    </dataValidation>
  </dataValidations>
  <pageMargins left="0.78740157480314965" right="0.78740157480314965" top="0.98425196850393704" bottom="0.98425196850393704" header="0.51181102362204722" footer="0.51181102362204722"/>
  <pageSetup paperSize="9" scale="80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2:L31"/>
  <sheetViews>
    <sheetView showGridLines="0" zoomScale="170" zoomScaleNormal="170" workbookViewId="0"/>
  </sheetViews>
  <sheetFormatPr defaultRowHeight="11.5"/>
  <cols>
    <col min="1" max="1" width="3.09765625" customWidth="1"/>
    <col min="2" max="2" width="14" customWidth="1"/>
    <col min="3" max="3" width="9.09765625" customWidth="1"/>
    <col min="4" max="4" width="16.296875" customWidth="1"/>
    <col min="5" max="5" width="13.09765625" customWidth="1"/>
    <col min="6" max="6" width="13.296875" customWidth="1"/>
    <col min="7" max="7" width="14.09765625" customWidth="1"/>
    <col min="8" max="8" width="14" customWidth="1"/>
    <col min="9" max="9" width="10.8984375" customWidth="1"/>
    <col min="10" max="10" width="11.09765625" customWidth="1"/>
    <col min="11" max="11" width="10.8984375" customWidth="1"/>
    <col min="12" max="12" width="11.8984375" customWidth="1"/>
  </cols>
  <sheetData>
    <row r="2" spans="1:8" ht="12" customHeight="1">
      <c r="B2" s="406" t="s">
        <v>86</v>
      </c>
      <c r="C2" s="407"/>
      <c r="D2" s="407"/>
      <c r="E2" s="407"/>
      <c r="F2" s="408"/>
    </row>
    <row r="3" spans="1:8" ht="12" customHeight="1">
      <c r="B3" s="308" t="s">
        <v>117</v>
      </c>
      <c r="C3" s="308" t="s">
        <v>8</v>
      </c>
      <c r="D3" s="409" t="s">
        <v>87</v>
      </c>
      <c r="E3" s="407"/>
      <c r="F3" s="408"/>
      <c r="G3" s="70"/>
      <c r="H3" s="70"/>
    </row>
    <row r="4" spans="1:8" ht="12" customHeight="1">
      <c r="A4">
        <v>1</v>
      </c>
      <c r="B4" s="71" t="s">
        <v>88</v>
      </c>
      <c r="C4" s="309">
        <v>0.1</v>
      </c>
      <c r="D4" s="410" t="s">
        <v>118</v>
      </c>
      <c r="E4" s="407"/>
      <c r="F4" s="408"/>
      <c r="G4" s="70"/>
      <c r="H4" s="70"/>
    </row>
    <row r="5" spans="1:8" ht="12" customHeight="1">
      <c r="A5">
        <v>2</v>
      </c>
      <c r="B5" s="71" t="s">
        <v>89</v>
      </c>
      <c r="C5" s="309">
        <v>0.3</v>
      </c>
      <c r="D5" s="410" t="s">
        <v>119</v>
      </c>
      <c r="E5" s="407"/>
      <c r="F5" s="408"/>
      <c r="G5" s="70"/>
      <c r="H5" s="70"/>
    </row>
    <row r="6" spans="1:8" ht="12.75" customHeight="1">
      <c r="A6">
        <v>3</v>
      </c>
      <c r="B6" s="71" t="s">
        <v>90</v>
      </c>
      <c r="C6" s="309">
        <v>0.5</v>
      </c>
      <c r="D6" s="410" t="s">
        <v>91</v>
      </c>
      <c r="E6" s="407"/>
      <c r="F6" s="408"/>
      <c r="G6" s="70"/>
      <c r="H6" s="70"/>
    </row>
    <row r="7" spans="1:8" ht="12" customHeight="1">
      <c r="A7">
        <v>4</v>
      </c>
      <c r="B7" s="71" t="s">
        <v>92</v>
      </c>
      <c r="C7" s="309">
        <v>0.7</v>
      </c>
      <c r="D7" s="410" t="s">
        <v>120</v>
      </c>
      <c r="E7" s="407"/>
      <c r="F7" s="408"/>
      <c r="G7" s="70"/>
      <c r="H7" s="70"/>
    </row>
    <row r="8" spans="1:8" ht="12.75" customHeight="1">
      <c r="A8">
        <v>5</v>
      </c>
      <c r="B8" s="71" t="s">
        <v>93</v>
      </c>
      <c r="C8" s="309">
        <v>0.9</v>
      </c>
      <c r="D8" s="410" t="s">
        <v>121</v>
      </c>
      <c r="E8" s="407"/>
      <c r="F8" s="408"/>
      <c r="G8" s="70"/>
      <c r="H8" s="70"/>
    </row>
    <row r="9" spans="1:8" ht="13">
      <c r="B9" s="70"/>
      <c r="C9" s="72"/>
      <c r="D9" s="73"/>
      <c r="E9" s="70"/>
      <c r="F9" s="70"/>
      <c r="G9" s="70"/>
      <c r="H9" s="70"/>
    </row>
    <row r="10" spans="1:8" ht="12.75" customHeight="1">
      <c r="B10" s="406" t="s">
        <v>94</v>
      </c>
      <c r="C10" s="407"/>
      <c r="D10" s="407"/>
      <c r="E10" s="407"/>
      <c r="F10" s="407"/>
      <c r="G10" s="407"/>
      <c r="H10" s="74"/>
    </row>
    <row r="11" spans="1:8" ht="12" customHeight="1">
      <c r="B11" s="310"/>
      <c r="C11" s="310"/>
      <c r="D11" s="411" t="s">
        <v>95</v>
      </c>
      <c r="E11" s="411"/>
      <c r="F11" s="411"/>
      <c r="G11" s="411"/>
      <c r="H11" s="411"/>
    </row>
    <row r="12" spans="1:8" ht="12.75" customHeight="1">
      <c r="B12" s="311" t="s">
        <v>3</v>
      </c>
      <c r="C12" s="308" t="s">
        <v>8</v>
      </c>
      <c r="D12" s="312" t="s">
        <v>96</v>
      </c>
      <c r="E12" s="312" t="s">
        <v>97</v>
      </c>
      <c r="F12" s="312" t="s">
        <v>98</v>
      </c>
      <c r="G12" s="312" t="s">
        <v>99</v>
      </c>
      <c r="H12" s="312" t="s">
        <v>122</v>
      </c>
    </row>
    <row r="13" spans="1:8" ht="48.75" customHeight="1">
      <c r="B13" s="75" t="s">
        <v>100</v>
      </c>
      <c r="C13" s="170">
        <v>0.05</v>
      </c>
      <c r="D13" s="385" t="s">
        <v>206</v>
      </c>
      <c r="E13" s="385" t="s">
        <v>201</v>
      </c>
      <c r="F13" s="385" t="s">
        <v>123</v>
      </c>
      <c r="G13" s="385" t="s">
        <v>101</v>
      </c>
      <c r="H13" s="385" t="s">
        <v>191</v>
      </c>
    </row>
    <row r="14" spans="1:8" ht="58.75" customHeight="1">
      <c r="B14" s="75" t="s">
        <v>102</v>
      </c>
      <c r="C14" s="170">
        <v>0.1</v>
      </c>
      <c r="D14" s="385" t="s">
        <v>103</v>
      </c>
      <c r="E14" s="385" t="s">
        <v>202</v>
      </c>
      <c r="F14" s="385" t="s">
        <v>124</v>
      </c>
      <c r="G14" s="385" t="s">
        <v>104</v>
      </c>
      <c r="H14" s="387" t="s">
        <v>132</v>
      </c>
    </row>
    <row r="15" spans="1:8" ht="70.5" customHeight="1">
      <c r="B15" s="75" t="s">
        <v>105</v>
      </c>
      <c r="C15" s="170">
        <v>0.2</v>
      </c>
      <c r="D15" s="385" t="s">
        <v>207</v>
      </c>
      <c r="E15" s="385" t="s">
        <v>203</v>
      </c>
      <c r="F15" s="385" t="s">
        <v>125</v>
      </c>
      <c r="G15" s="385" t="s">
        <v>126</v>
      </c>
      <c r="H15" s="385" t="s">
        <v>127</v>
      </c>
    </row>
    <row r="16" spans="1:8" ht="53.25" customHeight="1">
      <c r="B16" s="75" t="s">
        <v>106</v>
      </c>
      <c r="C16" s="170">
        <v>0.4</v>
      </c>
      <c r="D16" s="386" t="s">
        <v>208</v>
      </c>
      <c r="E16" s="386" t="s">
        <v>204</v>
      </c>
      <c r="F16" s="385" t="s">
        <v>128</v>
      </c>
      <c r="G16" s="386" t="s">
        <v>107</v>
      </c>
      <c r="H16" s="386" t="s">
        <v>129</v>
      </c>
    </row>
    <row r="17" spans="2:12" ht="59.25" customHeight="1">
      <c r="B17" s="75" t="s">
        <v>108</v>
      </c>
      <c r="C17" s="170">
        <v>0.8</v>
      </c>
      <c r="D17" s="385" t="s">
        <v>209</v>
      </c>
      <c r="E17" s="385" t="s">
        <v>205</v>
      </c>
      <c r="F17" s="385" t="s">
        <v>130</v>
      </c>
      <c r="G17" s="385" t="s">
        <v>109</v>
      </c>
      <c r="H17" s="385" t="s">
        <v>131</v>
      </c>
    </row>
    <row r="18" spans="2:12" ht="12" customHeight="1"/>
    <row r="19" spans="2:12" ht="12" customHeight="1">
      <c r="B19" s="371" t="s">
        <v>116</v>
      </c>
      <c r="C19" s="76"/>
      <c r="D19" s="76"/>
      <c r="E19" s="76"/>
      <c r="F19" s="76"/>
      <c r="G19" s="76"/>
      <c r="H19" s="372"/>
      <c r="I19" s="373"/>
      <c r="J19" s="373"/>
      <c r="K19" s="373"/>
      <c r="L19" s="374"/>
    </row>
    <row r="20" spans="2:12" ht="12" customHeight="1">
      <c r="B20" s="377"/>
      <c r="C20" s="414" t="s">
        <v>3</v>
      </c>
      <c r="D20" s="415"/>
      <c r="E20" s="415"/>
      <c r="F20" s="415"/>
      <c r="G20" s="415"/>
      <c r="H20" s="415"/>
      <c r="I20" s="415"/>
      <c r="J20" s="415"/>
      <c r="K20" s="415"/>
      <c r="L20" s="416"/>
    </row>
    <row r="21" spans="2:12" ht="13">
      <c r="B21" s="378"/>
      <c r="C21" s="413" t="s">
        <v>60</v>
      </c>
      <c r="D21" s="413"/>
      <c r="E21" s="413"/>
      <c r="F21" s="413"/>
      <c r="G21" s="414"/>
      <c r="H21" s="412" t="s">
        <v>59</v>
      </c>
      <c r="I21" s="413"/>
      <c r="J21" s="413"/>
      <c r="K21" s="413"/>
      <c r="L21" s="413"/>
    </row>
    <row r="22" spans="2:12" ht="12" customHeight="1">
      <c r="B22" s="375" t="s">
        <v>110</v>
      </c>
      <c r="C22" s="375">
        <f>C13</f>
        <v>0.05</v>
      </c>
      <c r="D22" s="375">
        <f>C14</f>
        <v>0.1</v>
      </c>
      <c r="E22" s="375">
        <f>C15</f>
        <v>0.2</v>
      </c>
      <c r="F22" s="375">
        <f>C16</f>
        <v>0.4</v>
      </c>
      <c r="G22" s="382">
        <f>C17</f>
        <v>0.8</v>
      </c>
      <c r="H22" s="379">
        <f t="shared" ref="H22:H27" si="0">G22</f>
        <v>0.8</v>
      </c>
      <c r="I22" s="375">
        <f t="shared" ref="I22:I27" si="1">F22</f>
        <v>0.4</v>
      </c>
      <c r="J22" s="375">
        <f t="shared" ref="J22:J27" si="2">E22</f>
        <v>0.2</v>
      </c>
      <c r="K22" s="375">
        <f t="shared" ref="K22:K27" si="3">D22</f>
        <v>0.1</v>
      </c>
      <c r="L22" s="375">
        <f t="shared" ref="L22:L27" si="4">C22</f>
        <v>0.05</v>
      </c>
    </row>
    <row r="23" spans="2:12" ht="12" customHeight="1">
      <c r="B23" s="376">
        <f>C8</f>
        <v>0.9</v>
      </c>
      <c r="C23" s="87">
        <f>$B23*C$22</f>
        <v>4.5000000000000005E-2</v>
      </c>
      <c r="D23" s="87">
        <f>$B23*D$22</f>
        <v>9.0000000000000011E-2</v>
      </c>
      <c r="E23" s="169">
        <f>$B23*E$22</f>
        <v>0.18000000000000002</v>
      </c>
      <c r="F23" s="169">
        <f>$B23*F$22</f>
        <v>0.36000000000000004</v>
      </c>
      <c r="G23" s="383">
        <f>$B23*G$22</f>
        <v>0.72000000000000008</v>
      </c>
      <c r="H23" s="380">
        <f t="shared" si="0"/>
        <v>0.72000000000000008</v>
      </c>
      <c r="I23" s="169">
        <f t="shared" si="1"/>
        <v>0.36000000000000004</v>
      </c>
      <c r="J23" s="169">
        <f t="shared" si="2"/>
        <v>0.18000000000000002</v>
      </c>
      <c r="K23" s="87">
        <f t="shared" si="3"/>
        <v>9.0000000000000011E-2</v>
      </c>
      <c r="L23" s="87">
        <f t="shared" si="4"/>
        <v>4.5000000000000005E-2</v>
      </c>
    </row>
    <row r="24" spans="2:12" ht="12" customHeight="1">
      <c r="B24" s="376">
        <f>C7</f>
        <v>0.7</v>
      </c>
      <c r="C24" s="313">
        <f t="shared" ref="C24:G27" si="5">$B24*C$22</f>
        <v>3.4999999999999996E-2</v>
      </c>
      <c r="D24" s="87">
        <f t="shared" si="5"/>
        <v>6.9999999999999993E-2</v>
      </c>
      <c r="E24" s="87">
        <f t="shared" si="5"/>
        <v>0.13999999999999999</v>
      </c>
      <c r="F24" s="169">
        <f t="shared" si="5"/>
        <v>0.27999999999999997</v>
      </c>
      <c r="G24" s="383">
        <f t="shared" si="5"/>
        <v>0.55999999999999994</v>
      </c>
      <c r="H24" s="380">
        <f t="shared" si="0"/>
        <v>0.55999999999999994</v>
      </c>
      <c r="I24" s="169">
        <f t="shared" si="1"/>
        <v>0.27999999999999997</v>
      </c>
      <c r="J24" s="169">
        <f t="shared" si="2"/>
        <v>0.13999999999999999</v>
      </c>
      <c r="K24" s="87">
        <f t="shared" si="3"/>
        <v>6.9999999999999993E-2</v>
      </c>
      <c r="L24" s="370">
        <f t="shared" si="4"/>
        <v>3.4999999999999996E-2</v>
      </c>
    </row>
    <row r="25" spans="2:12" ht="12" customHeight="1">
      <c r="B25" s="376">
        <f>C6</f>
        <v>0.5</v>
      </c>
      <c r="C25" s="313">
        <f t="shared" si="5"/>
        <v>2.5000000000000001E-2</v>
      </c>
      <c r="D25" s="87">
        <f t="shared" si="5"/>
        <v>0.05</v>
      </c>
      <c r="E25" s="87">
        <f t="shared" si="5"/>
        <v>0.1</v>
      </c>
      <c r="F25" s="169">
        <f t="shared" si="5"/>
        <v>0.2</v>
      </c>
      <c r="G25" s="383">
        <f t="shared" si="5"/>
        <v>0.4</v>
      </c>
      <c r="H25" s="380">
        <f t="shared" si="0"/>
        <v>0.4</v>
      </c>
      <c r="I25" s="169">
        <f t="shared" si="1"/>
        <v>0.2</v>
      </c>
      <c r="J25" s="87">
        <f t="shared" si="2"/>
        <v>0.1</v>
      </c>
      <c r="K25" s="87">
        <f t="shared" si="3"/>
        <v>0.05</v>
      </c>
      <c r="L25" s="370">
        <f t="shared" si="4"/>
        <v>2.5000000000000001E-2</v>
      </c>
    </row>
    <row r="26" spans="2:12" ht="13">
      <c r="B26" s="376">
        <f>C5</f>
        <v>0.3</v>
      </c>
      <c r="C26" s="313">
        <f t="shared" si="5"/>
        <v>1.4999999999999999E-2</v>
      </c>
      <c r="D26" s="313">
        <f t="shared" si="5"/>
        <v>0.03</v>
      </c>
      <c r="E26" s="87">
        <f t="shared" si="5"/>
        <v>0.06</v>
      </c>
      <c r="F26" s="87">
        <f t="shared" si="5"/>
        <v>0.12</v>
      </c>
      <c r="G26" s="383">
        <f t="shared" si="5"/>
        <v>0.24</v>
      </c>
      <c r="H26" s="380">
        <f t="shared" si="0"/>
        <v>0.24</v>
      </c>
      <c r="I26" s="87">
        <f t="shared" si="1"/>
        <v>0.12</v>
      </c>
      <c r="J26" s="87">
        <f t="shared" si="2"/>
        <v>0.06</v>
      </c>
      <c r="K26" s="370">
        <f t="shared" si="3"/>
        <v>0.03</v>
      </c>
      <c r="L26" s="370">
        <f t="shared" si="4"/>
        <v>1.4999999999999999E-2</v>
      </c>
    </row>
    <row r="27" spans="2:12" ht="12" customHeight="1">
      <c r="B27" s="376">
        <f>C4</f>
        <v>0.1</v>
      </c>
      <c r="C27" s="313">
        <f t="shared" si="5"/>
        <v>5.000000000000001E-3</v>
      </c>
      <c r="D27" s="313">
        <f t="shared" si="5"/>
        <v>1.0000000000000002E-2</v>
      </c>
      <c r="E27" s="313">
        <f t="shared" si="5"/>
        <v>2.0000000000000004E-2</v>
      </c>
      <c r="F27" s="313">
        <f t="shared" si="5"/>
        <v>4.0000000000000008E-2</v>
      </c>
      <c r="G27" s="384">
        <f t="shared" si="5"/>
        <v>8.0000000000000016E-2</v>
      </c>
      <c r="H27" s="381">
        <f t="shared" si="0"/>
        <v>8.0000000000000016E-2</v>
      </c>
      <c r="I27" s="370">
        <f t="shared" si="1"/>
        <v>4.0000000000000008E-2</v>
      </c>
      <c r="J27" s="370">
        <f t="shared" si="2"/>
        <v>2.0000000000000004E-2</v>
      </c>
      <c r="K27" s="370">
        <f t="shared" si="3"/>
        <v>1.0000000000000002E-2</v>
      </c>
      <c r="L27" s="370">
        <f t="shared" si="4"/>
        <v>5.000000000000001E-3</v>
      </c>
    </row>
    <row r="29" spans="2:12" ht="12" customHeight="1">
      <c r="B29" s="314" t="s">
        <v>167</v>
      </c>
    </row>
    <row r="31" spans="2:12" ht="12" customHeight="1"/>
  </sheetData>
  <mergeCells count="12">
    <mergeCell ref="D11:H11"/>
    <mergeCell ref="D7:F7"/>
    <mergeCell ref="D8:F8"/>
    <mergeCell ref="B10:G10"/>
    <mergeCell ref="H21:L21"/>
    <mergeCell ref="C20:L20"/>
    <mergeCell ref="C21:G21"/>
    <mergeCell ref="B2:F2"/>
    <mergeCell ref="D3:F3"/>
    <mergeCell ref="D4:F4"/>
    <mergeCell ref="D5:F5"/>
    <mergeCell ref="D6:F6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tabColor rgb="FFFF0000"/>
  </sheetPr>
  <dimension ref="A1:DA212"/>
  <sheetViews>
    <sheetView zoomScale="90" workbookViewId="0">
      <pane ySplit="7" topLeftCell="A8" activePane="bottomLeft" state="frozen"/>
      <selection pane="bottomLeft" activeCell="D12" sqref="D12:E12"/>
    </sheetView>
  </sheetViews>
  <sheetFormatPr defaultColWidth="9.09765625" defaultRowHeight="12.5"/>
  <cols>
    <col min="1" max="1" width="5.09765625" style="7" customWidth="1"/>
    <col min="2" max="2" width="10.8984375" style="64" customWidth="1"/>
    <col min="3" max="3" width="16.5" style="7" customWidth="1"/>
    <col min="4" max="4" width="36.3984375" style="6" customWidth="1"/>
    <col min="5" max="5" width="24.296875" style="6" customWidth="1"/>
    <col min="6" max="6" width="11.296875" style="7" bestFit="1" customWidth="1"/>
    <col min="7" max="13" width="11.296875" style="7" customWidth="1"/>
    <col min="14" max="14" width="16" style="7" customWidth="1"/>
    <col min="15" max="15" width="16.3984375" style="7" customWidth="1"/>
    <col min="16" max="16" width="15.69921875" style="9" customWidth="1"/>
    <col min="17" max="17" width="9" style="9" customWidth="1"/>
    <col min="18" max="19" width="1.3984375" style="1" customWidth="1"/>
    <col min="20" max="20" width="13.69921875" style="1" hidden="1" customWidth="1"/>
    <col min="21" max="21" width="12.3984375" style="1" hidden="1" customWidth="1"/>
    <col min="22" max="22" width="9.765625E-2" style="1" customWidth="1"/>
    <col min="23" max="23" width="9.09765625" style="1" customWidth="1"/>
    <col min="24" max="25" width="9.09765625" style="1"/>
    <col min="26" max="26" width="20.296875" style="1" customWidth="1"/>
    <col min="27" max="27" width="23.8984375" style="1" customWidth="1"/>
    <col min="28" max="16384" width="9.09765625" style="1"/>
  </cols>
  <sheetData>
    <row r="1" spans="1:27" ht="18">
      <c r="A1" s="88" t="s">
        <v>192</v>
      </c>
      <c r="B1" s="89"/>
      <c r="C1" s="90"/>
      <c r="D1" s="91"/>
      <c r="E1" s="91"/>
      <c r="F1" s="92"/>
      <c r="G1" s="90"/>
      <c r="H1" s="90"/>
      <c r="I1" s="90"/>
      <c r="J1" s="90"/>
      <c r="K1" s="90"/>
      <c r="L1" s="90"/>
      <c r="M1" s="93"/>
      <c r="N1" s="94" t="s">
        <v>11</v>
      </c>
      <c r="O1" s="95"/>
      <c r="P1" s="96"/>
      <c r="Q1" s="97"/>
      <c r="T1" s="1" t="s">
        <v>133</v>
      </c>
      <c r="U1" s="1" t="s">
        <v>3</v>
      </c>
      <c r="V1" s="388">
        <f>Escalas!C13</f>
        <v>0.05</v>
      </c>
    </row>
    <row r="2" spans="1:27" ht="13">
      <c r="A2" s="98"/>
      <c r="B2" s="99"/>
      <c r="C2" s="96" t="s">
        <v>0</v>
      </c>
      <c r="D2" s="96" t="str">
        <f>Abertura!B6</f>
        <v>Projeto Realização do Churrasco da Turma</v>
      </c>
      <c r="E2" s="96"/>
      <c r="F2" s="100" t="s">
        <v>11</v>
      </c>
      <c r="G2" s="94"/>
      <c r="H2" s="94"/>
      <c r="I2" s="96"/>
      <c r="J2" s="119" t="s">
        <v>82</v>
      </c>
      <c r="K2" s="96"/>
      <c r="L2" s="94"/>
      <c r="M2" s="101"/>
      <c r="N2" s="96" t="s">
        <v>84</v>
      </c>
      <c r="O2" s="102"/>
      <c r="P2" s="89">
        <f>Abertura!B9</f>
        <v>45277</v>
      </c>
      <c r="Q2" s="97"/>
      <c r="T2" s="314" t="s">
        <v>135</v>
      </c>
      <c r="U2" s="1" t="s">
        <v>100</v>
      </c>
      <c r="V2" s="389">
        <f>Escalas!C14</f>
        <v>0.1</v>
      </c>
    </row>
    <row r="3" spans="1:27" ht="13">
      <c r="A3" s="98"/>
      <c r="B3" s="99"/>
      <c r="C3" s="96" t="s">
        <v>14</v>
      </c>
      <c r="D3" s="96" t="str">
        <f>Abertura!B7</f>
        <v>Turma MBA GP18</v>
      </c>
      <c r="E3" s="96"/>
      <c r="F3" s="92"/>
      <c r="G3" s="90"/>
      <c r="H3" s="90"/>
      <c r="I3" s="90"/>
      <c r="J3" s="90"/>
      <c r="K3" s="90"/>
      <c r="L3" s="90"/>
      <c r="M3" s="93"/>
      <c r="N3" s="90"/>
      <c r="O3" s="102"/>
      <c r="P3" s="96" t="s">
        <v>10</v>
      </c>
      <c r="Q3" s="140">
        <v>1</v>
      </c>
      <c r="U3" s="1" t="s">
        <v>102</v>
      </c>
      <c r="V3" s="390">
        <f>Escalas!C15</f>
        <v>0.2</v>
      </c>
    </row>
    <row r="4" spans="1:27" ht="13">
      <c r="A4" s="98"/>
      <c r="B4" s="99"/>
      <c r="C4" s="96" t="s">
        <v>15</v>
      </c>
      <c r="D4" s="96" t="str">
        <f>Abertura!B8</f>
        <v>Vicente</v>
      </c>
      <c r="E4" s="96"/>
      <c r="F4" s="92"/>
      <c r="G4" s="338" t="s">
        <v>165</v>
      </c>
      <c r="H4" s="338"/>
      <c r="I4" s="338"/>
      <c r="J4" s="339">
        <f>SUMIF(L8:L207,"&lt;&gt;0")/(COUNTIFS(L8:L207,"&lt;&gt;0")*Escalas!G23)</f>
        <v>0.24747474747474749</v>
      </c>
      <c r="K4" s="90"/>
      <c r="L4" s="90"/>
      <c r="M4" s="93"/>
      <c r="N4" s="90"/>
      <c r="O4" s="93"/>
      <c r="P4" s="171"/>
      <c r="Q4" s="97"/>
      <c r="T4" s="314" t="s">
        <v>134</v>
      </c>
      <c r="U4" s="1" t="s">
        <v>105</v>
      </c>
      <c r="V4" s="391">
        <f>Escalas!C16</f>
        <v>0.4</v>
      </c>
    </row>
    <row r="5" spans="1:27" s="10" customFormat="1" ht="16" thickBot="1">
      <c r="A5" s="109"/>
      <c r="B5" s="110"/>
      <c r="C5" s="111"/>
      <c r="D5" s="112"/>
      <c r="E5" s="112"/>
      <c r="F5" s="113" t="s">
        <v>11</v>
      </c>
      <c r="G5" s="109"/>
      <c r="H5" s="109"/>
      <c r="I5" s="109"/>
      <c r="J5" s="109"/>
      <c r="K5" s="109"/>
      <c r="L5" s="109"/>
      <c r="M5" s="114"/>
      <c r="N5" s="160" t="s">
        <v>112</v>
      </c>
      <c r="O5" s="318">
        <f>SUM(O8:O207)</f>
        <v>30450</v>
      </c>
      <c r="P5" s="319">
        <f>SUM(P8:P207)</f>
        <v>13545</v>
      </c>
      <c r="Q5" s="111"/>
      <c r="T5" s="315">
        <f>Escalas!C24+0.005</f>
        <v>3.9999999999999994E-2</v>
      </c>
      <c r="U5" s="1" t="s">
        <v>108</v>
      </c>
      <c r="V5" s="392">
        <f>Escalas!C17</f>
        <v>0.8</v>
      </c>
    </row>
    <row r="6" spans="1:27" ht="13">
      <c r="A6" s="167" t="s">
        <v>1</v>
      </c>
      <c r="B6" s="168" t="s">
        <v>32</v>
      </c>
      <c r="C6" s="167" t="s">
        <v>2</v>
      </c>
      <c r="D6" s="419" t="s">
        <v>16</v>
      </c>
      <c r="E6" s="420"/>
      <c r="F6" s="167" t="s">
        <v>6</v>
      </c>
      <c r="G6" s="335" t="s">
        <v>97</v>
      </c>
      <c r="H6" s="335" t="s">
        <v>98</v>
      </c>
      <c r="I6" s="335" t="s">
        <v>99</v>
      </c>
      <c r="J6" s="335" t="s">
        <v>96</v>
      </c>
      <c r="K6" s="167" t="s">
        <v>3</v>
      </c>
      <c r="L6" s="167" t="s">
        <v>79</v>
      </c>
      <c r="M6" s="167" t="s">
        <v>81</v>
      </c>
      <c r="N6" s="167" t="s">
        <v>3</v>
      </c>
      <c r="O6" s="167" t="s">
        <v>3</v>
      </c>
      <c r="P6" s="167" t="s">
        <v>8</v>
      </c>
      <c r="Q6" s="172" t="s">
        <v>4</v>
      </c>
      <c r="T6" s="315">
        <f>Escalas!E23-0.005</f>
        <v>0.17500000000000002</v>
      </c>
    </row>
    <row r="7" spans="1:27" ht="13">
      <c r="A7" s="164"/>
      <c r="B7" s="165" t="s">
        <v>33</v>
      </c>
      <c r="C7" s="164"/>
      <c r="D7" s="421" t="s">
        <v>194</v>
      </c>
      <c r="E7" s="422"/>
      <c r="F7" s="166" t="s">
        <v>7</v>
      </c>
      <c r="G7" s="166"/>
      <c r="H7" s="166"/>
      <c r="I7" s="166"/>
      <c r="J7" s="166"/>
      <c r="K7" s="166" t="s">
        <v>78</v>
      </c>
      <c r="L7" s="166"/>
      <c r="M7" s="166"/>
      <c r="N7" s="166" t="s">
        <v>80</v>
      </c>
      <c r="O7" s="166" t="s">
        <v>25</v>
      </c>
      <c r="P7" s="166" t="s">
        <v>9</v>
      </c>
      <c r="Q7" s="173" t="s">
        <v>5</v>
      </c>
    </row>
    <row r="8" spans="1:27" ht="30.75" customHeight="1">
      <c r="A8" s="126">
        <v>1</v>
      </c>
      <c r="B8" s="127"/>
      <c r="C8" s="128" t="s">
        <v>223</v>
      </c>
      <c r="D8" s="417" t="s">
        <v>214</v>
      </c>
      <c r="E8" s="418"/>
      <c r="F8" s="129">
        <v>0.3</v>
      </c>
      <c r="G8" s="337"/>
      <c r="H8" s="337"/>
      <c r="I8" s="337">
        <v>0.8</v>
      </c>
      <c r="J8" s="337"/>
      <c r="K8" s="336">
        <f t="shared" ref="K8:K39" si="0">MAXA(G8:J8)</f>
        <v>0.8</v>
      </c>
      <c r="L8" s="130">
        <f t="shared" ref="L8:L39" si="1">F8*K8</f>
        <v>0.24</v>
      </c>
      <c r="M8" s="131">
        <f t="shared" ref="M8:M39" si="2">IF(L8&gt;0,RANK(L8,L$8:L$207),"")</f>
        <v>3</v>
      </c>
      <c r="N8" s="132">
        <v>7000</v>
      </c>
      <c r="O8" s="133">
        <f t="shared" ref="O8:O39" si="3">N8*Sensib</f>
        <v>7000</v>
      </c>
      <c r="P8" s="133">
        <f t="shared" ref="P8:P39" si="4">F8*O8</f>
        <v>2100</v>
      </c>
      <c r="Q8" s="131">
        <f t="shared" ref="Q8:Q39" si="5">IF(P8&gt;0,RANK(P8,AmeaPreVE,0),"")</f>
        <v>2</v>
      </c>
      <c r="V8" s="314"/>
      <c r="W8" s="301"/>
      <c r="X8" s="303"/>
      <c r="Y8" s="303"/>
      <c r="Z8" s="303"/>
      <c r="AA8" s="301"/>
    </row>
    <row r="9" spans="1:27" ht="41.65" customHeight="1">
      <c r="A9" s="126">
        <v>2</v>
      </c>
      <c r="B9" s="127"/>
      <c r="C9" s="128" t="s">
        <v>223</v>
      </c>
      <c r="D9" s="417" t="s">
        <v>215</v>
      </c>
      <c r="E9" s="418"/>
      <c r="F9" s="129">
        <v>0.5</v>
      </c>
      <c r="G9" s="337">
        <v>0.4</v>
      </c>
      <c r="H9" s="337"/>
      <c r="I9" s="337"/>
      <c r="J9" s="337"/>
      <c r="K9" s="336">
        <f t="shared" si="0"/>
        <v>0.4</v>
      </c>
      <c r="L9" s="130">
        <f t="shared" si="1"/>
        <v>0.2</v>
      </c>
      <c r="M9" s="131">
        <f t="shared" si="2"/>
        <v>5</v>
      </c>
      <c r="N9" s="132">
        <v>3500</v>
      </c>
      <c r="O9" s="133">
        <f t="shared" si="3"/>
        <v>3500</v>
      </c>
      <c r="P9" s="133">
        <f t="shared" si="4"/>
        <v>1750</v>
      </c>
      <c r="Q9" s="131">
        <f t="shared" si="5"/>
        <v>4</v>
      </c>
      <c r="W9" s="305" t="s">
        <v>115</v>
      </c>
      <c r="X9" s="301"/>
      <c r="Y9" s="301"/>
      <c r="Z9" s="301"/>
      <c r="AA9" s="302"/>
    </row>
    <row r="10" spans="1:27" ht="54.75" customHeight="1">
      <c r="A10" s="126">
        <v>3</v>
      </c>
      <c r="B10" s="127"/>
      <c r="C10" s="128" t="s">
        <v>224</v>
      </c>
      <c r="D10" s="417" t="s">
        <v>230</v>
      </c>
      <c r="E10" s="418"/>
      <c r="F10" s="129">
        <v>0.3</v>
      </c>
      <c r="G10" s="337"/>
      <c r="H10" s="337"/>
      <c r="I10" s="337"/>
      <c r="J10" s="337">
        <v>0.2</v>
      </c>
      <c r="K10" s="336">
        <f t="shared" si="0"/>
        <v>0.2</v>
      </c>
      <c r="L10" s="130">
        <f t="shared" si="1"/>
        <v>0.06</v>
      </c>
      <c r="M10" s="131">
        <f t="shared" si="2"/>
        <v>7</v>
      </c>
      <c r="N10" s="132">
        <v>700</v>
      </c>
      <c r="O10" s="133">
        <f t="shared" si="3"/>
        <v>700</v>
      </c>
      <c r="P10" s="133">
        <f t="shared" si="4"/>
        <v>210</v>
      </c>
      <c r="Q10" s="131">
        <f t="shared" si="5"/>
        <v>7</v>
      </c>
      <c r="V10" s="314"/>
      <c r="W10" s="301"/>
      <c r="X10" s="303"/>
      <c r="Y10" s="303"/>
      <c r="Z10" s="303"/>
      <c r="AA10" s="301"/>
    </row>
    <row r="11" spans="1:27" ht="32" customHeight="1">
      <c r="A11" s="126">
        <v>4</v>
      </c>
      <c r="B11" s="127"/>
      <c r="C11" s="134" t="s">
        <v>224</v>
      </c>
      <c r="D11" s="417" t="s">
        <v>216</v>
      </c>
      <c r="E11" s="418"/>
      <c r="F11" s="129">
        <v>0.9</v>
      </c>
      <c r="G11" s="337"/>
      <c r="H11" s="337"/>
      <c r="I11" s="337"/>
      <c r="J11" s="337">
        <v>0.1</v>
      </c>
      <c r="K11" s="336">
        <f t="shared" si="0"/>
        <v>0.1</v>
      </c>
      <c r="L11" s="130">
        <f t="shared" si="1"/>
        <v>9.0000000000000011E-2</v>
      </c>
      <c r="M11" s="131">
        <f t="shared" si="2"/>
        <v>6</v>
      </c>
      <c r="N11" s="132">
        <v>350</v>
      </c>
      <c r="O11" s="133">
        <f t="shared" si="3"/>
        <v>350</v>
      </c>
      <c r="P11" s="133">
        <f t="shared" si="4"/>
        <v>315</v>
      </c>
      <c r="Q11" s="131">
        <f t="shared" si="5"/>
        <v>6</v>
      </c>
      <c r="V11" s="315"/>
      <c r="W11" s="301"/>
      <c r="X11" s="301"/>
      <c r="Y11" s="301"/>
      <c r="Z11" s="301"/>
      <c r="AA11" s="301"/>
    </row>
    <row r="12" spans="1:27" ht="29.5" customHeight="1">
      <c r="A12" s="126">
        <v>5</v>
      </c>
      <c r="B12" s="127"/>
      <c r="C12" s="134" t="s">
        <v>225</v>
      </c>
      <c r="D12" s="417" t="s">
        <v>217</v>
      </c>
      <c r="E12" s="418"/>
      <c r="F12" s="129">
        <v>0.5</v>
      </c>
      <c r="G12" s="337">
        <v>0.8</v>
      </c>
      <c r="H12" s="337"/>
      <c r="I12" s="337"/>
      <c r="J12" s="337"/>
      <c r="K12" s="336">
        <f t="shared" si="0"/>
        <v>0.8</v>
      </c>
      <c r="L12" s="130">
        <f t="shared" si="1"/>
        <v>0.4</v>
      </c>
      <c r="M12" s="131">
        <f t="shared" si="2"/>
        <v>2</v>
      </c>
      <c r="N12" s="132">
        <v>3500</v>
      </c>
      <c r="O12" s="133">
        <f t="shared" si="3"/>
        <v>3500</v>
      </c>
      <c r="P12" s="133">
        <f t="shared" si="4"/>
        <v>1750</v>
      </c>
      <c r="Q12" s="131">
        <f t="shared" si="5"/>
        <v>4</v>
      </c>
      <c r="V12" s="315"/>
      <c r="W12" s="301"/>
      <c r="X12" s="301"/>
      <c r="Y12" s="301"/>
      <c r="Z12" s="301"/>
      <c r="AA12" s="301"/>
    </row>
    <row r="13" spans="1:27" ht="36" customHeight="1">
      <c r="A13" s="126">
        <v>6</v>
      </c>
      <c r="B13" s="127"/>
      <c r="C13" s="134" t="s">
        <v>225</v>
      </c>
      <c r="D13" s="417" t="s">
        <v>218</v>
      </c>
      <c r="E13" s="418"/>
      <c r="F13" s="129">
        <v>0.3</v>
      </c>
      <c r="G13" s="337"/>
      <c r="H13" s="337"/>
      <c r="I13" s="337">
        <v>0.8</v>
      </c>
      <c r="J13" s="337"/>
      <c r="K13" s="336">
        <f t="shared" si="0"/>
        <v>0.8</v>
      </c>
      <c r="L13" s="130">
        <f t="shared" si="1"/>
        <v>0.24</v>
      </c>
      <c r="M13" s="131">
        <f t="shared" si="2"/>
        <v>3</v>
      </c>
      <c r="N13" s="132">
        <v>7000</v>
      </c>
      <c r="O13" s="133">
        <f t="shared" si="3"/>
        <v>7000</v>
      </c>
      <c r="P13" s="133">
        <f t="shared" si="4"/>
        <v>2100</v>
      </c>
      <c r="Q13" s="131">
        <f t="shared" si="5"/>
        <v>2</v>
      </c>
      <c r="W13" s="301"/>
      <c r="X13" s="301"/>
      <c r="Y13" s="301"/>
      <c r="Z13" s="301"/>
      <c r="AA13" s="301"/>
    </row>
    <row r="14" spans="1:27" ht="37.15" customHeight="1">
      <c r="A14" s="126">
        <v>7</v>
      </c>
      <c r="B14" s="127"/>
      <c r="C14" s="134" t="s">
        <v>225</v>
      </c>
      <c r="D14" s="417" t="s">
        <v>219</v>
      </c>
      <c r="E14" s="418"/>
      <c r="F14" s="129">
        <v>0.7</v>
      </c>
      <c r="G14" s="337"/>
      <c r="H14" s="337"/>
      <c r="I14" s="337">
        <v>0.8</v>
      </c>
      <c r="J14" s="337"/>
      <c r="K14" s="336">
        <f t="shared" si="0"/>
        <v>0.8</v>
      </c>
      <c r="L14" s="130">
        <f t="shared" si="1"/>
        <v>0.55999999999999994</v>
      </c>
      <c r="M14" s="131">
        <f t="shared" si="2"/>
        <v>1</v>
      </c>
      <c r="N14" s="132">
        <v>7000</v>
      </c>
      <c r="O14" s="133">
        <f t="shared" si="3"/>
        <v>7000</v>
      </c>
      <c r="P14" s="133">
        <f t="shared" si="4"/>
        <v>4900</v>
      </c>
      <c r="Q14" s="131">
        <f t="shared" si="5"/>
        <v>1</v>
      </c>
      <c r="W14" s="301"/>
      <c r="X14" s="301"/>
      <c r="Y14" s="301"/>
      <c r="Z14" s="301"/>
      <c r="AA14" s="301"/>
    </row>
    <row r="15" spans="1:27" ht="26.5" customHeight="1">
      <c r="A15" s="126">
        <v>8</v>
      </c>
      <c r="B15" s="127"/>
      <c r="C15" s="128" t="s">
        <v>224</v>
      </c>
      <c r="D15" s="417" t="s">
        <v>220</v>
      </c>
      <c r="E15" s="418"/>
      <c r="F15" s="129">
        <v>0.3</v>
      </c>
      <c r="G15" s="337"/>
      <c r="H15" s="337"/>
      <c r="I15" s="337"/>
      <c r="J15" s="337">
        <v>0.1</v>
      </c>
      <c r="K15" s="336">
        <f t="shared" si="0"/>
        <v>0.1</v>
      </c>
      <c r="L15" s="130">
        <f t="shared" si="1"/>
        <v>0.03</v>
      </c>
      <c r="M15" s="131">
        <f t="shared" si="2"/>
        <v>10</v>
      </c>
      <c r="N15" s="132">
        <v>0</v>
      </c>
      <c r="O15" s="133">
        <f t="shared" si="3"/>
        <v>0</v>
      </c>
      <c r="P15" s="133">
        <f t="shared" si="4"/>
        <v>0</v>
      </c>
      <c r="Q15" s="131" t="str">
        <f t="shared" si="5"/>
        <v/>
      </c>
      <c r="W15" s="301"/>
      <c r="X15" s="301"/>
      <c r="Y15" s="301"/>
      <c r="Z15" s="301"/>
      <c r="AA15" s="301"/>
    </row>
    <row r="16" spans="1:27" ht="28" customHeight="1">
      <c r="A16" s="126">
        <v>9</v>
      </c>
      <c r="B16" s="127"/>
      <c r="C16" s="128" t="s">
        <v>224</v>
      </c>
      <c r="D16" s="417" t="s">
        <v>221</v>
      </c>
      <c r="E16" s="418"/>
      <c r="F16" s="129">
        <v>0.1</v>
      </c>
      <c r="G16" s="337">
        <v>0.2</v>
      </c>
      <c r="H16" s="337"/>
      <c r="I16" s="337"/>
      <c r="J16" s="337"/>
      <c r="K16" s="336">
        <f t="shared" si="0"/>
        <v>0.2</v>
      </c>
      <c r="L16" s="130">
        <f t="shared" si="1"/>
        <v>2.0000000000000004E-2</v>
      </c>
      <c r="M16" s="131">
        <f t="shared" si="2"/>
        <v>11</v>
      </c>
      <c r="N16" s="132">
        <v>0</v>
      </c>
      <c r="O16" s="133">
        <f t="shared" si="3"/>
        <v>0</v>
      </c>
      <c r="P16" s="133">
        <f t="shared" si="4"/>
        <v>0</v>
      </c>
      <c r="Q16" s="131" t="str">
        <f t="shared" si="5"/>
        <v/>
      </c>
      <c r="W16" s="301"/>
      <c r="X16" s="301"/>
      <c r="Y16" s="301"/>
      <c r="Z16" s="302"/>
      <c r="AA16" s="304"/>
    </row>
    <row r="17" spans="1:27" ht="28" customHeight="1">
      <c r="A17" s="126">
        <v>10</v>
      </c>
      <c r="B17" s="127"/>
      <c r="C17" s="128" t="s">
        <v>224</v>
      </c>
      <c r="D17" s="417" t="s">
        <v>222</v>
      </c>
      <c r="E17" s="418"/>
      <c r="F17" s="129">
        <v>0.3</v>
      </c>
      <c r="G17" s="337"/>
      <c r="H17" s="337"/>
      <c r="I17" s="337"/>
      <c r="J17" s="337">
        <v>0.2</v>
      </c>
      <c r="K17" s="336">
        <f t="shared" si="0"/>
        <v>0.2</v>
      </c>
      <c r="L17" s="130">
        <f t="shared" si="1"/>
        <v>0.06</v>
      </c>
      <c r="M17" s="131">
        <f t="shared" si="2"/>
        <v>7</v>
      </c>
      <c r="N17" s="132">
        <v>700</v>
      </c>
      <c r="O17" s="133">
        <f t="shared" si="3"/>
        <v>700</v>
      </c>
      <c r="P17" s="133">
        <f t="shared" si="4"/>
        <v>210</v>
      </c>
      <c r="Q17" s="131">
        <f t="shared" si="5"/>
        <v>7</v>
      </c>
      <c r="W17" s="301"/>
      <c r="X17" s="301"/>
      <c r="Y17" s="301"/>
      <c r="Z17" s="302"/>
      <c r="AA17" s="304"/>
    </row>
    <row r="18" spans="1:27" ht="26" customHeight="1">
      <c r="A18" s="126">
        <v>11</v>
      </c>
      <c r="B18" s="127"/>
      <c r="C18" s="134" t="s">
        <v>224</v>
      </c>
      <c r="D18" s="417" t="s">
        <v>231</v>
      </c>
      <c r="E18" s="418"/>
      <c r="F18" s="129">
        <v>0.3</v>
      </c>
      <c r="G18" s="337"/>
      <c r="H18" s="337"/>
      <c r="I18" s="337"/>
      <c r="J18" s="337">
        <v>0.2</v>
      </c>
      <c r="K18" s="336">
        <f t="shared" si="0"/>
        <v>0.2</v>
      </c>
      <c r="L18" s="130">
        <f t="shared" si="1"/>
        <v>0.06</v>
      </c>
      <c r="M18" s="131">
        <f t="shared" si="2"/>
        <v>7</v>
      </c>
      <c r="N18" s="132">
        <v>700</v>
      </c>
      <c r="O18" s="133">
        <f t="shared" si="3"/>
        <v>700</v>
      </c>
      <c r="P18" s="133">
        <f t="shared" si="4"/>
        <v>210</v>
      </c>
      <c r="Q18" s="131">
        <f t="shared" si="5"/>
        <v>7</v>
      </c>
      <c r="W18" s="301"/>
      <c r="X18" s="301"/>
      <c r="Y18" s="301"/>
      <c r="Z18" s="302"/>
      <c r="AA18" s="304"/>
    </row>
    <row r="19" spans="1:27" ht="13">
      <c r="A19" s="126">
        <v>12</v>
      </c>
      <c r="B19" s="127"/>
      <c r="C19" s="128"/>
      <c r="D19" s="417"/>
      <c r="E19" s="418"/>
      <c r="F19" s="129">
        <v>0</v>
      </c>
      <c r="G19" s="337"/>
      <c r="H19" s="337"/>
      <c r="I19" s="337"/>
      <c r="J19" s="337"/>
      <c r="K19" s="336">
        <f t="shared" si="0"/>
        <v>0</v>
      </c>
      <c r="L19" s="130">
        <f t="shared" si="1"/>
        <v>0</v>
      </c>
      <c r="M19" s="131" t="str">
        <f t="shared" si="2"/>
        <v/>
      </c>
      <c r="N19" s="132">
        <v>0</v>
      </c>
      <c r="O19" s="133">
        <f t="shared" si="3"/>
        <v>0</v>
      </c>
      <c r="P19" s="133">
        <f t="shared" si="4"/>
        <v>0</v>
      </c>
      <c r="Q19" s="131" t="str">
        <f t="shared" si="5"/>
        <v/>
      </c>
      <c r="W19" s="301"/>
      <c r="X19" s="301"/>
      <c r="Y19" s="301"/>
      <c r="Z19" s="302"/>
      <c r="AA19" s="304"/>
    </row>
    <row r="20" spans="1:27" ht="13">
      <c r="A20" s="126">
        <v>13</v>
      </c>
      <c r="B20" s="127"/>
      <c r="C20" s="128"/>
      <c r="D20" s="417"/>
      <c r="E20" s="418"/>
      <c r="F20" s="129">
        <v>0</v>
      </c>
      <c r="G20" s="337"/>
      <c r="H20" s="337"/>
      <c r="I20" s="337"/>
      <c r="J20" s="337"/>
      <c r="K20" s="336">
        <f t="shared" si="0"/>
        <v>0</v>
      </c>
      <c r="L20" s="130">
        <f t="shared" si="1"/>
        <v>0</v>
      </c>
      <c r="M20" s="131" t="str">
        <f t="shared" si="2"/>
        <v/>
      </c>
      <c r="N20" s="132">
        <v>0</v>
      </c>
      <c r="O20" s="133">
        <f t="shared" si="3"/>
        <v>0</v>
      </c>
      <c r="P20" s="133">
        <f t="shared" si="4"/>
        <v>0</v>
      </c>
      <c r="Q20" s="131" t="str">
        <f t="shared" si="5"/>
        <v/>
      </c>
      <c r="W20" s="301"/>
      <c r="X20" s="301"/>
      <c r="Y20" s="301"/>
      <c r="Z20" s="302"/>
      <c r="AA20" s="304"/>
    </row>
    <row r="21" spans="1:27" ht="13">
      <c r="A21" s="126">
        <v>14</v>
      </c>
      <c r="B21" s="127"/>
      <c r="C21" s="128"/>
      <c r="D21" s="417"/>
      <c r="E21" s="418"/>
      <c r="F21" s="129">
        <v>0</v>
      </c>
      <c r="G21" s="337"/>
      <c r="H21" s="337"/>
      <c r="I21" s="337"/>
      <c r="J21" s="337"/>
      <c r="K21" s="336">
        <f t="shared" si="0"/>
        <v>0</v>
      </c>
      <c r="L21" s="130">
        <f t="shared" si="1"/>
        <v>0</v>
      </c>
      <c r="M21" s="131" t="str">
        <f t="shared" si="2"/>
        <v/>
      </c>
      <c r="N21" s="132">
        <v>0</v>
      </c>
      <c r="O21" s="133">
        <f t="shared" si="3"/>
        <v>0</v>
      </c>
      <c r="P21" s="133">
        <f t="shared" si="4"/>
        <v>0</v>
      </c>
      <c r="Q21" s="131" t="str">
        <f t="shared" si="5"/>
        <v/>
      </c>
      <c r="W21" s="301"/>
      <c r="X21" s="301"/>
      <c r="Y21" s="301"/>
      <c r="Z21" s="302"/>
      <c r="AA21" s="304"/>
    </row>
    <row r="22" spans="1:27" ht="13">
      <c r="A22" s="126">
        <v>15</v>
      </c>
      <c r="B22" s="127"/>
      <c r="C22" s="128"/>
      <c r="D22" s="417"/>
      <c r="E22" s="418"/>
      <c r="F22" s="129">
        <v>0</v>
      </c>
      <c r="G22" s="337"/>
      <c r="H22" s="337"/>
      <c r="I22" s="337"/>
      <c r="J22" s="337"/>
      <c r="K22" s="336">
        <f t="shared" si="0"/>
        <v>0</v>
      </c>
      <c r="L22" s="130">
        <f t="shared" si="1"/>
        <v>0</v>
      </c>
      <c r="M22" s="131" t="str">
        <f t="shared" si="2"/>
        <v/>
      </c>
      <c r="N22" s="132">
        <v>0</v>
      </c>
      <c r="O22" s="133">
        <f t="shared" si="3"/>
        <v>0</v>
      </c>
      <c r="P22" s="133">
        <f t="shared" si="4"/>
        <v>0</v>
      </c>
      <c r="Q22" s="131" t="str">
        <f t="shared" si="5"/>
        <v/>
      </c>
      <c r="W22" s="301"/>
      <c r="X22" s="301"/>
      <c r="Y22" s="301"/>
      <c r="Z22" s="302"/>
      <c r="AA22" s="304"/>
    </row>
    <row r="23" spans="1:27" ht="13">
      <c r="A23" s="126">
        <v>16</v>
      </c>
      <c r="B23" s="127"/>
      <c r="C23" s="128"/>
      <c r="D23" s="417"/>
      <c r="E23" s="418"/>
      <c r="F23" s="129">
        <v>0</v>
      </c>
      <c r="G23" s="337"/>
      <c r="H23" s="337"/>
      <c r="I23" s="337"/>
      <c r="J23" s="337"/>
      <c r="K23" s="336">
        <f t="shared" si="0"/>
        <v>0</v>
      </c>
      <c r="L23" s="130">
        <f t="shared" si="1"/>
        <v>0</v>
      </c>
      <c r="M23" s="131" t="str">
        <f t="shared" si="2"/>
        <v/>
      </c>
      <c r="N23" s="132">
        <v>0</v>
      </c>
      <c r="O23" s="133">
        <f t="shared" si="3"/>
        <v>0</v>
      </c>
      <c r="P23" s="133">
        <f t="shared" si="4"/>
        <v>0</v>
      </c>
      <c r="Q23" s="131" t="str">
        <f t="shared" si="5"/>
        <v/>
      </c>
      <c r="W23" s="301"/>
      <c r="X23" s="301"/>
      <c r="Y23" s="301"/>
      <c r="Z23" s="302"/>
      <c r="AA23" s="304"/>
    </row>
    <row r="24" spans="1:27" ht="13">
      <c r="A24" s="126">
        <v>17</v>
      </c>
      <c r="B24" s="127"/>
      <c r="C24" s="128"/>
      <c r="D24" s="417"/>
      <c r="E24" s="418"/>
      <c r="F24" s="129">
        <v>0</v>
      </c>
      <c r="G24" s="337"/>
      <c r="H24" s="337"/>
      <c r="I24" s="337"/>
      <c r="J24" s="337"/>
      <c r="K24" s="336">
        <f t="shared" si="0"/>
        <v>0</v>
      </c>
      <c r="L24" s="130">
        <f t="shared" si="1"/>
        <v>0</v>
      </c>
      <c r="M24" s="131" t="str">
        <f t="shared" si="2"/>
        <v/>
      </c>
      <c r="N24" s="132">
        <v>0</v>
      </c>
      <c r="O24" s="133">
        <f t="shared" si="3"/>
        <v>0</v>
      </c>
      <c r="P24" s="133">
        <f t="shared" si="4"/>
        <v>0</v>
      </c>
      <c r="Q24" s="131" t="str">
        <f t="shared" si="5"/>
        <v/>
      </c>
      <c r="W24" s="301"/>
      <c r="X24" s="301"/>
      <c r="Y24" s="301"/>
      <c r="Z24" s="302"/>
      <c r="AA24" s="304"/>
    </row>
    <row r="25" spans="1:27" ht="13">
      <c r="A25" s="126">
        <v>18</v>
      </c>
      <c r="B25" s="127"/>
      <c r="C25" s="128"/>
      <c r="D25" s="417"/>
      <c r="E25" s="418"/>
      <c r="F25" s="129">
        <v>0</v>
      </c>
      <c r="G25" s="337"/>
      <c r="H25" s="337"/>
      <c r="I25" s="337"/>
      <c r="J25" s="337"/>
      <c r="K25" s="336">
        <f t="shared" si="0"/>
        <v>0</v>
      </c>
      <c r="L25" s="130">
        <f t="shared" si="1"/>
        <v>0</v>
      </c>
      <c r="M25" s="131" t="str">
        <f t="shared" si="2"/>
        <v/>
      </c>
      <c r="N25" s="132">
        <v>0</v>
      </c>
      <c r="O25" s="133">
        <f t="shared" si="3"/>
        <v>0</v>
      </c>
      <c r="P25" s="133">
        <f t="shared" si="4"/>
        <v>0</v>
      </c>
      <c r="Q25" s="131" t="str">
        <f t="shared" si="5"/>
        <v/>
      </c>
      <c r="W25" s="301"/>
      <c r="X25" s="301"/>
      <c r="Y25" s="301"/>
      <c r="Z25" s="302"/>
      <c r="AA25" s="304"/>
    </row>
    <row r="26" spans="1:27" ht="13">
      <c r="A26" s="126">
        <v>19</v>
      </c>
      <c r="B26" s="127"/>
      <c r="C26" s="128"/>
      <c r="D26" s="417"/>
      <c r="E26" s="418"/>
      <c r="F26" s="129">
        <v>0</v>
      </c>
      <c r="G26" s="337"/>
      <c r="H26" s="337"/>
      <c r="I26" s="337"/>
      <c r="J26" s="337"/>
      <c r="K26" s="336">
        <f t="shared" si="0"/>
        <v>0</v>
      </c>
      <c r="L26" s="130">
        <f t="shared" si="1"/>
        <v>0</v>
      </c>
      <c r="M26" s="131" t="str">
        <f t="shared" si="2"/>
        <v/>
      </c>
      <c r="N26" s="132">
        <v>0</v>
      </c>
      <c r="O26" s="133">
        <f t="shared" si="3"/>
        <v>0</v>
      </c>
      <c r="P26" s="133">
        <f t="shared" si="4"/>
        <v>0</v>
      </c>
      <c r="Q26" s="131" t="str">
        <f t="shared" si="5"/>
        <v/>
      </c>
      <c r="W26" s="301"/>
      <c r="X26" s="301"/>
      <c r="Y26" s="301"/>
      <c r="Z26" s="302"/>
      <c r="AA26" s="304"/>
    </row>
    <row r="27" spans="1:27" ht="13">
      <c r="A27" s="126">
        <v>20</v>
      </c>
      <c r="B27" s="127"/>
      <c r="C27" s="128"/>
      <c r="D27" s="417"/>
      <c r="E27" s="418"/>
      <c r="F27" s="129">
        <v>0</v>
      </c>
      <c r="G27" s="337"/>
      <c r="H27" s="337"/>
      <c r="I27" s="337"/>
      <c r="J27" s="337"/>
      <c r="K27" s="336">
        <f t="shared" si="0"/>
        <v>0</v>
      </c>
      <c r="L27" s="130">
        <f t="shared" si="1"/>
        <v>0</v>
      </c>
      <c r="M27" s="131" t="str">
        <f t="shared" si="2"/>
        <v/>
      </c>
      <c r="N27" s="132">
        <v>0</v>
      </c>
      <c r="O27" s="133">
        <f t="shared" si="3"/>
        <v>0</v>
      </c>
      <c r="P27" s="133">
        <f t="shared" si="4"/>
        <v>0</v>
      </c>
      <c r="Q27" s="131" t="str">
        <f t="shared" si="5"/>
        <v/>
      </c>
      <c r="W27" s="301"/>
      <c r="X27" s="303"/>
      <c r="Y27" s="303"/>
      <c r="Z27" s="303"/>
      <c r="AA27" s="304"/>
    </row>
    <row r="28" spans="1:27" ht="13">
      <c r="A28" s="126">
        <v>21</v>
      </c>
      <c r="B28" s="127"/>
      <c r="C28" s="128"/>
      <c r="D28" s="417"/>
      <c r="E28" s="418"/>
      <c r="F28" s="129">
        <v>0</v>
      </c>
      <c r="G28" s="337"/>
      <c r="H28" s="337"/>
      <c r="I28" s="337"/>
      <c r="J28" s="337"/>
      <c r="K28" s="336">
        <f t="shared" si="0"/>
        <v>0</v>
      </c>
      <c r="L28" s="130">
        <f t="shared" si="1"/>
        <v>0</v>
      </c>
      <c r="M28" s="131" t="str">
        <f t="shared" si="2"/>
        <v/>
      </c>
      <c r="N28" s="132">
        <v>0</v>
      </c>
      <c r="O28" s="133">
        <f t="shared" si="3"/>
        <v>0</v>
      </c>
      <c r="P28" s="133">
        <f t="shared" si="4"/>
        <v>0</v>
      </c>
      <c r="Q28" s="131" t="str">
        <f t="shared" si="5"/>
        <v/>
      </c>
      <c r="W28" s="301"/>
      <c r="X28" s="303"/>
      <c r="Y28" s="303"/>
      <c r="Z28" s="303"/>
      <c r="AA28" s="304"/>
    </row>
    <row r="29" spans="1:27" ht="13">
      <c r="A29" s="126">
        <v>22</v>
      </c>
      <c r="B29" s="127"/>
      <c r="C29" s="128"/>
      <c r="D29" s="417"/>
      <c r="E29" s="418"/>
      <c r="F29" s="129">
        <v>0</v>
      </c>
      <c r="G29" s="337"/>
      <c r="H29" s="337"/>
      <c r="I29" s="337"/>
      <c r="J29" s="337"/>
      <c r="K29" s="336">
        <f t="shared" si="0"/>
        <v>0</v>
      </c>
      <c r="L29" s="130">
        <f t="shared" si="1"/>
        <v>0</v>
      </c>
      <c r="M29" s="131" t="str">
        <f t="shared" si="2"/>
        <v/>
      </c>
      <c r="N29" s="132">
        <v>0</v>
      </c>
      <c r="O29" s="133">
        <f t="shared" si="3"/>
        <v>0</v>
      </c>
      <c r="P29" s="133">
        <f t="shared" si="4"/>
        <v>0</v>
      </c>
      <c r="Q29" s="131" t="str">
        <f t="shared" si="5"/>
        <v/>
      </c>
    </row>
    <row r="30" spans="1:27" ht="13">
      <c r="A30" s="126">
        <v>23</v>
      </c>
      <c r="B30" s="127"/>
      <c r="C30" s="128"/>
      <c r="D30" s="417"/>
      <c r="E30" s="418"/>
      <c r="F30" s="129">
        <v>0</v>
      </c>
      <c r="G30" s="337"/>
      <c r="H30" s="337"/>
      <c r="I30" s="337"/>
      <c r="J30" s="337"/>
      <c r="K30" s="336">
        <f t="shared" si="0"/>
        <v>0</v>
      </c>
      <c r="L30" s="130">
        <f t="shared" si="1"/>
        <v>0</v>
      </c>
      <c r="M30" s="131" t="str">
        <f t="shared" si="2"/>
        <v/>
      </c>
      <c r="N30" s="132">
        <v>0</v>
      </c>
      <c r="O30" s="133">
        <f t="shared" si="3"/>
        <v>0</v>
      </c>
      <c r="P30" s="133">
        <f t="shared" si="4"/>
        <v>0</v>
      </c>
      <c r="Q30" s="131" t="str">
        <f t="shared" si="5"/>
        <v/>
      </c>
    </row>
    <row r="31" spans="1:27" ht="13">
      <c r="A31" s="126">
        <v>24</v>
      </c>
      <c r="B31" s="127"/>
      <c r="C31" s="128"/>
      <c r="D31" s="417"/>
      <c r="E31" s="418"/>
      <c r="F31" s="129">
        <v>0</v>
      </c>
      <c r="G31" s="337"/>
      <c r="H31" s="337"/>
      <c r="I31" s="337"/>
      <c r="J31" s="337"/>
      <c r="K31" s="336">
        <f t="shared" si="0"/>
        <v>0</v>
      </c>
      <c r="L31" s="130">
        <f t="shared" si="1"/>
        <v>0</v>
      </c>
      <c r="M31" s="131" t="str">
        <f t="shared" si="2"/>
        <v/>
      </c>
      <c r="N31" s="132">
        <v>0</v>
      </c>
      <c r="O31" s="133">
        <f t="shared" si="3"/>
        <v>0</v>
      </c>
      <c r="P31" s="133">
        <f t="shared" si="4"/>
        <v>0</v>
      </c>
      <c r="Q31" s="131" t="str">
        <f t="shared" si="5"/>
        <v/>
      </c>
    </row>
    <row r="32" spans="1:27" ht="13">
      <c r="A32" s="126">
        <v>25</v>
      </c>
      <c r="B32" s="127"/>
      <c r="C32" s="128"/>
      <c r="D32" s="417"/>
      <c r="E32" s="418"/>
      <c r="F32" s="129">
        <v>0</v>
      </c>
      <c r="G32" s="337"/>
      <c r="H32" s="337"/>
      <c r="I32" s="337"/>
      <c r="J32" s="337"/>
      <c r="K32" s="336">
        <f t="shared" si="0"/>
        <v>0</v>
      </c>
      <c r="L32" s="130">
        <f t="shared" si="1"/>
        <v>0</v>
      </c>
      <c r="M32" s="131" t="str">
        <f t="shared" si="2"/>
        <v/>
      </c>
      <c r="N32" s="132">
        <v>0</v>
      </c>
      <c r="O32" s="133">
        <f t="shared" si="3"/>
        <v>0</v>
      </c>
      <c r="P32" s="133">
        <f t="shared" si="4"/>
        <v>0</v>
      </c>
      <c r="Q32" s="131" t="str">
        <f t="shared" si="5"/>
        <v/>
      </c>
    </row>
    <row r="33" spans="1:17" ht="13">
      <c r="A33" s="126">
        <v>26</v>
      </c>
      <c r="B33" s="127"/>
      <c r="C33" s="128"/>
      <c r="D33" s="417"/>
      <c r="E33" s="418"/>
      <c r="F33" s="129">
        <v>0</v>
      </c>
      <c r="G33" s="337"/>
      <c r="H33" s="337"/>
      <c r="I33" s="337"/>
      <c r="J33" s="337"/>
      <c r="K33" s="336">
        <f t="shared" si="0"/>
        <v>0</v>
      </c>
      <c r="L33" s="130">
        <f t="shared" si="1"/>
        <v>0</v>
      </c>
      <c r="M33" s="131" t="str">
        <f t="shared" si="2"/>
        <v/>
      </c>
      <c r="N33" s="132">
        <v>0</v>
      </c>
      <c r="O33" s="133">
        <f t="shared" si="3"/>
        <v>0</v>
      </c>
      <c r="P33" s="133">
        <f t="shared" si="4"/>
        <v>0</v>
      </c>
      <c r="Q33" s="131" t="str">
        <f t="shared" si="5"/>
        <v/>
      </c>
    </row>
    <row r="34" spans="1:17" ht="13">
      <c r="A34" s="126">
        <v>27</v>
      </c>
      <c r="B34" s="127"/>
      <c r="C34" s="128"/>
      <c r="D34" s="417"/>
      <c r="E34" s="418"/>
      <c r="F34" s="129">
        <v>0</v>
      </c>
      <c r="G34" s="337"/>
      <c r="H34" s="337"/>
      <c r="I34" s="337"/>
      <c r="J34" s="337"/>
      <c r="K34" s="336">
        <f t="shared" si="0"/>
        <v>0</v>
      </c>
      <c r="L34" s="130">
        <f t="shared" si="1"/>
        <v>0</v>
      </c>
      <c r="M34" s="131" t="str">
        <f t="shared" si="2"/>
        <v/>
      </c>
      <c r="N34" s="132">
        <v>0</v>
      </c>
      <c r="O34" s="133">
        <f t="shared" si="3"/>
        <v>0</v>
      </c>
      <c r="P34" s="133">
        <f t="shared" si="4"/>
        <v>0</v>
      </c>
      <c r="Q34" s="131" t="str">
        <f t="shared" si="5"/>
        <v/>
      </c>
    </row>
    <row r="35" spans="1:17" ht="13">
      <c r="A35" s="126">
        <v>28</v>
      </c>
      <c r="B35" s="127"/>
      <c r="C35" s="128"/>
      <c r="D35" s="417"/>
      <c r="E35" s="418"/>
      <c r="F35" s="129">
        <v>0</v>
      </c>
      <c r="G35" s="337"/>
      <c r="H35" s="337"/>
      <c r="I35" s="337"/>
      <c r="J35" s="337"/>
      <c r="K35" s="336">
        <f t="shared" si="0"/>
        <v>0</v>
      </c>
      <c r="L35" s="130">
        <f t="shared" si="1"/>
        <v>0</v>
      </c>
      <c r="M35" s="131" t="str">
        <f t="shared" si="2"/>
        <v/>
      </c>
      <c r="N35" s="132">
        <v>0</v>
      </c>
      <c r="O35" s="133">
        <f t="shared" si="3"/>
        <v>0</v>
      </c>
      <c r="P35" s="133">
        <f t="shared" si="4"/>
        <v>0</v>
      </c>
      <c r="Q35" s="131" t="str">
        <f t="shared" si="5"/>
        <v/>
      </c>
    </row>
    <row r="36" spans="1:17" ht="13">
      <c r="A36" s="126">
        <v>29</v>
      </c>
      <c r="B36" s="127"/>
      <c r="C36" s="128"/>
      <c r="D36" s="417"/>
      <c r="E36" s="418"/>
      <c r="F36" s="129">
        <v>0</v>
      </c>
      <c r="G36" s="337"/>
      <c r="H36" s="337"/>
      <c r="I36" s="337"/>
      <c r="J36" s="337"/>
      <c r="K36" s="336">
        <f t="shared" si="0"/>
        <v>0</v>
      </c>
      <c r="L36" s="130">
        <f t="shared" si="1"/>
        <v>0</v>
      </c>
      <c r="M36" s="131" t="str">
        <f t="shared" si="2"/>
        <v/>
      </c>
      <c r="N36" s="132">
        <v>0</v>
      </c>
      <c r="O36" s="133">
        <f t="shared" si="3"/>
        <v>0</v>
      </c>
      <c r="P36" s="133">
        <f t="shared" si="4"/>
        <v>0</v>
      </c>
      <c r="Q36" s="131" t="str">
        <f t="shared" si="5"/>
        <v/>
      </c>
    </row>
    <row r="37" spans="1:17" ht="13">
      <c r="A37" s="126">
        <v>30</v>
      </c>
      <c r="B37" s="127"/>
      <c r="C37" s="128"/>
      <c r="D37" s="417"/>
      <c r="E37" s="418"/>
      <c r="F37" s="129">
        <v>0</v>
      </c>
      <c r="G37" s="337"/>
      <c r="H37" s="337"/>
      <c r="I37" s="337"/>
      <c r="J37" s="337"/>
      <c r="K37" s="336">
        <f t="shared" si="0"/>
        <v>0</v>
      </c>
      <c r="L37" s="130">
        <f t="shared" si="1"/>
        <v>0</v>
      </c>
      <c r="M37" s="131" t="str">
        <f t="shared" si="2"/>
        <v/>
      </c>
      <c r="N37" s="132">
        <v>0</v>
      </c>
      <c r="O37" s="133">
        <f t="shared" si="3"/>
        <v>0</v>
      </c>
      <c r="P37" s="133">
        <f t="shared" si="4"/>
        <v>0</v>
      </c>
      <c r="Q37" s="131" t="str">
        <f t="shared" si="5"/>
        <v/>
      </c>
    </row>
    <row r="38" spans="1:17" ht="13">
      <c r="A38" s="126">
        <v>31</v>
      </c>
      <c r="B38" s="127"/>
      <c r="C38" s="128"/>
      <c r="D38" s="417"/>
      <c r="E38" s="418"/>
      <c r="F38" s="129">
        <v>0</v>
      </c>
      <c r="G38" s="337"/>
      <c r="H38" s="337"/>
      <c r="I38" s="337"/>
      <c r="J38" s="337"/>
      <c r="K38" s="336">
        <f t="shared" si="0"/>
        <v>0</v>
      </c>
      <c r="L38" s="130">
        <f t="shared" si="1"/>
        <v>0</v>
      </c>
      <c r="M38" s="131" t="str">
        <f t="shared" si="2"/>
        <v/>
      </c>
      <c r="N38" s="132">
        <v>0</v>
      </c>
      <c r="O38" s="133">
        <f t="shared" si="3"/>
        <v>0</v>
      </c>
      <c r="P38" s="133">
        <f t="shared" si="4"/>
        <v>0</v>
      </c>
      <c r="Q38" s="131" t="str">
        <f t="shared" si="5"/>
        <v/>
      </c>
    </row>
    <row r="39" spans="1:17" ht="13">
      <c r="A39" s="126">
        <v>32</v>
      </c>
      <c r="B39" s="127"/>
      <c r="C39" s="128"/>
      <c r="D39" s="417"/>
      <c r="E39" s="418"/>
      <c r="F39" s="129">
        <v>0</v>
      </c>
      <c r="G39" s="337"/>
      <c r="H39" s="337"/>
      <c r="I39" s="337"/>
      <c r="J39" s="337"/>
      <c r="K39" s="336">
        <f t="shared" si="0"/>
        <v>0</v>
      </c>
      <c r="L39" s="130">
        <f t="shared" si="1"/>
        <v>0</v>
      </c>
      <c r="M39" s="131" t="str">
        <f t="shared" si="2"/>
        <v/>
      </c>
      <c r="N39" s="132">
        <v>0</v>
      </c>
      <c r="O39" s="133">
        <f t="shared" si="3"/>
        <v>0</v>
      </c>
      <c r="P39" s="133">
        <f t="shared" si="4"/>
        <v>0</v>
      </c>
      <c r="Q39" s="131" t="str">
        <f t="shared" si="5"/>
        <v/>
      </c>
    </row>
    <row r="40" spans="1:17" ht="13">
      <c r="A40" s="126">
        <v>33</v>
      </c>
      <c r="B40" s="127"/>
      <c r="C40" s="128"/>
      <c r="D40" s="417"/>
      <c r="E40" s="418"/>
      <c r="F40" s="129">
        <v>0</v>
      </c>
      <c r="G40" s="337"/>
      <c r="H40" s="337"/>
      <c r="I40" s="337"/>
      <c r="J40" s="337"/>
      <c r="K40" s="336">
        <f t="shared" ref="K40:K71" si="6">MAXA(G40:J40)</f>
        <v>0</v>
      </c>
      <c r="L40" s="130">
        <f t="shared" ref="L40:L71" si="7">F40*K40</f>
        <v>0</v>
      </c>
      <c r="M40" s="131" t="str">
        <f t="shared" ref="M40:M71" si="8">IF(L40&gt;0,RANK(L40,L$8:L$207),"")</f>
        <v/>
      </c>
      <c r="N40" s="132">
        <v>0</v>
      </c>
      <c r="O40" s="133">
        <f t="shared" ref="O40:O71" si="9">N40*Sensib</f>
        <v>0</v>
      </c>
      <c r="P40" s="133">
        <f t="shared" ref="P40:P71" si="10">F40*O40</f>
        <v>0</v>
      </c>
      <c r="Q40" s="131" t="str">
        <f t="shared" ref="Q40:Q71" si="11">IF(P40&gt;0,RANK(P40,AmeaPreVE,0),"")</f>
        <v/>
      </c>
    </row>
    <row r="41" spans="1:17" ht="13">
      <c r="A41" s="126">
        <v>34</v>
      </c>
      <c r="B41" s="127"/>
      <c r="C41" s="128"/>
      <c r="D41" s="417"/>
      <c r="E41" s="418"/>
      <c r="F41" s="129">
        <v>0</v>
      </c>
      <c r="G41" s="337"/>
      <c r="H41" s="337"/>
      <c r="I41" s="337"/>
      <c r="J41" s="337"/>
      <c r="K41" s="336">
        <f t="shared" si="6"/>
        <v>0</v>
      </c>
      <c r="L41" s="130">
        <f t="shared" si="7"/>
        <v>0</v>
      </c>
      <c r="M41" s="131" t="str">
        <f t="shared" si="8"/>
        <v/>
      </c>
      <c r="N41" s="132">
        <v>0</v>
      </c>
      <c r="O41" s="133">
        <f t="shared" si="9"/>
        <v>0</v>
      </c>
      <c r="P41" s="133">
        <f t="shared" si="10"/>
        <v>0</v>
      </c>
      <c r="Q41" s="131" t="str">
        <f t="shared" si="11"/>
        <v/>
      </c>
    </row>
    <row r="42" spans="1:17" ht="13">
      <c r="A42" s="126">
        <v>35</v>
      </c>
      <c r="B42" s="127"/>
      <c r="C42" s="128"/>
      <c r="D42" s="417"/>
      <c r="E42" s="418"/>
      <c r="F42" s="129">
        <v>0</v>
      </c>
      <c r="G42" s="337"/>
      <c r="H42" s="337"/>
      <c r="I42" s="337"/>
      <c r="J42" s="337"/>
      <c r="K42" s="336">
        <f t="shared" si="6"/>
        <v>0</v>
      </c>
      <c r="L42" s="130">
        <f t="shared" si="7"/>
        <v>0</v>
      </c>
      <c r="M42" s="131" t="str">
        <f t="shared" si="8"/>
        <v/>
      </c>
      <c r="N42" s="132">
        <v>0</v>
      </c>
      <c r="O42" s="133">
        <f t="shared" si="9"/>
        <v>0</v>
      </c>
      <c r="P42" s="133">
        <f t="shared" si="10"/>
        <v>0</v>
      </c>
      <c r="Q42" s="131" t="str">
        <f t="shared" si="11"/>
        <v/>
      </c>
    </row>
    <row r="43" spans="1:17" ht="13">
      <c r="A43" s="126">
        <v>36</v>
      </c>
      <c r="B43" s="127"/>
      <c r="C43" s="128"/>
      <c r="D43" s="417"/>
      <c r="E43" s="418"/>
      <c r="F43" s="129">
        <v>0</v>
      </c>
      <c r="G43" s="337"/>
      <c r="H43" s="337"/>
      <c r="I43" s="337"/>
      <c r="J43" s="337"/>
      <c r="K43" s="336">
        <f t="shared" si="6"/>
        <v>0</v>
      </c>
      <c r="L43" s="130">
        <f t="shared" si="7"/>
        <v>0</v>
      </c>
      <c r="M43" s="131" t="str">
        <f t="shared" si="8"/>
        <v/>
      </c>
      <c r="N43" s="132">
        <v>0</v>
      </c>
      <c r="O43" s="133">
        <f t="shared" si="9"/>
        <v>0</v>
      </c>
      <c r="P43" s="133">
        <f t="shared" si="10"/>
        <v>0</v>
      </c>
      <c r="Q43" s="131" t="str">
        <f t="shared" si="11"/>
        <v/>
      </c>
    </row>
    <row r="44" spans="1:17" ht="13">
      <c r="A44" s="126">
        <v>37</v>
      </c>
      <c r="B44" s="127"/>
      <c r="C44" s="128"/>
      <c r="D44" s="417"/>
      <c r="E44" s="418"/>
      <c r="F44" s="129">
        <v>0</v>
      </c>
      <c r="G44" s="337"/>
      <c r="H44" s="337"/>
      <c r="I44" s="337"/>
      <c r="J44" s="337"/>
      <c r="K44" s="336">
        <f t="shared" si="6"/>
        <v>0</v>
      </c>
      <c r="L44" s="130">
        <f t="shared" si="7"/>
        <v>0</v>
      </c>
      <c r="M44" s="131" t="str">
        <f t="shared" si="8"/>
        <v/>
      </c>
      <c r="N44" s="132">
        <v>0</v>
      </c>
      <c r="O44" s="133">
        <f t="shared" si="9"/>
        <v>0</v>
      </c>
      <c r="P44" s="133">
        <f t="shared" si="10"/>
        <v>0</v>
      </c>
      <c r="Q44" s="131" t="str">
        <f t="shared" si="11"/>
        <v/>
      </c>
    </row>
    <row r="45" spans="1:17" ht="13">
      <c r="A45" s="126">
        <v>38</v>
      </c>
      <c r="B45" s="127"/>
      <c r="C45" s="128"/>
      <c r="D45" s="417"/>
      <c r="E45" s="418"/>
      <c r="F45" s="129">
        <v>0</v>
      </c>
      <c r="G45" s="337"/>
      <c r="H45" s="337"/>
      <c r="I45" s="337"/>
      <c r="J45" s="337"/>
      <c r="K45" s="336">
        <f t="shared" si="6"/>
        <v>0</v>
      </c>
      <c r="L45" s="130">
        <f t="shared" si="7"/>
        <v>0</v>
      </c>
      <c r="M45" s="131" t="str">
        <f t="shared" si="8"/>
        <v/>
      </c>
      <c r="N45" s="132">
        <v>0</v>
      </c>
      <c r="O45" s="133">
        <f t="shared" si="9"/>
        <v>0</v>
      </c>
      <c r="P45" s="133">
        <f t="shared" si="10"/>
        <v>0</v>
      </c>
      <c r="Q45" s="131" t="str">
        <f t="shared" si="11"/>
        <v/>
      </c>
    </row>
    <row r="46" spans="1:17" ht="13">
      <c r="A46" s="126">
        <v>39</v>
      </c>
      <c r="B46" s="127"/>
      <c r="C46" s="128"/>
      <c r="D46" s="417"/>
      <c r="E46" s="418"/>
      <c r="F46" s="129">
        <v>0</v>
      </c>
      <c r="G46" s="337"/>
      <c r="H46" s="337"/>
      <c r="I46" s="337"/>
      <c r="J46" s="337"/>
      <c r="K46" s="336">
        <f t="shared" si="6"/>
        <v>0</v>
      </c>
      <c r="L46" s="130">
        <f t="shared" si="7"/>
        <v>0</v>
      </c>
      <c r="M46" s="131" t="str">
        <f t="shared" si="8"/>
        <v/>
      </c>
      <c r="N46" s="132">
        <v>0</v>
      </c>
      <c r="O46" s="133">
        <f t="shared" si="9"/>
        <v>0</v>
      </c>
      <c r="P46" s="133">
        <f t="shared" si="10"/>
        <v>0</v>
      </c>
      <c r="Q46" s="131" t="str">
        <f t="shared" si="11"/>
        <v/>
      </c>
    </row>
    <row r="47" spans="1:17" ht="13">
      <c r="A47" s="126">
        <v>40</v>
      </c>
      <c r="B47" s="127"/>
      <c r="C47" s="128"/>
      <c r="D47" s="417"/>
      <c r="E47" s="418"/>
      <c r="F47" s="129">
        <v>0</v>
      </c>
      <c r="G47" s="337"/>
      <c r="H47" s="337"/>
      <c r="I47" s="337"/>
      <c r="J47" s="337"/>
      <c r="K47" s="336">
        <f t="shared" si="6"/>
        <v>0</v>
      </c>
      <c r="L47" s="130">
        <f t="shared" si="7"/>
        <v>0</v>
      </c>
      <c r="M47" s="131" t="str">
        <f t="shared" si="8"/>
        <v/>
      </c>
      <c r="N47" s="132">
        <v>0</v>
      </c>
      <c r="O47" s="133">
        <f t="shared" si="9"/>
        <v>0</v>
      </c>
      <c r="P47" s="133">
        <f t="shared" si="10"/>
        <v>0</v>
      </c>
      <c r="Q47" s="131" t="str">
        <f t="shared" si="11"/>
        <v/>
      </c>
    </row>
    <row r="48" spans="1:17" ht="13">
      <c r="A48" s="126">
        <v>41</v>
      </c>
      <c r="B48" s="127"/>
      <c r="C48" s="128"/>
      <c r="D48" s="417"/>
      <c r="E48" s="418"/>
      <c r="F48" s="129">
        <v>0</v>
      </c>
      <c r="G48" s="337"/>
      <c r="H48" s="337"/>
      <c r="I48" s="337"/>
      <c r="J48" s="337"/>
      <c r="K48" s="336">
        <f t="shared" si="6"/>
        <v>0</v>
      </c>
      <c r="L48" s="130">
        <f t="shared" si="7"/>
        <v>0</v>
      </c>
      <c r="M48" s="131" t="str">
        <f t="shared" si="8"/>
        <v/>
      </c>
      <c r="N48" s="132">
        <v>0</v>
      </c>
      <c r="O48" s="133">
        <f t="shared" si="9"/>
        <v>0</v>
      </c>
      <c r="P48" s="133">
        <f t="shared" si="10"/>
        <v>0</v>
      </c>
      <c r="Q48" s="131" t="str">
        <f t="shared" si="11"/>
        <v/>
      </c>
    </row>
    <row r="49" spans="1:17" ht="13">
      <c r="A49" s="126">
        <v>42</v>
      </c>
      <c r="B49" s="127"/>
      <c r="C49" s="128"/>
      <c r="D49" s="417"/>
      <c r="E49" s="418"/>
      <c r="F49" s="129">
        <v>0</v>
      </c>
      <c r="G49" s="337"/>
      <c r="H49" s="337"/>
      <c r="I49" s="337"/>
      <c r="J49" s="337"/>
      <c r="K49" s="336">
        <f t="shared" si="6"/>
        <v>0</v>
      </c>
      <c r="L49" s="130">
        <f t="shared" si="7"/>
        <v>0</v>
      </c>
      <c r="M49" s="131" t="str">
        <f t="shared" si="8"/>
        <v/>
      </c>
      <c r="N49" s="132">
        <v>0</v>
      </c>
      <c r="O49" s="133">
        <f t="shared" si="9"/>
        <v>0</v>
      </c>
      <c r="P49" s="133">
        <f t="shared" si="10"/>
        <v>0</v>
      </c>
      <c r="Q49" s="131" t="str">
        <f t="shared" si="11"/>
        <v/>
      </c>
    </row>
    <row r="50" spans="1:17" ht="13">
      <c r="A50" s="126">
        <v>43</v>
      </c>
      <c r="B50" s="127"/>
      <c r="C50" s="128"/>
      <c r="D50" s="417"/>
      <c r="E50" s="418"/>
      <c r="F50" s="129">
        <v>0</v>
      </c>
      <c r="G50" s="337"/>
      <c r="H50" s="337"/>
      <c r="I50" s="337"/>
      <c r="J50" s="337"/>
      <c r="K50" s="336">
        <f t="shared" si="6"/>
        <v>0</v>
      </c>
      <c r="L50" s="130">
        <f t="shared" si="7"/>
        <v>0</v>
      </c>
      <c r="M50" s="131" t="str">
        <f t="shared" si="8"/>
        <v/>
      </c>
      <c r="N50" s="132">
        <v>0</v>
      </c>
      <c r="O50" s="133">
        <f t="shared" si="9"/>
        <v>0</v>
      </c>
      <c r="P50" s="133">
        <f t="shared" si="10"/>
        <v>0</v>
      </c>
      <c r="Q50" s="131" t="str">
        <f t="shared" si="11"/>
        <v/>
      </c>
    </row>
    <row r="51" spans="1:17" ht="13">
      <c r="A51" s="126">
        <v>44</v>
      </c>
      <c r="B51" s="127"/>
      <c r="C51" s="128"/>
      <c r="D51" s="417"/>
      <c r="E51" s="418"/>
      <c r="F51" s="129">
        <v>0</v>
      </c>
      <c r="G51" s="337"/>
      <c r="H51" s="337"/>
      <c r="I51" s="337"/>
      <c r="J51" s="337"/>
      <c r="K51" s="336">
        <f t="shared" si="6"/>
        <v>0</v>
      </c>
      <c r="L51" s="130">
        <f t="shared" si="7"/>
        <v>0</v>
      </c>
      <c r="M51" s="131" t="str">
        <f t="shared" si="8"/>
        <v/>
      </c>
      <c r="N51" s="132">
        <v>0</v>
      </c>
      <c r="O51" s="133">
        <f t="shared" si="9"/>
        <v>0</v>
      </c>
      <c r="P51" s="133">
        <f t="shared" si="10"/>
        <v>0</v>
      </c>
      <c r="Q51" s="131" t="str">
        <f t="shared" si="11"/>
        <v/>
      </c>
    </row>
    <row r="52" spans="1:17" ht="13">
      <c r="A52" s="126">
        <v>45</v>
      </c>
      <c r="B52" s="127"/>
      <c r="C52" s="128"/>
      <c r="D52" s="417"/>
      <c r="E52" s="418"/>
      <c r="F52" s="129">
        <v>0</v>
      </c>
      <c r="G52" s="337"/>
      <c r="H52" s="337"/>
      <c r="I52" s="337"/>
      <c r="J52" s="337"/>
      <c r="K52" s="336">
        <f t="shared" si="6"/>
        <v>0</v>
      </c>
      <c r="L52" s="130">
        <f t="shared" si="7"/>
        <v>0</v>
      </c>
      <c r="M52" s="131" t="str">
        <f t="shared" si="8"/>
        <v/>
      </c>
      <c r="N52" s="132">
        <v>0</v>
      </c>
      <c r="O52" s="133">
        <f t="shared" si="9"/>
        <v>0</v>
      </c>
      <c r="P52" s="133">
        <f t="shared" si="10"/>
        <v>0</v>
      </c>
      <c r="Q52" s="131" t="str">
        <f t="shared" si="11"/>
        <v/>
      </c>
    </row>
    <row r="53" spans="1:17" ht="13">
      <c r="A53" s="126">
        <v>46</v>
      </c>
      <c r="B53" s="127"/>
      <c r="C53" s="128"/>
      <c r="D53" s="417"/>
      <c r="E53" s="418"/>
      <c r="F53" s="129">
        <v>0</v>
      </c>
      <c r="G53" s="337"/>
      <c r="H53" s="337"/>
      <c r="I53" s="337"/>
      <c r="J53" s="337"/>
      <c r="K53" s="336">
        <f t="shared" si="6"/>
        <v>0</v>
      </c>
      <c r="L53" s="130">
        <f t="shared" si="7"/>
        <v>0</v>
      </c>
      <c r="M53" s="131" t="str">
        <f t="shared" si="8"/>
        <v/>
      </c>
      <c r="N53" s="132">
        <v>0</v>
      </c>
      <c r="O53" s="133">
        <f t="shared" si="9"/>
        <v>0</v>
      </c>
      <c r="P53" s="133">
        <f t="shared" si="10"/>
        <v>0</v>
      </c>
      <c r="Q53" s="131" t="str">
        <f t="shared" si="11"/>
        <v/>
      </c>
    </row>
    <row r="54" spans="1:17" ht="13">
      <c r="A54" s="126">
        <v>47</v>
      </c>
      <c r="B54" s="127"/>
      <c r="C54" s="128"/>
      <c r="D54" s="417"/>
      <c r="E54" s="418"/>
      <c r="F54" s="129">
        <v>0</v>
      </c>
      <c r="G54" s="337"/>
      <c r="H54" s="337"/>
      <c r="I54" s="337"/>
      <c r="J54" s="337"/>
      <c r="K54" s="336">
        <f t="shared" si="6"/>
        <v>0</v>
      </c>
      <c r="L54" s="130">
        <f t="shared" si="7"/>
        <v>0</v>
      </c>
      <c r="M54" s="131" t="str">
        <f t="shared" si="8"/>
        <v/>
      </c>
      <c r="N54" s="132">
        <v>0</v>
      </c>
      <c r="O54" s="133">
        <f t="shared" si="9"/>
        <v>0</v>
      </c>
      <c r="P54" s="133">
        <f t="shared" si="10"/>
        <v>0</v>
      </c>
      <c r="Q54" s="131" t="str">
        <f t="shared" si="11"/>
        <v/>
      </c>
    </row>
    <row r="55" spans="1:17" ht="13">
      <c r="A55" s="126">
        <v>48</v>
      </c>
      <c r="B55" s="127"/>
      <c r="C55" s="128"/>
      <c r="D55" s="417"/>
      <c r="E55" s="418"/>
      <c r="F55" s="129">
        <v>0</v>
      </c>
      <c r="G55" s="337"/>
      <c r="H55" s="337"/>
      <c r="I55" s="337"/>
      <c r="J55" s="337"/>
      <c r="K55" s="336">
        <f t="shared" si="6"/>
        <v>0</v>
      </c>
      <c r="L55" s="130">
        <f t="shared" si="7"/>
        <v>0</v>
      </c>
      <c r="M55" s="131" t="str">
        <f t="shared" si="8"/>
        <v/>
      </c>
      <c r="N55" s="132">
        <v>0</v>
      </c>
      <c r="O55" s="133">
        <f t="shared" si="9"/>
        <v>0</v>
      </c>
      <c r="P55" s="133">
        <f t="shared" si="10"/>
        <v>0</v>
      </c>
      <c r="Q55" s="131" t="str">
        <f t="shared" si="11"/>
        <v/>
      </c>
    </row>
    <row r="56" spans="1:17" ht="13">
      <c r="A56" s="126">
        <v>49</v>
      </c>
      <c r="B56" s="127"/>
      <c r="C56" s="128"/>
      <c r="D56" s="417"/>
      <c r="E56" s="418"/>
      <c r="F56" s="129">
        <v>0</v>
      </c>
      <c r="G56" s="337"/>
      <c r="H56" s="337"/>
      <c r="I56" s="337"/>
      <c r="J56" s="337"/>
      <c r="K56" s="336">
        <f t="shared" si="6"/>
        <v>0</v>
      </c>
      <c r="L56" s="130">
        <f t="shared" si="7"/>
        <v>0</v>
      </c>
      <c r="M56" s="131" t="str">
        <f t="shared" si="8"/>
        <v/>
      </c>
      <c r="N56" s="132">
        <v>0</v>
      </c>
      <c r="O56" s="133">
        <f t="shared" si="9"/>
        <v>0</v>
      </c>
      <c r="P56" s="133">
        <f t="shared" si="10"/>
        <v>0</v>
      </c>
      <c r="Q56" s="131" t="str">
        <f t="shared" si="11"/>
        <v/>
      </c>
    </row>
    <row r="57" spans="1:17" ht="13">
      <c r="A57" s="126">
        <v>50</v>
      </c>
      <c r="B57" s="127"/>
      <c r="C57" s="128"/>
      <c r="D57" s="417"/>
      <c r="E57" s="418"/>
      <c r="F57" s="129">
        <v>0</v>
      </c>
      <c r="G57" s="337"/>
      <c r="H57" s="337"/>
      <c r="I57" s="337"/>
      <c r="J57" s="337"/>
      <c r="K57" s="336">
        <f t="shared" si="6"/>
        <v>0</v>
      </c>
      <c r="L57" s="130">
        <f t="shared" si="7"/>
        <v>0</v>
      </c>
      <c r="M57" s="131" t="str">
        <f t="shared" si="8"/>
        <v/>
      </c>
      <c r="N57" s="132">
        <v>0</v>
      </c>
      <c r="O57" s="133">
        <f t="shared" si="9"/>
        <v>0</v>
      </c>
      <c r="P57" s="133">
        <f t="shared" si="10"/>
        <v>0</v>
      </c>
      <c r="Q57" s="131" t="str">
        <f t="shared" si="11"/>
        <v/>
      </c>
    </row>
    <row r="58" spans="1:17" ht="13">
      <c r="A58" s="126">
        <v>51</v>
      </c>
      <c r="B58" s="127"/>
      <c r="C58" s="128"/>
      <c r="D58" s="417"/>
      <c r="E58" s="418"/>
      <c r="F58" s="129">
        <v>0</v>
      </c>
      <c r="G58" s="337"/>
      <c r="H58" s="337"/>
      <c r="I58" s="337"/>
      <c r="J58" s="337"/>
      <c r="K58" s="336">
        <f t="shared" si="6"/>
        <v>0</v>
      </c>
      <c r="L58" s="130">
        <f t="shared" si="7"/>
        <v>0</v>
      </c>
      <c r="M58" s="131" t="str">
        <f t="shared" si="8"/>
        <v/>
      </c>
      <c r="N58" s="132">
        <v>0</v>
      </c>
      <c r="O58" s="133">
        <f t="shared" si="9"/>
        <v>0</v>
      </c>
      <c r="P58" s="133">
        <f t="shared" si="10"/>
        <v>0</v>
      </c>
      <c r="Q58" s="131" t="str">
        <f t="shared" si="11"/>
        <v/>
      </c>
    </row>
    <row r="59" spans="1:17" ht="13">
      <c r="A59" s="126">
        <v>52</v>
      </c>
      <c r="B59" s="127"/>
      <c r="C59" s="128"/>
      <c r="D59" s="417"/>
      <c r="E59" s="418"/>
      <c r="F59" s="129">
        <v>0</v>
      </c>
      <c r="G59" s="337"/>
      <c r="H59" s="337"/>
      <c r="I59" s="337"/>
      <c r="J59" s="337"/>
      <c r="K59" s="336">
        <f t="shared" si="6"/>
        <v>0</v>
      </c>
      <c r="L59" s="130">
        <f t="shared" si="7"/>
        <v>0</v>
      </c>
      <c r="M59" s="131" t="str">
        <f t="shared" si="8"/>
        <v/>
      </c>
      <c r="N59" s="132">
        <v>0</v>
      </c>
      <c r="O59" s="133">
        <f t="shared" si="9"/>
        <v>0</v>
      </c>
      <c r="P59" s="133">
        <f t="shared" si="10"/>
        <v>0</v>
      </c>
      <c r="Q59" s="131" t="str">
        <f t="shared" si="11"/>
        <v/>
      </c>
    </row>
    <row r="60" spans="1:17" ht="13">
      <c r="A60" s="126">
        <v>53</v>
      </c>
      <c r="B60" s="127"/>
      <c r="C60" s="128"/>
      <c r="D60" s="417"/>
      <c r="E60" s="418"/>
      <c r="F60" s="129">
        <v>0</v>
      </c>
      <c r="G60" s="337"/>
      <c r="H60" s="337"/>
      <c r="I60" s="337"/>
      <c r="J60" s="337"/>
      <c r="K60" s="336">
        <f t="shared" si="6"/>
        <v>0</v>
      </c>
      <c r="L60" s="130">
        <f t="shared" si="7"/>
        <v>0</v>
      </c>
      <c r="M60" s="131" t="str">
        <f t="shared" si="8"/>
        <v/>
      </c>
      <c r="N60" s="132">
        <v>0</v>
      </c>
      <c r="O60" s="133">
        <f t="shared" si="9"/>
        <v>0</v>
      </c>
      <c r="P60" s="133">
        <f t="shared" si="10"/>
        <v>0</v>
      </c>
      <c r="Q60" s="131" t="str">
        <f t="shared" si="11"/>
        <v/>
      </c>
    </row>
    <row r="61" spans="1:17" ht="13">
      <c r="A61" s="126">
        <v>54</v>
      </c>
      <c r="B61" s="127"/>
      <c r="C61" s="134"/>
      <c r="D61" s="417"/>
      <c r="E61" s="418"/>
      <c r="F61" s="129">
        <v>0</v>
      </c>
      <c r="G61" s="337"/>
      <c r="H61" s="337"/>
      <c r="I61" s="337"/>
      <c r="J61" s="337"/>
      <c r="K61" s="336">
        <f t="shared" si="6"/>
        <v>0</v>
      </c>
      <c r="L61" s="130">
        <f t="shared" si="7"/>
        <v>0</v>
      </c>
      <c r="M61" s="131" t="str">
        <f t="shared" si="8"/>
        <v/>
      </c>
      <c r="N61" s="132">
        <v>0</v>
      </c>
      <c r="O61" s="133">
        <f t="shared" si="9"/>
        <v>0</v>
      </c>
      <c r="P61" s="133">
        <f t="shared" si="10"/>
        <v>0</v>
      </c>
      <c r="Q61" s="131" t="str">
        <f t="shared" si="11"/>
        <v/>
      </c>
    </row>
    <row r="62" spans="1:17" ht="13">
      <c r="A62" s="126">
        <v>55</v>
      </c>
      <c r="B62" s="127"/>
      <c r="C62" s="134"/>
      <c r="D62" s="417"/>
      <c r="E62" s="418"/>
      <c r="F62" s="129">
        <v>0</v>
      </c>
      <c r="G62" s="337"/>
      <c r="H62" s="337"/>
      <c r="I62" s="337"/>
      <c r="J62" s="337"/>
      <c r="K62" s="336">
        <f t="shared" si="6"/>
        <v>0</v>
      </c>
      <c r="L62" s="130">
        <f t="shared" si="7"/>
        <v>0</v>
      </c>
      <c r="M62" s="131" t="str">
        <f t="shared" si="8"/>
        <v/>
      </c>
      <c r="N62" s="132">
        <v>0</v>
      </c>
      <c r="O62" s="133">
        <f t="shared" si="9"/>
        <v>0</v>
      </c>
      <c r="P62" s="133">
        <f t="shared" si="10"/>
        <v>0</v>
      </c>
      <c r="Q62" s="131" t="str">
        <f t="shared" si="11"/>
        <v/>
      </c>
    </row>
    <row r="63" spans="1:17" ht="13">
      <c r="A63" s="126">
        <v>56</v>
      </c>
      <c r="B63" s="127"/>
      <c r="C63" s="135"/>
      <c r="D63" s="417"/>
      <c r="E63" s="418"/>
      <c r="F63" s="129">
        <v>0</v>
      </c>
      <c r="G63" s="337"/>
      <c r="H63" s="337"/>
      <c r="I63" s="337"/>
      <c r="J63" s="337"/>
      <c r="K63" s="336">
        <f t="shared" si="6"/>
        <v>0</v>
      </c>
      <c r="L63" s="130">
        <f t="shared" si="7"/>
        <v>0</v>
      </c>
      <c r="M63" s="131" t="str">
        <f t="shared" si="8"/>
        <v/>
      </c>
      <c r="N63" s="132">
        <v>0</v>
      </c>
      <c r="O63" s="133">
        <f t="shared" si="9"/>
        <v>0</v>
      </c>
      <c r="P63" s="133">
        <f t="shared" si="10"/>
        <v>0</v>
      </c>
      <c r="Q63" s="131" t="str">
        <f t="shared" si="11"/>
        <v/>
      </c>
    </row>
    <row r="64" spans="1:17" ht="13">
      <c r="A64" s="126">
        <v>57</v>
      </c>
      <c r="B64" s="127"/>
      <c r="C64" s="128"/>
      <c r="D64" s="417"/>
      <c r="E64" s="418"/>
      <c r="F64" s="129">
        <v>0</v>
      </c>
      <c r="G64" s="337"/>
      <c r="H64" s="337"/>
      <c r="I64" s="337"/>
      <c r="J64" s="337"/>
      <c r="K64" s="336">
        <f t="shared" si="6"/>
        <v>0</v>
      </c>
      <c r="L64" s="130">
        <f t="shared" si="7"/>
        <v>0</v>
      </c>
      <c r="M64" s="131" t="str">
        <f t="shared" si="8"/>
        <v/>
      </c>
      <c r="N64" s="132">
        <v>0</v>
      </c>
      <c r="O64" s="133">
        <f t="shared" si="9"/>
        <v>0</v>
      </c>
      <c r="P64" s="133">
        <f t="shared" si="10"/>
        <v>0</v>
      </c>
      <c r="Q64" s="131" t="str">
        <f t="shared" si="11"/>
        <v/>
      </c>
    </row>
    <row r="65" spans="1:17" ht="13">
      <c r="A65" s="126">
        <v>58</v>
      </c>
      <c r="B65" s="127"/>
      <c r="C65" s="128"/>
      <c r="D65" s="417"/>
      <c r="E65" s="418"/>
      <c r="F65" s="129">
        <v>0</v>
      </c>
      <c r="G65" s="337"/>
      <c r="H65" s="337"/>
      <c r="I65" s="337"/>
      <c r="J65" s="337"/>
      <c r="K65" s="336">
        <f t="shared" si="6"/>
        <v>0</v>
      </c>
      <c r="L65" s="130">
        <f t="shared" si="7"/>
        <v>0</v>
      </c>
      <c r="M65" s="131" t="str">
        <f t="shared" si="8"/>
        <v/>
      </c>
      <c r="N65" s="132">
        <v>0</v>
      </c>
      <c r="O65" s="133">
        <f t="shared" si="9"/>
        <v>0</v>
      </c>
      <c r="P65" s="133">
        <f t="shared" si="10"/>
        <v>0</v>
      </c>
      <c r="Q65" s="131" t="str">
        <f t="shared" si="11"/>
        <v/>
      </c>
    </row>
    <row r="66" spans="1:17" ht="13">
      <c r="A66" s="126">
        <v>59</v>
      </c>
      <c r="B66" s="127"/>
      <c r="C66" s="128"/>
      <c r="D66" s="417"/>
      <c r="E66" s="418"/>
      <c r="F66" s="129">
        <v>0</v>
      </c>
      <c r="G66" s="337"/>
      <c r="H66" s="337"/>
      <c r="I66" s="337"/>
      <c r="J66" s="337"/>
      <c r="K66" s="336">
        <f t="shared" si="6"/>
        <v>0</v>
      </c>
      <c r="L66" s="130">
        <f t="shared" si="7"/>
        <v>0</v>
      </c>
      <c r="M66" s="131" t="str">
        <f t="shared" si="8"/>
        <v/>
      </c>
      <c r="N66" s="132">
        <v>0</v>
      </c>
      <c r="O66" s="133">
        <f t="shared" si="9"/>
        <v>0</v>
      </c>
      <c r="P66" s="133">
        <f t="shared" si="10"/>
        <v>0</v>
      </c>
      <c r="Q66" s="131" t="str">
        <f t="shared" si="11"/>
        <v/>
      </c>
    </row>
    <row r="67" spans="1:17" ht="13">
      <c r="A67" s="126">
        <v>60</v>
      </c>
      <c r="B67" s="127"/>
      <c r="C67" s="128"/>
      <c r="D67" s="417"/>
      <c r="E67" s="418"/>
      <c r="F67" s="129">
        <v>0</v>
      </c>
      <c r="G67" s="337"/>
      <c r="H67" s="337"/>
      <c r="I67" s="337"/>
      <c r="J67" s="337"/>
      <c r="K67" s="336">
        <f t="shared" si="6"/>
        <v>0</v>
      </c>
      <c r="L67" s="130">
        <f t="shared" si="7"/>
        <v>0</v>
      </c>
      <c r="M67" s="131" t="str">
        <f t="shared" si="8"/>
        <v/>
      </c>
      <c r="N67" s="132">
        <v>0</v>
      </c>
      <c r="O67" s="133">
        <f t="shared" si="9"/>
        <v>0</v>
      </c>
      <c r="P67" s="133">
        <f t="shared" si="10"/>
        <v>0</v>
      </c>
      <c r="Q67" s="131" t="str">
        <f t="shared" si="11"/>
        <v/>
      </c>
    </row>
    <row r="68" spans="1:17" ht="13">
      <c r="A68" s="126">
        <v>61</v>
      </c>
      <c r="B68" s="127"/>
      <c r="C68" s="128"/>
      <c r="D68" s="417"/>
      <c r="E68" s="418"/>
      <c r="F68" s="129">
        <v>0</v>
      </c>
      <c r="G68" s="337"/>
      <c r="H68" s="337"/>
      <c r="I68" s="337"/>
      <c r="J68" s="337"/>
      <c r="K68" s="336">
        <f t="shared" si="6"/>
        <v>0</v>
      </c>
      <c r="L68" s="130">
        <f t="shared" si="7"/>
        <v>0</v>
      </c>
      <c r="M68" s="131" t="str">
        <f t="shared" si="8"/>
        <v/>
      </c>
      <c r="N68" s="132">
        <v>0</v>
      </c>
      <c r="O68" s="133">
        <f t="shared" si="9"/>
        <v>0</v>
      </c>
      <c r="P68" s="133">
        <f t="shared" si="10"/>
        <v>0</v>
      </c>
      <c r="Q68" s="131" t="str">
        <f t="shared" si="11"/>
        <v/>
      </c>
    </row>
    <row r="69" spans="1:17" ht="13">
      <c r="A69" s="126">
        <v>62</v>
      </c>
      <c r="B69" s="127"/>
      <c r="C69" s="128"/>
      <c r="D69" s="417"/>
      <c r="E69" s="418"/>
      <c r="F69" s="129">
        <v>0</v>
      </c>
      <c r="G69" s="337"/>
      <c r="H69" s="337"/>
      <c r="I69" s="337"/>
      <c r="J69" s="337"/>
      <c r="K69" s="336">
        <f t="shared" si="6"/>
        <v>0</v>
      </c>
      <c r="L69" s="130">
        <f t="shared" si="7"/>
        <v>0</v>
      </c>
      <c r="M69" s="131" t="str">
        <f t="shared" si="8"/>
        <v/>
      </c>
      <c r="N69" s="132">
        <v>0</v>
      </c>
      <c r="O69" s="133">
        <f t="shared" si="9"/>
        <v>0</v>
      </c>
      <c r="P69" s="133">
        <f t="shared" si="10"/>
        <v>0</v>
      </c>
      <c r="Q69" s="131" t="str">
        <f t="shared" si="11"/>
        <v/>
      </c>
    </row>
    <row r="70" spans="1:17" ht="13">
      <c r="A70" s="126">
        <v>63</v>
      </c>
      <c r="B70" s="127"/>
      <c r="C70" s="128"/>
      <c r="D70" s="417"/>
      <c r="E70" s="418"/>
      <c r="F70" s="129">
        <v>0</v>
      </c>
      <c r="G70" s="337"/>
      <c r="H70" s="337"/>
      <c r="I70" s="337"/>
      <c r="J70" s="337"/>
      <c r="K70" s="336">
        <f t="shared" si="6"/>
        <v>0</v>
      </c>
      <c r="L70" s="130">
        <f t="shared" si="7"/>
        <v>0</v>
      </c>
      <c r="M70" s="131" t="str">
        <f t="shared" si="8"/>
        <v/>
      </c>
      <c r="N70" s="132">
        <v>0</v>
      </c>
      <c r="O70" s="133">
        <f t="shared" si="9"/>
        <v>0</v>
      </c>
      <c r="P70" s="133">
        <f t="shared" si="10"/>
        <v>0</v>
      </c>
      <c r="Q70" s="131" t="str">
        <f t="shared" si="11"/>
        <v/>
      </c>
    </row>
    <row r="71" spans="1:17" ht="13">
      <c r="A71" s="126">
        <v>64</v>
      </c>
      <c r="B71" s="127"/>
      <c r="C71" s="128"/>
      <c r="D71" s="417"/>
      <c r="E71" s="418"/>
      <c r="F71" s="129">
        <v>0</v>
      </c>
      <c r="G71" s="337"/>
      <c r="H71" s="337"/>
      <c r="I71" s="337"/>
      <c r="J71" s="337"/>
      <c r="K71" s="336">
        <f t="shared" si="6"/>
        <v>0</v>
      </c>
      <c r="L71" s="130">
        <f t="shared" si="7"/>
        <v>0</v>
      </c>
      <c r="M71" s="131" t="str">
        <f t="shared" si="8"/>
        <v/>
      </c>
      <c r="N71" s="132">
        <v>0</v>
      </c>
      <c r="O71" s="133">
        <f t="shared" si="9"/>
        <v>0</v>
      </c>
      <c r="P71" s="133">
        <f t="shared" si="10"/>
        <v>0</v>
      </c>
      <c r="Q71" s="131" t="str">
        <f t="shared" si="11"/>
        <v/>
      </c>
    </row>
    <row r="72" spans="1:17" ht="13">
      <c r="A72" s="126">
        <v>65</v>
      </c>
      <c r="B72" s="127"/>
      <c r="C72" s="128"/>
      <c r="D72" s="417"/>
      <c r="E72" s="418"/>
      <c r="F72" s="129">
        <v>0</v>
      </c>
      <c r="G72" s="337"/>
      <c r="H72" s="337"/>
      <c r="I72" s="337"/>
      <c r="J72" s="337"/>
      <c r="K72" s="336">
        <f t="shared" ref="K72:K103" si="12">MAXA(G72:J72)</f>
        <v>0</v>
      </c>
      <c r="L72" s="130">
        <f t="shared" ref="L72:L103" si="13">F72*K72</f>
        <v>0</v>
      </c>
      <c r="M72" s="131" t="str">
        <f t="shared" ref="M72:M103" si="14">IF(L72&gt;0,RANK(L72,L$8:L$207),"")</f>
        <v/>
      </c>
      <c r="N72" s="132">
        <v>0</v>
      </c>
      <c r="O72" s="133">
        <f t="shared" ref="O72:O103" si="15">N72*Sensib</f>
        <v>0</v>
      </c>
      <c r="P72" s="133">
        <f t="shared" ref="P72:P103" si="16">F72*O72</f>
        <v>0</v>
      </c>
      <c r="Q72" s="131" t="str">
        <f t="shared" ref="Q72:Q103" si="17">IF(P72&gt;0,RANK(P72,AmeaPreVE,0),"")</f>
        <v/>
      </c>
    </row>
    <row r="73" spans="1:17" ht="13">
      <c r="A73" s="126">
        <v>66</v>
      </c>
      <c r="B73" s="127"/>
      <c r="C73" s="128"/>
      <c r="D73" s="417"/>
      <c r="E73" s="418"/>
      <c r="F73" s="129">
        <v>0</v>
      </c>
      <c r="G73" s="337"/>
      <c r="H73" s="337"/>
      <c r="I73" s="337"/>
      <c r="J73" s="337"/>
      <c r="K73" s="336">
        <f t="shared" si="12"/>
        <v>0</v>
      </c>
      <c r="L73" s="130">
        <f t="shared" si="13"/>
        <v>0</v>
      </c>
      <c r="M73" s="131" t="str">
        <f t="shared" si="14"/>
        <v/>
      </c>
      <c r="N73" s="132">
        <v>0</v>
      </c>
      <c r="O73" s="133">
        <f t="shared" si="15"/>
        <v>0</v>
      </c>
      <c r="P73" s="133">
        <f t="shared" si="16"/>
        <v>0</v>
      </c>
      <c r="Q73" s="131" t="str">
        <f t="shared" si="17"/>
        <v/>
      </c>
    </row>
    <row r="74" spans="1:17" ht="13">
      <c r="A74" s="126">
        <v>67</v>
      </c>
      <c r="B74" s="127"/>
      <c r="C74" s="128"/>
      <c r="D74" s="417"/>
      <c r="E74" s="418"/>
      <c r="F74" s="129">
        <v>0</v>
      </c>
      <c r="G74" s="337"/>
      <c r="H74" s="337"/>
      <c r="I74" s="337"/>
      <c r="J74" s="337"/>
      <c r="K74" s="336">
        <f t="shared" si="12"/>
        <v>0</v>
      </c>
      <c r="L74" s="130">
        <f t="shared" si="13"/>
        <v>0</v>
      </c>
      <c r="M74" s="131" t="str">
        <f t="shared" si="14"/>
        <v/>
      </c>
      <c r="N74" s="132">
        <v>0</v>
      </c>
      <c r="O74" s="133">
        <f t="shared" si="15"/>
        <v>0</v>
      </c>
      <c r="P74" s="133">
        <f t="shared" si="16"/>
        <v>0</v>
      </c>
      <c r="Q74" s="131" t="str">
        <f t="shared" si="17"/>
        <v/>
      </c>
    </row>
    <row r="75" spans="1:17" ht="13">
      <c r="A75" s="126">
        <v>68</v>
      </c>
      <c r="B75" s="127"/>
      <c r="C75" s="128"/>
      <c r="D75" s="417"/>
      <c r="E75" s="418"/>
      <c r="F75" s="129">
        <v>0</v>
      </c>
      <c r="G75" s="337"/>
      <c r="H75" s="337"/>
      <c r="I75" s="337"/>
      <c r="J75" s="337"/>
      <c r="K75" s="336">
        <f t="shared" si="12"/>
        <v>0</v>
      </c>
      <c r="L75" s="130">
        <f t="shared" si="13"/>
        <v>0</v>
      </c>
      <c r="M75" s="131" t="str">
        <f t="shared" si="14"/>
        <v/>
      </c>
      <c r="N75" s="132">
        <v>0</v>
      </c>
      <c r="O75" s="133">
        <f t="shared" si="15"/>
        <v>0</v>
      </c>
      <c r="P75" s="133">
        <f t="shared" si="16"/>
        <v>0</v>
      </c>
      <c r="Q75" s="131" t="str">
        <f t="shared" si="17"/>
        <v/>
      </c>
    </row>
    <row r="76" spans="1:17" ht="13">
      <c r="A76" s="126">
        <v>69</v>
      </c>
      <c r="B76" s="127"/>
      <c r="C76" s="128"/>
      <c r="D76" s="417"/>
      <c r="E76" s="418"/>
      <c r="F76" s="129">
        <v>0</v>
      </c>
      <c r="G76" s="337"/>
      <c r="H76" s="337"/>
      <c r="I76" s="337"/>
      <c r="J76" s="337"/>
      <c r="K76" s="336">
        <f t="shared" si="12"/>
        <v>0</v>
      </c>
      <c r="L76" s="130">
        <f t="shared" si="13"/>
        <v>0</v>
      </c>
      <c r="M76" s="131" t="str">
        <f t="shared" si="14"/>
        <v/>
      </c>
      <c r="N76" s="132">
        <v>0</v>
      </c>
      <c r="O76" s="133">
        <f t="shared" si="15"/>
        <v>0</v>
      </c>
      <c r="P76" s="133">
        <f t="shared" si="16"/>
        <v>0</v>
      </c>
      <c r="Q76" s="131" t="str">
        <f t="shared" si="17"/>
        <v/>
      </c>
    </row>
    <row r="77" spans="1:17" ht="13">
      <c r="A77" s="126">
        <v>70</v>
      </c>
      <c r="B77" s="127"/>
      <c r="C77" s="128"/>
      <c r="D77" s="417"/>
      <c r="E77" s="418"/>
      <c r="F77" s="129">
        <v>0</v>
      </c>
      <c r="G77" s="337"/>
      <c r="H77" s="337"/>
      <c r="I77" s="337"/>
      <c r="J77" s="337"/>
      <c r="K77" s="336">
        <f t="shared" si="12"/>
        <v>0</v>
      </c>
      <c r="L77" s="130">
        <f t="shared" si="13"/>
        <v>0</v>
      </c>
      <c r="M77" s="131" t="str">
        <f t="shared" si="14"/>
        <v/>
      </c>
      <c r="N77" s="132">
        <v>0</v>
      </c>
      <c r="O77" s="133">
        <f t="shared" si="15"/>
        <v>0</v>
      </c>
      <c r="P77" s="133">
        <f t="shared" si="16"/>
        <v>0</v>
      </c>
      <c r="Q77" s="131" t="str">
        <f t="shared" si="17"/>
        <v/>
      </c>
    </row>
    <row r="78" spans="1:17" ht="13">
      <c r="A78" s="126">
        <v>71</v>
      </c>
      <c r="B78" s="127"/>
      <c r="C78" s="128"/>
      <c r="D78" s="417"/>
      <c r="E78" s="418"/>
      <c r="F78" s="129">
        <v>0</v>
      </c>
      <c r="G78" s="337"/>
      <c r="H78" s="337"/>
      <c r="I78" s="337"/>
      <c r="J78" s="337"/>
      <c r="K78" s="336">
        <f t="shared" si="12"/>
        <v>0</v>
      </c>
      <c r="L78" s="130">
        <f t="shared" si="13"/>
        <v>0</v>
      </c>
      <c r="M78" s="131" t="str">
        <f t="shared" si="14"/>
        <v/>
      </c>
      <c r="N78" s="132">
        <v>0</v>
      </c>
      <c r="O78" s="133">
        <f t="shared" si="15"/>
        <v>0</v>
      </c>
      <c r="P78" s="133">
        <f t="shared" si="16"/>
        <v>0</v>
      </c>
      <c r="Q78" s="131" t="str">
        <f t="shared" si="17"/>
        <v/>
      </c>
    </row>
    <row r="79" spans="1:17" ht="13">
      <c r="A79" s="126">
        <v>72</v>
      </c>
      <c r="B79" s="127"/>
      <c r="C79" s="128"/>
      <c r="D79" s="417"/>
      <c r="E79" s="418"/>
      <c r="F79" s="129">
        <v>0</v>
      </c>
      <c r="G79" s="337"/>
      <c r="H79" s="337"/>
      <c r="I79" s="337"/>
      <c r="J79" s="337"/>
      <c r="K79" s="336">
        <f t="shared" si="12"/>
        <v>0</v>
      </c>
      <c r="L79" s="130">
        <f t="shared" si="13"/>
        <v>0</v>
      </c>
      <c r="M79" s="131" t="str">
        <f t="shared" si="14"/>
        <v/>
      </c>
      <c r="N79" s="132">
        <v>0</v>
      </c>
      <c r="O79" s="133">
        <f t="shared" si="15"/>
        <v>0</v>
      </c>
      <c r="P79" s="133">
        <f t="shared" si="16"/>
        <v>0</v>
      </c>
      <c r="Q79" s="131" t="str">
        <f t="shared" si="17"/>
        <v/>
      </c>
    </row>
    <row r="80" spans="1:17" ht="13">
      <c r="A80" s="126">
        <v>73</v>
      </c>
      <c r="B80" s="127"/>
      <c r="C80" s="128"/>
      <c r="D80" s="417"/>
      <c r="E80" s="418"/>
      <c r="F80" s="129">
        <v>0</v>
      </c>
      <c r="G80" s="337"/>
      <c r="H80" s="337"/>
      <c r="I80" s="337"/>
      <c r="J80" s="337"/>
      <c r="K80" s="336">
        <f t="shared" si="12"/>
        <v>0</v>
      </c>
      <c r="L80" s="130">
        <f t="shared" si="13"/>
        <v>0</v>
      </c>
      <c r="M80" s="131" t="str">
        <f t="shared" si="14"/>
        <v/>
      </c>
      <c r="N80" s="132">
        <v>0</v>
      </c>
      <c r="O80" s="133">
        <f t="shared" si="15"/>
        <v>0</v>
      </c>
      <c r="P80" s="133">
        <f t="shared" si="16"/>
        <v>0</v>
      </c>
      <c r="Q80" s="131" t="str">
        <f t="shared" si="17"/>
        <v/>
      </c>
    </row>
    <row r="81" spans="1:17" ht="13">
      <c r="A81" s="126">
        <v>74</v>
      </c>
      <c r="B81" s="127"/>
      <c r="C81" s="128"/>
      <c r="D81" s="417"/>
      <c r="E81" s="418"/>
      <c r="F81" s="129">
        <v>0</v>
      </c>
      <c r="G81" s="337"/>
      <c r="H81" s="337"/>
      <c r="I81" s="337"/>
      <c r="J81" s="337"/>
      <c r="K81" s="336">
        <f t="shared" si="12"/>
        <v>0</v>
      </c>
      <c r="L81" s="130">
        <f t="shared" si="13"/>
        <v>0</v>
      </c>
      <c r="M81" s="131" t="str">
        <f t="shared" si="14"/>
        <v/>
      </c>
      <c r="N81" s="132">
        <v>0</v>
      </c>
      <c r="O81" s="133">
        <f t="shared" si="15"/>
        <v>0</v>
      </c>
      <c r="P81" s="133">
        <f t="shared" si="16"/>
        <v>0</v>
      </c>
      <c r="Q81" s="131" t="str">
        <f t="shared" si="17"/>
        <v/>
      </c>
    </row>
    <row r="82" spans="1:17" ht="13">
      <c r="A82" s="126">
        <v>75</v>
      </c>
      <c r="B82" s="127"/>
      <c r="C82" s="128"/>
      <c r="D82" s="417"/>
      <c r="E82" s="418"/>
      <c r="F82" s="129">
        <v>0</v>
      </c>
      <c r="G82" s="337"/>
      <c r="H82" s="337"/>
      <c r="I82" s="337"/>
      <c r="J82" s="337"/>
      <c r="K82" s="336">
        <f t="shared" si="12"/>
        <v>0</v>
      </c>
      <c r="L82" s="130">
        <f t="shared" si="13"/>
        <v>0</v>
      </c>
      <c r="M82" s="131" t="str">
        <f t="shared" si="14"/>
        <v/>
      </c>
      <c r="N82" s="132">
        <v>0</v>
      </c>
      <c r="O82" s="133">
        <f t="shared" si="15"/>
        <v>0</v>
      </c>
      <c r="P82" s="133">
        <f t="shared" si="16"/>
        <v>0</v>
      </c>
      <c r="Q82" s="131" t="str">
        <f t="shared" si="17"/>
        <v/>
      </c>
    </row>
    <row r="83" spans="1:17" ht="13">
      <c r="A83" s="126">
        <v>76</v>
      </c>
      <c r="B83" s="127"/>
      <c r="C83" s="128"/>
      <c r="D83" s="417"/>
      <c r="E83" s="418"/>
      <c r="F83" s="129">
        <v>0</v>
      </c>
      <c r="G83" s="337"/>
      <c r="H83" s="337"/>
      <c r="I83" s="337"/>
      <c r="J83" s="337"/>
      <c r="K83" s="336">
        <f t="shared" si="12"/>
        <v>0</v>
      </c>
      <c r="L83" s="130">
        <f t="shared" si="13"/>
        <v>0</v>
      </c>
      <c r="M83" s="131" t="str">
        <f t="shared" si="14"/>
        <v/>
      </c>
      <c r="N83" s="132">
        <v>0</v>
      </c>
      <c r="O83" s="133">
        <f t="shared" si="15"/>
        <v>0</v>
      </c>
      <c r="P83" s="133">
        <f t="shared" si="16"/>
        <v>0</v>
      </c>
      <c r="Q83" s="131" t="str">
        <f t="shared" si="17"/>
        <v/>
      </c>
    </row>
    <row r="84" spans="1:17" ht="13">
      <c r="A84" s="126">
        <v>77</v>
      </c>
      <c r="B84" s="127"/>
      <c r="C84" s="128"/>
      <c r="D84" s="417"/>
      <c r="E84" s="418"/>
      <c r="F84" s="129">
        <v>0</v>
      </c>
      <c r="G84" s="337"/>
      <c r="H84" s="337"/>
      <c r="I84" s="337"/>
      <c r="J84" s="337"/>
      <c r="K84" s="336">
        <f t="shared" si="12"/>
        <v>0</v>
      </c>
      <c r="L84" s="130">
        <f t="shared" si="13"/>
        <v>0</v>
      </c>
      <c r="M84" s="131" t="str">
        <f t="shared" si="14"/>
        <v/>
      </c>
      <c r="N84" s="132">
        <v>0</v>
      </c>
      <c r="O84" s="133">
        <f t="shared" si="15"/>
        <v>0</v>
      </c>
      <c r="P84" s="133">
        <f t="shared" si="16"/>
        <v>0</v>
      </c>
      <c r="Q84" s="131" t="str">
        <f t="shared" si="17"/>
        <v/>
      </c>
    </row>
    <row r="85" spans="1:17" ht="13">
      <c r="A85" s="126">
        <v>78</v>
      </c>
      <c r="B85" s="127"/>
      <c r="C85" s="128"/>
      <c r="D85" s="417"/>
      <c r="E85" s="418"/>
      <c r="F85" s="129">
        <v>0</v>
      </c>
      <c r="G85" s="337"/>
      <c r="H85" s="337"/>
      <c r="I85" s="337"/>
      <c r="J85" s="337"/>
      <c r="K85" s="336">
        <f t="shared" si="12"/>
        <v>0</v>
      </c>
      <c r="L85" s="130">
        <f t="shared" si="13"/>
        <v>0</v>
      </c>
      <c r="M85" s="131" t="str">
        <f t="shared" si="14"/>
        <v/>
      </c>
      <c r="N85" s="132">
        <v>0</v>
      </c>
      <c r="O85" s="133">
        <f t="shared" si="15"/>
        <v>0</v>
      </c>
      <c r="P85" s="133">
        <f t="shared" si="16"/>
        <v>0</v>
      </c>
      <c r="Q85" s="131" t="str">
        <f t="shared" si="17"/>
        <v/>
      </c>
    </row>
    <row r="86" spans="1:17" ht="13">
      <c r="A86" s="126">
        <v>79</v>
      </c>
      <c r="B86" s="127"/>
      <c r="C86" s="128"/>
      <c r="D86" s="417"/>
      <c r="E86" s="418"/>
      <c r="F86" s="129">
        <v>0</v>
      </c>
      <c r="G86" s="337"/>
      <c r="H86" s="337"/>
      <c r="I86" s="337"/>
      <c r="J86" s="337"/>
      <c r="K86" s="336">
        <f t="shared" si="12"/>
        <v>0</v>
      </c>
      <c r="L86" s="130">
        <f t="shared" si="13"/>
        <v>0</v>
      </c>
      <c r="M86" s="131" t="str">
        <f t="shared" si="14"/>
        <v/>
      </c>
      <c r="N86" s="132">
        <v>0</v>
      </c>
      <c r="O86" s="133">
        <f t="shared" si="15"/>
        <v>0</v>
      </c>
      <c r="P86" s="133">
        <f t="shared" si="16"/>
        <v>0</v>
      </c>
      <c r="Q86" s="131" t="str">
        <f t="shared" si="17"/>
        <v/>
      </c>
    </row>
    <row r="87" spans="1:17" ht="13">
      <c r="A87" s="126">
        <v>80</v>
      </c>
      <c r="B87" s="127"/>
      <c r="C87" s="128"/>
      <c r="D87" s="417"/>
      <c r="E87" s="418"/>
      <c r="F87" s="129">
        <v>0</v>
      </c>
      <c r="G87" s="337"/>
      <c r="H87" s="337"/>
      <c r="I87" s="337"/>
      <c r="J87" s="337"/>
      <c r="K87" s="336">
        <f t="shared" si="12"/>
        <v>0</v>
      </c>
      <c r="L87" s="130">
        <f t="shared" si="13"/>
        <v>0</v>
      </c>
      <c r="M87" s="131" t="str">
        <f t="shared" si="14"/>
        <v/>
      </c>
      <c r="N87" s="132">
        <v>0</v>
      </c>
      <c r="O87" s="133">
        <f t="shared" si="15"/>
        <v>0</v>
      </c>
      <c r="P87" s="133">
        <f t="shared" si="16"/>
        <v>0</v>
      </c>
      <c r="Q87" s="131" t="str">
        <f t="shared" si="17"/>
        <v/>
      </c>
    </row>
    <row r="88" spans="1:17" ht="13">
      <c r="A88" s="126">
        <v>81</v>
      </c>
      <c r="B88" s="127"/>
      <c r="C88" s="128"/>
      <c r="D88" s="417"/>
      <c r="E88" s="418"/>
      <c r="F88" s="129">
        <v>0</v>
      </c>
      <c r="G88" s="337"/>
      <c r="H88" s="337"/>
      <c r="I88" s="337"/>
      <c r="J88" s="337"/>
      <c r="K88" s="336">
        <f t="shared" si="12"/>
        <v>0</v>
      </c>
      <c r="L88" s="130">
        <f t="shared" si="13"/>
        <v>0</v>
      </c>
      <c r="M88" s="131" t="str">
        <f t="shared" si="14"/>
        <v/>
      </c>
      <c r="N88" s="132">
        <v>0</v>
      </c>
      <c r="O88" s="133">
        <f t="shared" si="15"/>
        <v>0</v>
      </c>
      <c r="P88" s="133">
        <f t="shared" si="16"/>
        <v>0</v>
      </c>
      <c r="Q88" s="131" t="str">
        <f t="shared" si="17"/>
        <v/>
      </c>
    </row>
    <row r="89" spans="1:17" ht="13">
      <c r="A89" s="126">
        <v>82</v>
      </c>
      <c r="B89" s="127"/>
      <c r="C89" s="128"/>
      <c r="D89" s="417"/>
      <c r="E89" s="418"/>
      <c r="F89" s="129">
        <v>0</v>
      </c>
      <c r="G89" s="337"/>
      <c r="H89" s="337"/>
      <c r="I89" s="337"/>
      <c r="J89" s="337"/>
      <c r="K89" s="336">
        <f t="shared" si="12"/>
        <v>0</v>
      </c>
      <c r="L89" s="130">
        <f t="shared" si="13"/>
        <v>0</v>
      </c>
      <c r="M89" s="131" t="str">
        <f t="shared" si="14"/>
        <v/>
      </c>
      <c r="N89" s="132">
        <v>0</v>
      </c>
      <c r="O89" s="133">
        <f t="shared" si="15"/>
        <v>0</v>
      </c>
      <c r="P89" s="133">
        <f t="shared" si="16"/>
        <v>0</v>
      </c>
      <c r="Q89" s="131" t="str">
        <f t="shared" si="17"/>
        <v/>
      </c>
    </row>
    <row r="90" spans="1:17" ht="13">
      <c r="A90" s="126">
        <v>83</v>
      </c>
      <c r="B90" s="127"/>
      <c r="C90" s="128"/>
      <c r="D90" s="417"/>
      <c r="E90" s="418"/>
      <c r="F90" s="129">
        <v>0</v>
      </c>
      <c r="G90" s="337"/>
      <c r="H90" s="337"/>
      <c r="I90" s="337"/>
      <c r="J90" s="337"/>
      <c r="K90" s="336">
        <f t="shared" si="12"/>
        <v>0</v>
      </c>
      <c r="L90" s="130">
        <f t="shared" si="13"/>
        <v>0</v>
      </c>
      <c r="M90" s="131" t="str">
        <f t="shared" si="14"/>
        <v/>
      </c>
      <c r="N90" s="132">
        <v>0</v>
      </c>
      <c r="O90" s="133">
        <f t="shared" si="15"/>
        <v>0</v>
      </c>
      <c r="P90" s="133">
        <f t="shared" si="16"/>
        <v>0</v>
      </c>
      <c r="Q90" s="131" t="str">
        <f t="shared" si="17"/>
        <v/>
      </c>
    </row>
    <row r="91" spans="1:17" ht="13">
      <c r="A91" s="126">
        <v>84</v>
      </c>
      <c r="B91" s="127"/>
      <c r="C91" s="128"/>
      <c r="D91" s="417"/>
      <c r="E91" s="418"/>
      <c r="F91" s="129">
        <v>0</v>
      </c>
      <c r="G91" s="337"/>
      <c r="H91" s="337"/>
      <c r="I91" s="337"/>
      <c r="J91" s="337"/>
      <c r="K91" s="336">
        <f t="shared" si="12"/>
        <v>0</v>
      </c>
      <c r="L91" s="130">
        <f t="shared" si="13"/>
        <v>0</v>
      </c>
      <c r="M91" s="131" t="str">
        <f t="shared" si="14"/>
        <v/>
      </c>
      <c r="N91" s="132">
        <v>0</v>
      </c>
      <c r="O91" s="133">
        <f t="shared" si="15"/>
        <v>0</v>
      </c>
      <c r="P91" s="133">
        <f t="shared" si="16"/>
        <v>0</v>
      </c>
      <c r="Q91" s="131" t="str">
        <f t="shared" si="17"/>
        <v/>
      </c>
    </row>
    <row r="92" spans="1:17" ht="13">
      <c r="A92" s="126">
        <v>85</v>
      </c>
      <c r="B92" s="127"/>
      <c r="C92" s="128"/>
      <c r="D92" s="417"/>
      <c r="E92" s="418"/>
      <c r="F92" s="129">
        <v>0</v>
      </c>
      <c r="G92" s="337"/>
      <c r="H92" s="337"/>
      <c r="I92" s="337"/>
      <c r="J92" s="337"/>
      <c r="K92" s="336">
        <f t="shared" si="12"/>
        <v>0</v>
      </c>
      <c r="L92" s="130">
        <f t="shared" si="13"/>
        <v>0</v>
      </c>
      <c r="M92" s="131" t="str">
        <f t="shared" si="14"/>
        <v/>
      </c>
      <c r="N92" s="132">
        <v>0</v>
      </c>
      <c r="O92" s="133">
        <f t="shared" si="15"/>
        <v>0</v>
      </c>
      <c r="P92" s="133">
        <f t="shared" si="16"/>
        <v>0</v>
      </c>
      <c r="Q92" s="131" t="str">
        <f t="shared" si="17"/>
        <v/>
      </c>
    </row>
    <row r="93" spans="1:17" ht="13">
      <c r="A93" s="126">
        <v>86</v>
      </c>
      <c r="B93" s="127"/>
      <c r="C93" s="128"/>
      <c r="D93" s="417"/>
      <c r="E93" s="418"/>
      <c r="F93" s="129">
        <v>0</v>
      </c>
      <c r="G93" s="337"/>
      <c r="H93" s="337"/>
      <c r="I93" s="337"/>
      <c r="J93" s="337"/>
      <c r="K93" s="336">
        <f t="shared" si="12"/>
        <v>0</v>
      </c>
      <c r="L93" s="130">
        <f t="shared" si="13"/>
        <v>0</v>
      </c>
      <c r="M93" s="131" t="str">
        <f t="shared" si="14"/>
        <v/>
      </c>
      <c r="N93" s="132">
        <v>0</v>
      </c>
      <c r="O93" s="133">
        <f t="shared" si="15"/>
        <v>0</v>
      </c>
      <c r="P93" s="133">
        <f t="shared" si="16"/>
        <v>0</v>
      </c>
      <c r="Q93" s="131" t="str">
        <f t="shared" si="17"/>
        <v/>
      </c>
    </row>
    <row r="94" spans="1:17" ht="13">
      <c r="A94" s="126">
        <v>87</v>
      </c>
      <c r="B94" s="127"/>
      <c r="C94" s="128"/>
      <c r="D94" s="417"/>
      <c r="E94" s="418"/>
      <c r="F94" s="129">
        <v>0</v>
      </c>
      <c r="G94" s="337"/>
      <c r="H94" s="337"/>
      <c r="I94" s="337"/>
      <c r="J94" s="337"/>
      <c r="K94" s="336">
        <f t="shared" si="12"/>
        <v>0</v>
      </c>
      <c r="L94" s="130">
        <f t="shared" si="13"/>
        <v>0</v>
      </c>
      <c r="M94" s="131" t="str">
        <f t="shared" si="14"/>
        <v/>
      </c>
      <c r="N94" s="132">
        <v>0</v>
      </c>
      <c r="O94" s="133">
        <f t="shared" si="15"/>
        <v>0</v>
      </c>
      <c r="P94" s="133">
        <f t="shared" si="16"/>
        <v>0</v>
      </c>
      <c r="Q94" s="131" t="str">
        <f t="shared" si="17"/>
        <v/>
      </c>
    </row>
    <row r="95" spans="1:17" ht="13">
      <c r="A95" s="126">
        <v>88</v>
      </c>
      <c r="B95" s="127"/>
      <c r="C95" s="128"/>
      <c r="D95" s="417"/>
      <c r="E95" s="418"/>
      <c r="F95" s="129">
        <v>0</v>
      </c>
      <c r="G95" s="337"/>
      <c r="H95" s="337"/>
      <c r="I95" s="337"/>
      <c r="J95" s="337"/>
      <c r="K95" s="336">
        <f t="shared" si="12"/>
        <v>0</v>
      </c>
      <c r="L95" s="130">
        <f t="shared" si="13"/>
        <v>0</v>
      </c>
      <c r="M95" s="131" t="str">
        <f t="shared" si="14"/>
        <v/>
      </c>
      <c r="N95" s="132">
        <v>0</v>
      </c>
      <c r="O95" s="133">
        <f t="shared" si="15"/>
        <v>0</v>
      </c>
      <c r="P95" s="133">
        <f t="shared" si="16"/>
        <v>0</v>
      </c>
      <c r="Q95" s="131" t="str">
        <f t="shared" si="17"/>
        <v/>
      </c>
    </row>
    <row r="96" spans="1:17" ht="13">
      <c r="A96" s="126">
        <v>89</v>
      </c>
      <c r="B96" s="127"/>
      <c r="C96" s="128"/>
      <c r="D96" s="417"/>
      <c r="E96" s="418"/>
      <c r="F96" s="129">
        <v>0</v>
      </c>
      <c r="G96" s="337"/>
      <c r="H96" s="337"/>
      <c r="I96" s="337"/>
      <c r="J96" s="337"/>
      <c r="K96" s="336">
        <f t="shared" si="12"/>
        <v>0</v>
      </c>
      <c r="L96" s="130">
        <f t="shared" si="13"/>
        <v>0</v>
      </c>
      <c r="M96" s="131" t="str">
        <f t="shared" si="14"/>
        <v/>
      </c>
      <c r="N96" s="132">
        <v>0</v>
      </c>
      <c r="O96" s="133">
        <f t="shared" si="15"/>
        <v>0</v>
      </c>
      <c r="P96" s="133">
        <f t="shared" si="16"/>
        <v>0</v>
      </c>
      <c r="Q96" s="131" t="str">
        <f t="shared" si="17"/>
        <v/>
      </c>
    </row>
    <row r="97" spans="1:17" ht="13">
      <c r="A97" s="126">
        <v>90</v>
      </c>
      <c r="B97" s="127"/>
      <c r="C97" s="128"/>
      <c r="D97" s="417"/>
      <c r="E97" s="418"/>
      <c r="F97" s="129">
        <v>0</v>
      </c>
      <c r="G97" s="337"/>
      <c r="H97" s="337"/>
      <c r="I97" s="337"/>
      <c r="J97" s="337"/>
      <c r="K97" s="336">
        <f t="shared" si="12"/>
        <v>0</v>
      </c>
      <c r="L97" s="130">
        <f t="shared" si="13"/>
        <v>0</v>
      </c>
      <c r="M97" s="131" t="str">
        <f t="shared" si="14"/>
        <v/>
      </c>
      <c r="N97" s="132">
        <v>0</v>
      </c>
      <c r="O97" s="133">
        <f t="shared" si="15"/>
        <v>0</v>
      </c>
      <c r="P97" s="133">
        <f t="shared" si="16"/>
        <v>0</v>
      </c>
      <c r="Q97" s="131" t="str">
        <f t="shared" si="17"/>
        <v/>
      </c>
    </row>
    <row r="98" spans="1:17" ht="13">
      <c r="A98" s="126">
        <v>91</v>
      </c>
      <c r="B98" s="127"/>
      <c r="C98" s="128"/>
      <c r="D98" s="417"/>
      <c r="E98" s="418"/>
      <c r="F98" s="129">
        <v>0</v>
      </c>
      <c r="G98" s="337"/>
      <c r="H98" s="337"/>
      <c r="I98" s="337"/>
      <c r="J98" s="337"/>
      <c r="K98" s="336">
        <f t="shared" si="12"/>
        <v>0</v>
      </c>
      <c r="L98" s="130">
        <f t="shared" si="13"/>
        <v>0</v>
      </c>
      <c r="M98" s="131" t="str">
        <f t="shared" si="14"/>
        <v/>
      </c>
      <c r="N98" s="132">
        <v>0</v>
      </c>
      <c r="O98" s="133">
        <f t="shared" si="15"/>
        <v>0</v>
      </c>
      <c r="P98" s="133">
        <f t="shared" si="16"/>
        <v>0</v>
      </c>
      <c r="Q98" s="131" t="str">
        <f t="shared" si="17"/>
        <v/>
      </c>
    </row>
    <row r="99" spans="1:17" ht="13">
      <c r="A99" s="126">
        <v>92</v>
      </c>
      <c r="B99" s="127"/>
      <c r="C99" s="128"/>
      <c r="D99" s="417"/>
      <c r="E99" s="418"/>
      <c r="F99" s="129">
        <v>0</v>
      </c>
      <c r="G99" s="337"/>
      <c r="H99" s="337"/>
      <c r="I99" s="337"/>
      <c r="J99" s="337"/>
      <c r="K99" s="336">
        <f t="shared" si="12"/>
        <v>0</v>
      </c>
      <c r="L99" s="130">
        <f t="shared" si="13"/>
        <v>0</v>
      </c>
      <c r="M99" s="131" t="str">
        <f t="shared" si="14"/>
        <v/>
      </c>
      <c r="N99" s="132">
        <v>0</v>
      </c>
      <c r="O99" s="133">
        <f t="shared" si="15"/>
        <v>0</v>
      </c>
      <c r="P99" s="133">
        <f t="shared" si="16"/>
        <v>0</v>
      </c>
      <c r="Q99" s="131" t="str">
        <f t="shared" si="17"/>
        <v/>
      </c>
    </row>
    <row r="100" spans="1:17" ht="13">
      <c r="A100" s="126">
        <v>93</v>
      </c>
      <c r="B100" s="127"/>
      <c r="C100" s="128"/>
      <c r="D100" s="417"/>
      <c r="E100" s="418"/>
      <c r="F100" s="129">
        <v>0</v>
      </c>
      <c r="G100" s="337"/>
      <c r="H100" s="337"/>
      <c r="I100" s="337"/>
      <c r="J100" s="337"/>
      <c r="K100" s="336">
        <f t="shared" si="12"/>
        <v>0</v>
      </c>
      <c r="L100" s="130">
        <f t="shared" si="13"/>
        <v>0</v>
      </c>
      <c r="M100" s="131" t="str">
        <f t="shared" si="14"/>
        <v/>
      </c>
      <c r="N100" s="132">
        <v>0</v>
      </c>
      <c r="O100" s="133">
        <f t="shared" si="15"/>
        <v>0</v>
      </c>
      <c r="P100" s="133">
        <f t="shared" si="16"/>
        <v>0</v>
      </c>
      <c r="Q100" s="131" t="str">
        <f t="shared" si="17"/>
        <v/>
      </c>
    </row>
    <row r="101" spans="1:17" ht="13">
      <c r="A101" s="126">
        <v>94</v>
      </c>
      <c r="B101" s="127"/>
      <c r="C101" s="128"/>
      <c r="D101" s="417"/>
      <c r="E101" s="418"/>
      <c r="F101" s="129">
        <v>0</v>
      </c>
      <c r="G101" s="337"/>
      <c r="H101" s="337"/>
      <c r="I101" s="337"/>
      <c r="J101" s="337"/>
      <c r="K101" s="336">
        <f t="shared" si="12"/>
        <v>0</v>
      </c>
      <c r="L101" s="130">
        <f t="shared" si="13"/>
        <v>0</v>
      </c>
      <c r="M101" s="131" t="str">
        <f t="shared" si="14"/>
        <v/>
      </c>
      <c r="N101" s="132">
        <v>0</v>
      </c>
      <c r="O101" s="133">
        <f t="shared" si="15"/>
        <v>0</v>
      </c>
      <c r="P101" s="133">
        <f t="shared" si="16"/>
        <v>0</v>
      </c>
      <c r="Q101" s="131" t="str">
        <f t="shared" si="17"/>
        <v/>
      </c>
    </row>
    <row r="102" spans="1:17" ht="13">
      <c r="A102" s="126">
        <v>95</v>
      </c>
      <c r="B102" s="127"/>
      <c r="C102" s="128"/>
      <c r="D102" s="417"/>
      <c r="E102" s="418"/>
      <c r="F102" s="129">
        <v>0</v>
      </c>
      <c r="G102" s="337"/>
      <c r="H102" s="337"/>
      <c r="I102" s="337"/>
      <c r="J102" s="337"/>
      <c r="K102" s="336">
        <f t="shared" si="12"/>
        <v>0</v>
      </c>
      <c r="L102" s="130">
        <f t="shared" si="13"/>
        <v>0</v>
      </c>
      <c r="M102" s="131" t="str">
        <f t="shared" si="14"/>
        <v/>
      </c>
      <c r="N102" s="132">
        <v>0</v>
      </c>
      <c r="O102" s="133">
        <f t="shared" si="15"/>
        <v>0</v>
      </c>
      <c r="P102" s="133">
        <f t="shared" si="16"/>
        <v>0</v>
      </c>
      <c r="Q102" s="131" t="str">
        <f t="shared" si="17"/>
        <v/>
      </c>
    </row>
    <row r="103" spans="1:17" ht="13">
      <c r="A103" s="126">
        <v>96</v>
      </c>
      <c r="B103" s="127"/>
      <c r="C103" s="128"/>
      <c r="D103" s="417"/>
      <c r="E103" s="418"/>
      <c r="F103" s="129">
        <v>0</v>
      </c>
      <c r="G103" s="337"/>
      <c r="H103" s="337"/>
      <c r="I103" s="337"/>
      <c r="J103" s="337"/>
      <c r="K103" s="336">
        <f t="shared" si="12"/>
        <v>0</v>
      </c>
      <c r="L103" s="130">
        <f t="shared" si="13"/>
        <v>0</v>
      </c>
      <c r="M103" s="131" t="str">
        <f t="shared" si="14"/>
        <v/>
      </c>
      <c r="N103" s="132">
        <v>0</v>
      </c>
      <c r="O103" s="133">
        <f t="shared" si="15"/>
        <v>0</v>
      </c>
      <c r="P103" s="133">
        <f t="shared" si="16"/>
        <v>0</v>
      </c>
      <c r="Q103" s="131" t="str">
        <f t="shared" si="17"/>
        <v/>
      </c>
    </row>
    <row r="104" spans="1:17" ht="13">
      <c r="A104" s="126">
        <v>97</v>
      </c>
      <c r="B104" s="127"/>
      <c r="C104" s="128"/>
      <c r="D104" s="417"/>
      <c r="E104" s="418"/>
      <c r="F104" s="129">
        <v>0</v>
      </c>
      <c r="G104" s="337"/>
      <c r="H104" s="337"/>
      <c r="I104" s="337"/>
      <c r="J104" s="337"/>
      <c r="K104" s="336">
        <f t="shared" ref="K104:K135" si="18">MAXA(G104:J104)</f>
        <v>0</v>
      </c>
      <c r="L104" s="130">
        <f t="shared" ref="L104:L135" si="19">F104*K104</f>
        <v>0</v>
      </c>
      <c r="M104" s="131" t="str">
        <f t="shared" ref="M104:M135" si="20">IF(L104&gt;0,RANK(L104,L$8:L$207),"")</f>
        <v/>
      </c>
      <c r="N104" s="132">
        <v>0</v>
      </c>
      <c r="O104" s="133">
        <f t="shared" ref="O104:O135" si="21">N104*Sensib</f>
        <v>0</v>
      </c>
      <c r="P104" s="133">
        <f t="shared" ref="P104:P135" si="22">F104*O104</f>
        <v>0</v>
      </c>
      <c r="Q104" s="131" t="str">
        <f t="shared" ref="Q104:Q135" si="23">IF(P104&gt;0,RANK(P104,AmeaPreVE,0),"")</f>
        <v/>
      </c>
    </row>
    <row r="105" spans="1:17" ht="13">
      <c r="A105" s="126">
        <v>98</v>
      </c>
      <c r="B105" s="127"/>
      <c r="C105" s="128"/>
      <c r="D105" s="417"/>
      <c r="E105" s="418"/>
      <c r="F105" s="129">
        <v>0</v>
      </c>
      <c r="G105" s="337"/>
      <c r="H105" s="337"/>
      <c r="I105" s="337"/>
      <c r="J105" s="337"/>
      <c r="K105" s="336">
        <f t="shared" si="18"/>
        <v>0</v>
      </c>
      <c r="L105" s="130">
        <f t="shared" si="19"/>
        <v>0</v>
      </c>
      <c r="M105" s="131" t="str">
        <f t="shared" si="20"/>
        <v/>
      </c>
      <c r="N105" s="132">
        <v>0</v>
      </c>
      <c r="O105" s="133">
        <f t="shared" si="21"/>
        <v>0</v>
      </c>
      <c r="P105" s="133">
        <f t="shared" si="22"/>
        <v>0</v>
      </c>
      <c r="Q105" s="131" t="str">
        <f t="shared" si="23"/>
        <v/>
      </c>
    </row>
    <row r="106" spans="1:17" ht="13">
      <c r="A106" s="126">
        <v>99</v>
      </c>
      <c r="B106" s="127"/>
      <c r="C106" s="128"/>
      <c r="D106" s="417"/>
      <c r="E106" s="418"/>
      <c r="F106" s="129">
        <v>0</v>
      </c>
      <c r="G106" s="337"/>
      <c r="H106" s="337"/>
      <c r="I106" s="337"/>
      <c r="J106" s="337"/>
      <c r="K106" s="336">
        <f t="shared" si="18"/>
        <v>0</v>
      </c>
      <c r="L106" s="130">
        <f t="shared" si="19"/>
        <v>0</v>
      </c>
      <c r="M106" s="131" t="str">
        <f t="shared" si="20"/>
        <v/>
      </c>
      <c r="N106" s="132">
        <v>0</v>
      </c>
      <c r="O106" s="133">
        <f t="shared" si="21"/>
        <v>0</v>
      </c>
      <c r="P106" s="133">
        <f t="shared" si="22"/>
        <v>0</v>
      </c>
      <c r="Q106" s="131" t="str">
        <f t="shared" si="23"/>
        <v/>
      </c>
    </row>
    <row r="107" spans="1:17" ht="13">
      <c r="A107" s="126">
        <v>100</v>
      </c>
      <c r="B107" s="127"/>
      <c r="C107" s="128"/>
      <c r="D107" s="417"/>
      <c r="E107" s="418"/>
      <c r="F107" s="129">
        <v>0</v>
      </c>
      <c r="G107" s="337"/>
      <c r="H107" s="337"/>
      <c r="I107" s="337"/>
      <c r="J107" s="337"/>
      <c r="K107" s="336">
        <f t="shared" si="18"/>
        <v>0</v>
      </c>
      <c r="L107" s="130">
        <f t="shared" si="19"/>
        <v>0</v>
      </c>
      <c r="M107" s="131" t="str">
        <f t="shared" si="20"/>
        <v/>
      </c>
      <c r="N107" s="132">
        <v>0</v>
      </c>
      <c r="O107" s="133">
        <f t="shared" si="21"/>
        <v>0</v>
      </c>
      <c r="P107" s="133">
        <f t="shared" si="22"/>
        <v>0</v>
      </c>
      <c r="Q107" s="131" t="str">
        <f t="shared" si="23"/>
        <v/>
      </c>
    </row>
    <row r="108" spans="1:17" ht="13">
      <c r="A108" s="126">
        <v>101</v>
      </c>
      <c r="B108" s="127"/>
      <c r="C108" s="128"/>
      <c r="D108" s="417"/>
      <c r="E108" s="418"/>
      <c r="F108" s="129">
        <v>0</v>
      </c>
      <c r="G108" s="337"/>
      <c r="H108" s="337"/>
      <c r="I108" s="337"/>
      <c r="J108" s="337"/>
      <c r="K108" s="336">
        <f t="shared" si="18"/>
        <v>0</v>
      </c>
      <c r="L108" s="130">
        <f t="shared" si="19"/>
        <v>0</v>
      </c>
      <c r="M108" s="131" t="str">
        <f t="shared" si="20"/>
        <v/>
      </c>
      <c r="N108" s="132">
        <v>0</v>
      </c>
      <c r="O108" s="133">
        <f t="shared" si="21"/>
        <v>0</v>
      </c>
      <c r="P108" s="133">
        <f t="shared" si="22"/>
        <v>0</v>
      </c>
      <c r="Q108" s="131" t="str">
        <f t="shared" si="23"/>
        <v/>
      </c>
    </row>
    <row r="109" spans="1:17" ht="13">
      <c r="A109" s="126">
        <v>102</v>
      </c>
      <c r="B109" s="127"/>
      <c r="C109" s="128"/>
      <c r="D109" s="417"/>
      <c r="E109" s="418"/>
      <c r="F109" s="129">
        <v>0</v>
      </c>
      <c r="G109" s="337"/>
      <c r="H109" s="337"/>
      <c r="I109" s="337"/>
      <c r="J109" s="337"/>
      <c r="K109" s="336">
        <f t="shared" si="18"/>
        <v>0</v>
      </c>
      <c r="L109" s="130">
        <f t="shared" si="19"/>
        <v>0</v>
      </c>
      <c r="M109" s="131" t="str">
        <f t="shared" si="20"/>
        <v/>
      </c>
      <c r="N109" s="132">
        <v>0</v>
      </c>
      <c r="O109" s="133">
        <f t="shared" si="21"/>
        <v>0</v>
      </c>
      <c r="P109" s="133">
        <f t="shared" si="22"/>
        <v>0</v>
      </c>
      <c r="Q109" s="131" t="str">
        <f t="shared" si="23"/>
        <v/>
      </c>
    </row>
    <row r="110" spans="1:17" ht="13">
      <c r="A110" s="126">
        <v>103</v>
      </c>
      <c r="B110" s="127"/>
      <c r="C110" s="128"/>
      <c r="D110" s="417"/>
      <c r="E110" s="418"/>
      <c r="F110" s="129">
        <v>0</v>
      </c>
      <c r="G110" s="337"/>
      <c r="H110" s="337"/>
      <c r="I110" s="337"/>
      <c r="J110" s="337"/>
      <c r="K110" s="336">
        <f t="shared" si="18"/>
        <v>0</v>
      </c>
      <c r="L110" s="130">
        <f t="shared" si="19"/>
        <v>0</v>
      </c>
      <c r="M110" s="131" t="str">
        <f t="shared" si="20"/>
        <v/>
      </c>
      <c r="N110" s="132">
        <v>0</v>
      </c>
      <c r="O110" s="133">
        <f t="shared" si="21"/>
        <v>0</v>
      </c>
      <c r="P110" s="133">
        <f t="shared" si="22"/>
        <v>0</v>
      </c>
      <c r="Q110" s="131" t="str">
        <f t="shared" si="23"/>
        <v/>
      </c>
    </row>
    <row r="111" spans="1:17" ht="13">
      <c r="A111" s="126">
        <v>104</v>
      </c>
      <c r="B111" s="127"/>
      <c r="C111" s="134"/>
      <c r="D111" s="417"/>
      <c r="E111" s="418"/>
      <c r="F111" s="129">
        <v>0</v>
      </c>
      <c r="G111" s="337"/>
      <c r="H111" s="337"/>
      <c r="I111" s="337"/>
      <c r="J111" s="337"/>
      <c r="K111" s="336">
        <f t="shared" si="18"/>
        <v>0</v>
      </c>
      <c r="L111" s="130">
        <f t="shared" si="19"/>
        <v>0</v>
      </c>
      <c r="M111" s="131" t="str">
        <f t="shared" si="20"/>
        <v/>
      </c>
      <c r="N111" s="132">
        <v>0</v>
      </c>
      <c r="O111" s="133">
        <f t="shared" si="21"/>
        <v>0</v>
      </c>
      <c r="P111" s="133">
        <f t="shared" si="22"/>
        <v>0</v>
      </c>
      <c r="Q111" s="131" t="str">
        <f t="shared" si="23"/>
        <v/>
      </c>
    </row>
    <row r="112" spans="1:17" ht="13">
      <c r="A112" s="126">
        <v>105</v>
      </c>
      <c r="B112" s="127"/>
      <c r="C112" s="134"/>
      <c r="D112" s="417"/>
      <c r="E112" s="418"/>
      <c r="F112" s="129">
        <v>0</v>
      </c>
      <c r="G112" s="337"/>
      <c r="H112" s="337"/>
      <c r="I112" s="337"/>
      <c r="J112" s="337"/>
      <c r="K112" s="336">
        <f t="shared" si="18"/>
        <v>0</v>
      </c>
      <c r="L112" s="130">
        <f t="shared" si="19"/>
        <v>0</v>
      </c>
      <c r="M112" s="131" t="str">
        <f t="shared" si="20"/>
        <v/>
      </c>
      <c r="N112" s="132">
        <v>0</v>
      </c>
      <c r="O112" s="133">
        <f t="shared" si="21"/>
        <v>0</v>
      </c>
      <c r="P112" s="133">
        <f t="shared" si="22"/>
        <v>0</v>
      </c>
      <c r="Q112" s="131" t="str">
        <f t="shared" si="23"/>
        <v/>
      </c>
    </row>
    <row r="113" spans="1:17" ht="13">
      <c r="A113" s="126">
        <v>106</v>
      </c>
      <c r="B113" s="127"/>
      <c r="C113" s="135"/>
      <c r="D113" s="417"/>
      <c r="E113" s="418"/>
      <c r="F113" s="129">
        <v>0</v>
      </c>
      <c r="G113" s="337"/>
      <c r="H113" s="337"/>
      <c r="I113" s="337"/>
      <c r="J113" s="337"/>
      <c r="K113" s="336">
        <f t="shared" si="18"/>
        <v>0</v>
      </c>
      <c r="L113" s="130">
        <f t="shared" si="19"/>
        <v>0</v>
      </c>
      <c r="M113" s="131" t="str">
        <f t="shared" si="20"/>
        <v/>
      </c>
      <c r="N113" s="132">
        <v>0</v>
      </c>
      <c r="O113" s="133">
        <f t="shared" si="21"/>
        <v>0</v>
      </c>
      <c r="P113" s="133">
        <f t="shared" si="22"/>
        <v>0</v>
      </c>
      <c r="Q113" s="131" t="str">
        <f t="shared" si="23"/>
        <v/>
      </c>
    </row>
    <row r="114" spans="1:17" ht="13">
      <c r="A114" s="126">
        <v>107</v>
      </c>
      <c r="B114" s="127"/>
      <c r="C114" s="128"/>
      <c r="D114" s="417"/>
      <c r="E114" s="418"/>
      <c r="F114" s="129">
        <v>0</v>
      </c>
      <c r="G114" s="337"/>
      <c r="H114" s="337"/>
      <c r="I114" s="337"/>
      <c r="J114" s="337"/>
      <c r="K114" s="336">
        <f t="shared" si="18"/>
        <v>0</v>
      </c>
      <c r="L114" s="130">
        <f t="shared" si="19"/>
        <v>0</v>
      </c>
      <c r="M114" s="131" t="str">
        <f t="shared" si="20"/>
        <v/>
      </c>
      <c r="N114" s="132">
        <v>0</v>
      </c>
      <c r="O114" s="133">
        <f t="shared" si="21"/>
        <v>0</v>
      </c>
      <c r="P114" s="133">
        <f t="shared" si="22"/>
        <v>0</v>
      </c>
      <c r="Q114" s="131" t="str">
        <f t="shared" si="23"/>
        <v/>
      </c>
    </row>
    <row r="115" spans="1:17" ht="13">
      <c r="A115" s="126">
        <v>108</v>
      </c>
      <c r="B115" s="127"/>
      <c r="C115" s="128"/>
      <c r="D115" s="417"/>
      <c r="E115" s="418"/>
      <c r="F115" s="129">
        <v>0</v>
      </c>
      <c r="G115" s="337"/>
      <c r="H115" s="337"/>
      <c r="I115" s="337"/>
      <c r="J115" s="337"/>
      <c r="K115" s="336">
        <f t="shared" si="18"/>
        <v>0</v>
      </c>
      <c r="L115" s="130">
        <f t="shared" si="19"/>
        <v>0</v>
      </c>
      <c r="M115" s="131" t="str">
        <f t="shared" si="20"/>
        <v/>
      </c>
      <c r="N115" s="132">
        <v>0</v>
      </c>
      <c r="O115" s="133">
        <f t="shared" si="21"/>
        <v>0</v>
      </c>
      <c r="P115" s="133">
        <f t="shared" si="22"/>
        <v>0</v>
      </c>
      <c r="Q115" s="131" t="str">
        <f t="shared" si="23"/>
        <v/>
      </c>
    </row>
    <row r="116" spans="1:17" ht="13">
      <c r="A116" s="126">
        <v>109</v>
      </c>
      <c r="B116" s="127"/>
      <c r="C116" s="128"/>
      <c r="D116" s="417"/>
      <c r="E116" s="418"/>
      <c r="F116" s="129">
        <v>0</v>
      </c>
      <c r="G116" s="337"/>
      <c r="H116" s="337"/>
      <c r="I116" s="337"/>
      <c r="J116" s="337"/>
      <c r="K116" s="336">
        <f t="shared" si="18"/>
        <v>0</v>
      </c>
      <c r="L116" s="130">
        <f t="shared" si="19"/>
        <v>0</v>
      </c>
      <c r="M116" s="131" t="str">
        <f t="shared" si="20"/>
        <v/>
      </c>
      <c r="N116" s="132">
        <v>0</v>
      </c>
      <c r="O116" s="133">
        <f t="shared" si="21"/>
        <v>0</v>
      </c>
      <c r="P116" s="133">
        <f t="shared" si="22"/>
        <v>0</v>
      </c>
      <c r="Q116" s="131" t="str">
        <f t="shared" si="23"/>
        <v/>
      </c>
    </row>
    <row r="117" spans="1:17" ht="13">
      <c r="A117" s="126">
        <v>110</v>
      </c>
      <c r="B117" s="127"/>
      <c r="C117" s="128"/>
      <c r="D117" s="417"/>
      <c r="E117" s="418"/>
      <c r="F117" s="129">
        <v>0</v>
      </c>
      <c r="G117" s="337"/>
      <c r="H117" s="337"/>
      <c r="I117" s="337"/>
      <c r="J117" s="337"/>
      <c r="K117" s="336">
        <f t="shared" si="18"/>
        <v>0</v>
      </c>
      <c r="L117" s="130">
        <f t="shared" si="19"/>
        <v>0</v>
      </c>
      <c r="M117" s="131" t="str">
        <f t="shared" si="20"/>
        <v/>
      </c>
      <c r="N117" s="132">
        <v>0</v>
      </c>
      <c r="O117" s="133">
        <f t="shared" si="21"/>
        <v>0</v>
      </c>
      <c r="P117" s="133">
        <f t="shared" si="22"/>
        <v>0</v>
      </c>
      <c r="Q117" s="131" t="str">
        <f t="shared" si="23"/>
        <v/>
      </c>
    </row>
    <row r="118" spans="1:17" ht="13">
      <c r="A118" s="126">
        <v>111</v>
      </c>
      <c r="B118" s="127"/>
      <c r="C118" s="128"/>
      <c r="D118" s="417"/>
      <c r="E118" s="418"/>
      <c r="F118" s="129">
        <v>0</v>
      </c>
      <c r="G118" s="337"/>
      <c r="H118" s="337"/>
      <c r="I118" s="337"/>
      <c r="J118" s="337"/>
      <c r="K118" s="336">
        <f t="shared" si="18"/>
        <v>0</v>
      </c>
      <c r="L118" s="130">
        <f t="shared" si="19"/>
        <v>0</v>
      </c>
      <c r="M118" s="131" t="str">
        <f t="shared" si="20"/>
        <v/>
      </c>
      <c r="N118" s="132">
        <v>0</v>
      </c>
      <c r="O118" s="133">
        <f t="shared" si="21"/>
        <v>0</v>
      </c>
      <c r="P118" s="133">
        <f t="shared" si="22"/>
        <v>0</v>
      </c>
      <c r="Q118" s="131" t="str">
        <f t="shared" si="23"/>
        <v/>
      </c>
    </row>
    <row r="119" spans="1:17" ht="13">
      <c r="A119" s="126">
        <v>112</v>
      </c>
      <c r="B119" s="127"/>
      <c r="C119" s="128"/>
      <c r="D119" s="417"/>
      <c r="E119" s="418"/>
      <c r="F119" s="129">
        <v>0</v>
      </c>
      <c r="G119" s="337"/>
      <c r="H119" s="337"/>
      <c r="I119" s="337"/>
      <c r="J119" s="337"/>
      <c r="K119" s="336">
        <f t="shared" si="18"/>
        <v>0</v>
      </c>
      <c r="L119" s="130">
        <f t="shared" si="19"/>
        <v>0</v>
      </c>
      <c r="M119" s="131" t="str">
        <f t="shared" si="20"/>
        <v/>
      </c>
      <c r="N119" s="132">
        <v>0</v>
      </c>
      <c r="O119" s="133">
        <f t="shared" si="21"/>
        <v>0</v>
      </c>
      <c r="P119" s="133">
        <f t="shared" si="22"/>
        <v>0</v>
      </c>
      <c r="Q119" s="131" t="str">
        <f t="shared" si="23"/>
        <v/>
      </c>
    </row>
    <row r="120" spans="1:17" ht="13">
      <c r="A120" s="126">
        <v>113</v>
      </c>
      <c r="B120" s="127"/>
      <c r="C120" s="128"/>
      <c r="D120" s="417"/>
      <c r="E120" s="418"/>
      <c r="F120" s="129">
        <v>0</v>
      </c>
      <c r="G120" s="337"/>
      <c r="H120" s="337"/>
      <c r="I120" s="337"/>
      <c r="J120" s="337"/>
      <c r="K120" s="336">
        <f t="shared" si="18"/>
        <v>0</v>
      </c>
      <c r="L120" s="130">
        <f t="shared" si="19"/>
        <v>0</v>
      </c>
      <c r="M120" s="131" t="str">
        <f t="shared" si="20"/>
        <v/>
      </c>
      <c r="N120" s="132">
        <v>0</v>
      </c>
      <c r="O120" s="133">
        <f t="shared" si="21"/>
        <v>0</v>
      </c>
      <c r="P120" s="133">
        <f t="shared" si="22"/>
        <v>0</v>
      </c>
      <c r="Q120" s="131" t="str">
        <f t="shared" si="23"/>
        <v/>
      </c>
    </row>
    <row r="121" spans="1:17" ht="13">
      <c r="A121" s="126">
        <v>114</v>
      </c>
      <c r="B121" s="127"/>
      <c r="C121" s="128"/>
      <c r="D121" s="417"/>
      <c r="E121" s="418"/>
      <c r="F121" s="129">
        <v>0</v>
      </c>
      <c r="G121" s="337"/>
      <c r="H121" s="337"/>
      <c r="I121" s="337"/>
      <c r="J121" s="337"/>
      <c r="K121" s="336">
        <f t="shared" si="18"/>
        <v>0</v>
      </c>
      <c r="L121" s="130">
        <f t="shared" si="19"/>
        <v>0</v>
      </c>
      <c r="M121" s="131" t="str">
        <f t="shared" si="20"/>
        <v/>
      </c>
      <c r="N121" s="132">
        <v>0</v>
      </c>
      <c r="O121" s="133">
        <f t="shared" si="21"/>
        <v>0</v>
      </c>
      <c r="P121" s="133">
        <f t="shared" si="22"/>
        <v>0</v>
      </c>
      <c r="Q121" s="131" t="str">
        <f t="shared" si="23"/>
        <v/>
      </c>
    </row>
    <row r="122" spans="1:17" ht="13">
      <c r="A122" s="126">
        <v>115</v>
      </c>
      <c r="B122" s="127"/>
      <c r="C122" s="128"/>
      <c r="D122" s="417"/>
      <c r="E122" s="418"/>
      <c r="F122" s="129">
        <v>0</v>
      </c>
      <c r="G122" s="337"/>
      <c r="H122" s="337"/>
      <c r="I122" s="337"/>
      <c r="J122" s="337"/>
      <c r="K122" s="336">
        <f t="shared" si="18"/>
        <v>0</v>
      </c>
      <c r="L122" s="130">
        <f t="shared" si="19"/>
        <v>0</v>
      </c>
      <c r="M122" s="131" t="str">
        <f t="shared" si="20"/>
        <v/>
      </c>
      <c r="N122" s="132">
        <v>0</v>
      </c>
      <c r="O122" s="133">
        <f t="shared" si="21"/>
        <v>0</v>
      </c>
      <c r="P122" s="133">
        <f t="shared" si="22"/>
        <v>0</v>
      </c>
      <c r="Q122" s="131" t="str">
        <f t="shared" si="23"/>
        <v/>
      </c>
    </row>
    <row r="123" spans="1:17" ht="13">
      <c r="A123" s="126">
        <v>116</v>
      </c>
      <c r="B123" s="127"/>
      <c r="C123" s="128"/>
      <c r="D123" s="417"/>
      <c r="E123" s="418"/>
      <c r="F123" s="129">
        <v>0</v>
      </c>
      <c r="G123" s="337"/>
      <c r="H123" s="337"/>
      <c r="I123" s="337"/>
      <c r="J123" s="337"/>
      <c r="K123" s="336">
        <f t="shared" si="18"/>
        <v>0</v>
      </c>
      <c r="L123" s="130">
        <f t="shared" si="19"/>
        <v>0</v>
      </c>
      <c r="M123" s="131" t="str">
        <f t="shared" si="20"/>
        <v/>
      </c>
      <c r="N123" s="132">
        <v>0</v>
      </c>
      <c r="O123" s="133">
        <f t="shared" si="21"/>
        <v>0</v>
      </c>
      <c r="P123" s="133">
        <f t="shared" si="22"/>
        <v>0</v>
      </c>
      <c r="Q123" s="131" t="str">
        <f t="shared" si="23"/>
        <v/>
      </c>
    </row>
    <row r="124" spans="1:17" ht="13">
      <c r="A124" s="126">
        <v>117</v>
      </c>
      <c r="B124" s="127"/>
      <c r="C124" s="128"/>
      <c r="D124" s="417"/>
      <c r="E124" s="418"/>
      <c r="F124" s="129">
        <v>0</v>
      </c>
      <c r="G124" s="337"/>
      <c r="H124" s="337"/>
      <c r="I124" s="337"/>
      <c r="J124" s="337"/>
      <c r="K124" s="336">
        <f t="shared" si="18"/>
        <v>0</v>
      </c>
      <c r="L124" s="130">
        <f t="shared" si="19"/>
        <v>0</v>
      </c>
      <c r="M124" s="131" t="str">
        <f t="shared" si="20"/>
        <v/>
      </c>
      <c r="N124" s="132">
        <v>0</v>
      </c>
      <c r="O124" s="133">
        <f t="shared" si="21"/>
        <v>0</v>
      </c>
      <c r="P124" s="133">
        <f t="shared" si="22"/>
        <v>0</v>
      </c>
      <c r="Q124" s="131" t="str">
        <f t="shared" si="23"/>
        <v/>
      </c>
    </row>
    <row r="125" spans="1:17" ht="13">
      <c r="A125" s="126">
        <v>118</v>
      </c>
      <c r="B125" s="127"/>
      <c r="C125" s="128"/>
      <c r="D125" s="417"/>
      <c r="E125" s="418"/>
      <c r="F125" s="129">
        <v>0</v>
      </c>
      <c r="G125" s="337"/>
      <c r="H125" s="337"/>
      <c r="I125" s="337"/>
      <c r="J125" s="337"/>
      <c r="K125" s="336">
        <f t="shared" si="18"/>
        <v>0</v>
      </c>
      <c r="L125" s="130">
        <f t="shared" si="19"/>
        <v>0</v>
      </c>
      <c r="M125" s="131" t="str">
        <f t="shared" si="20"/>
        <v/>
      </c>
      <c r="N125" s="132">
        <v>0</v>
      </c>
      <c r="O125" s="133">
        <f t="shared" si="21"/>
        <v>0</v>
      </c>
      <c r="P125" s="133">
        <f t="shared" si="22"/>
        <v>0</v>
      </c>
      <c r="Q125" s="131" t="str">
        <f t="shared" si="23"/>
        <v/>
      </c>
    </row>
    <row r="126" spans="1:17" ht="13">
      <c r="A126" s="126">
        <v>119</v>
      </c>
      <c r="B126" s="127"/>
      <c r="C126" s="128"/>
      <c r="D126" s="417"/>
      <c r="E126" s="418"/>
      <c r="F126" s="129">
        <v>0</v>
      </c>
      <c r="G126" s="337"/>
      <c r="H126" s="337"/>
      <c r="I126" s="337"/>
      <c r="J126" s="337"/>
      <c r="K126" s="336">
        <f t="shared" si="18"/>
        <v>0</v>
      </c>
      <c r="L126" s="130">
        <f t="shared" si="19"/>
        <v>0</v>
      </c>
      <c r="M126" s="131" t="str">
        <f t="shared" si="20"/>
        <v/>
      </c>
      <c r="N126" s="132">
        <v>0</v>
      </c>
      <c r="O126" s="133">
        <f t="shared" si="21"/>
        <v>0</v>
      </c>
      <c r="P126" s="133">
        <f t="shared" si="22"/>
        <v>0</v>
      </c>
      <c r="Q126" s="131" t="str">
        <f t="shared" si="23"/>
        <v/>
      </c>
    </row>
    <row r="127" spans="1:17" ht="13">
      <c r="A127" s="126">
        <v>120</v>
      </c>
      <c r="B127" s="127"/>
      <c r="C127" s="128"/>
      <c r="D127" s="417"/>
      <c r="E127" s="418"/>
      <c r="F127" s="129">
        <v>0</v>
      </c>
      <c r="G127" s="337"/>
      <c r="H127" s="337"/>
      <c r="I127" s="337"/>
      <c r="J127" s="337"/>
      <c r="K127" s="336">
        <f t="shared" si="18"/>
        <v>0</v>
      </c>
      <c r="L127" s="130">
        <f t="shared" si="19"/>
        <v>0</v>
      </c>
      <c r="M127" s="131" t="str">
        <f t="shared" si="20"/>
        <v/>
      </c>
      <c r="N127" s="132">
        <v>0</v>
      </c>
      <c r="O127" s="133">
        <f t="shared" si="21"/>
        <v>0</v>
      </c>
      <c r="P127" s="133">
        <f t="shared" si="22"/>
        <v>0</v>
      </c>
      <c r="Q127" s="131" t="str">
        <f t="shared" si="23"/>
        <v/>
      </c>
    </row>
    <row r="128" spans="1:17" ht="13">
      <c r="A128" s="126">
        <v>121</v>
      </c>
      <c r="B128" s="127"/>
      <c r="C128" s="128"/>
      <c r="D128" s="417"/>
      <c r="E128" s="418"/>
      <c r="F128" s="129">
        <v>0</v>
      </c>
      <c r="G128" s="337"/>
      <c r="H128" s="337"/>
      <c r="I128" s="337"/>
      <c r="J128" s="337"/>
      <c r="K128" s="336">
        <f t="shared" si="18"/>
        <v>0</v>
      </c>
      <c r="L128" s="130">
        <f t="shared" si="19"/>
        <v>0</v>
      </c>
      <c r="M128" s="131" t="str">
        <f t="shared" si="20"/>
        <v/>
      </c>
      <c r="N128" s="132">
        <v>0</v>
      </c>
      <c r="O128" s="133">
        <f t="shared" si="21"/>
        <v>0</v>
      </c>
      <c r="P128" s="133">
        <f t="shared" si="22"/>
        <v>0</v>
      </c>
      <c r="Q128" s="131" t="str">
        <f t="shared" si="23"/>
        <v/>
      </c>
    </row>
    <row r="129" spans="1:17" ht="13">
      <c r="A129" s="126">
        <v>122</v>
      </c>
      <c r="B129" s="127"/>
      <c r="C129" s="128"/>
      <c r="D129" s="417"/>
      <c r="E129" s="418"/>
      <c r="F129" s="129">
        <v>0</v>
      </c>
      <c r="G129" s="337"/>
      <c r="H129" s="337"/>
      <c r="I129" s="337"/>
      <c r="J129" s="337"/>
      <c r="K129" s="336">
        <f t="shared" si="18"/>
        <v>0</v>
      </c>
      <c r="L129" s="130">
        <f t="shared" si="19"/>
        <v>0</v>
      </c>
      <c r="M129" s="131" t="str">
        <f t="shared" si="20"/>
        <v/>
      </c>
      <c r="N129" s="132">
        <v>0</v>
      </c>
      <c r="O129" s="133">
        <f t="shared" si="21"/>
        <v>0</v>
      </c>
      <c r="P129" s="133">
        <f t="shared" si="22"/>
        <v>0</v>
      </c>
      <c r="Q129" s="131" t="str">
        <f t="shared" si="23"/>
        <v/>
      </c>
    </row>
    <row r="130" spans="1:17" ht="13">
      <c r="A130" s="126">
        <v>123</v>
      </c>
      <c r="B130" s="127"/>
      <c r="C130" s="128"/>
      <c r="D130" s="417"/>
      <c r="E130" s="418"/>
      <c r="F130" s="129">
        <v>0</v>
      </c>
      <c r="G130" s="337"/>
      <c r="H130" s="337"/>
      <c r="I130" s="337"/>
      <c r="J130" s="337"/>
      <c r="K130" s="336">
        <f t="shared" si="18"/>
        <v>0</v>
      </c>
      <c r="L130" s="130">
        <f t="shared" si="19"/>
        <v>0</v>
      </c>
      <c r="M130" s="131" t="str">
        <f t="shared" si="20"/>
        <v/>
      </c>
      <c r="N130" s="132">
        <v>0</v>
      </c>
      <c r="O130" s="133">
        <f t="shared" si="21"/>
        <v>0</v>
      </c>
      <c r="P130" s="133">
        <f t="shared" si="22"/>
        <v>0</v>
      </c>
      <c r="Q130" s="131" t="str">
        <f t="shared" si="23"/>
        <v/>
      </c>
    </row>
    <row r="131" spans="1:17" ht="13">
      <c r="A131" s="126">
        <v>124</v>
      </c>
      <c r="B131" s="127"/>
      <c r="C131" s="128"/>
      <c r="D131" s="417"/>
      <c r="E131" s="418"/>
      <c r="F131" s="129">
        <v>0</v>
      </c>
      <c r="G131" s="337"/>
      <c r="H131" s="337"/>
      <c r="I131" s="337"/>
      <c r="J131" s="337"/>
      <c r="K131" s="336">
        <f t="shared" si="18"/>
        <v>0</v>
      </c>
      <c r="L131" s="130">
        <f t="shared" si="19"/>
        <v>0</v>
      </c>
      <c r="M131" s="131" t="str">
        <f t="shared" si="20"/>
        <v/>
      </c>
      <c r="N131" s="132">
        <v>0</v>
      </c>
      <c r="O131" s="133">
        <f t="shared" si="21"/>
        <v>0</v>
      </c>
      <c r="P131" s="133">
        <f t="shared" si="22"/>
        <v>0</v>
      </c>
      <c r="Q131" s="131" t="str">
        <f t="shared" si="23"/>
        <v/>
      </c>
    </row>
    <row r="132" spans="1:17" ht="13">
      <c r="A132" s="126">
        <v>125</v>
      </c>
      <c r="B132" s="127"/>
      <c r="C132" s="128"/>
      <c r="D132" s="417"/>
      <c r="E132" s="418"/>
      <c r="F132" s="129">
        <v>0</v>
      </c>
      <c r="G132" s="337"/>
      <c r="H132" s="337"/>
      <c r="I132" s="337"/>
      <c r="J132" s="337"/>
      <c r="K132" s="336">
        <f t="shared" si="18"/>
        <v>0</v>
      </c>
      <c r="L132" s="130">
        <f t="shared" si="19"/>
        <v>0</v>
      </c>
      <c r="M132" s="131" t="str">
        <f t="shared" si="20"/>
        <v/>
      </c>
      <c r="N132" s="132">
        <v>0</v>
      </c>
      <c r="O132" s="133">
        <f t="shared" si="21"/>
        <v>0</v>
      </c>
      <c r="P132" s="133">
        <f t="shared" si="22"/>
        <v>0</v>
      </c>
      <c r="Q132" s="131" t="str">
        <f t="shared" si="23"/>
        <v/>
      </c>
    </row>
    <row r="133" spans="1:17" ht="13">
      <c r="A133" s="126">
        <v>126</v>
      </c>
      <c r="B133" s="127"/>
      <c r="C133" s="128"/>
      <c r="D133" s="417"/>
      <c r="E133" s="418"/>
      <c r="F133" s="129">
        <v>0</v>
      </c>
      <c r="G133" s="337"/>
      <c r="H133" s="337"/>
      <c r="I133" s="337"/>
      <c r="J133" s="337"/>
      <c r="K133" s="336">
        <f t="shared" si="18"/>
        <v>0</v>
      </c>
      <c r="L133" s="130">
        <f t="shared" si="19"/>
        <v>0</v>
      </c>
      <c r="M133" s="131" t="str">
        <f t="shared" si="20"/>
        <v/>
      </c>
      <c r="N133" s="132">
        <v>0</v>
      </c>
      <c r="O133" s="133">
        <f t="shared" si="21"/>
        <v>0</v>
      </c>
      <c r="P133" s="133">
        <f t="shared" si="22"/>
        <v>0</v>
      </c>
      <c r="Q133" s="131" t="str">
        <f t="shared" si="23"/>
        <v/>
      </c>
    </row>
    <row r="134" spans="1:17" ht="13">
      <c r="A134" s="126">
        <v>127</v>
      </c>
      <c r="B134" s="127"/>
      <c r="C134" s="128"/>
      <c r="D134" s="417"/>
      <c r="E134" s="418"/>
      <c r="F134" s="129">
        <v>0</v>
      </c>
      <c r="G134" s="337"/>
      <c r="H134" s="337"/>
      <c r="I134" s="337"/>
      <c r="J134" s="337"/>
      <c r="K134" s="336">
        <f t="shared" si="18"/>
        <v>0</v>
      </c>
      <c r="L134" s="130">
        <f t="shared" si="19"/>
        <v>0</v>
      </c>
      <c r="M134" s="131" t="str">
        <f t="shared" si="20"/>
        <v/>
      </c>
      <c r="N134" s="132">
        <v>0</v>
      </c>
      <c r="O134" s="133">
        <f t="shared" si="21"/>
        <v>0</v>
      </c>
      <c r="P134" s="133">
        <f t="shared" si="22"/>
        <v>0</v>
      </c>
      <c r="Q134" s="131" t="str">
        <f t="shared" si="23"/>
        <v/>
      </c>
    </row>
    <row r="135" spans="1:17" ht="13">
      <c r="A135" s="126">
        <v>128</v>
      </c>
      <c r="B135" s="127"/>
      <c r="C135" s="128"/>
      <c r="D135" s="417"/>
      <c r="E135" s="418"/>
      <c r="F135" s="129">
        <v>0</v>
      </c>
      <c r="G135" s="337"/>
      <c r="H135" s="337"/>
      <c r="I135" s="337"/>
      <c r="J135" s="337"/>
      <c r="K135" s="336">
        <f t="shared" si="18"/>
        <v>0</v>
      </c>
      <c r="L135" s="130">
        <f t="shared" si="19"/>
        <v>0</v>
      </c>
      <c r="M135" s="131" t="str">
        <f t="shared" si="20"/>
        <v/>
      </c>
      <c r="N135" s="132">
        <v>0</v>
      </c>
      <c r="O135" s="133">
        <f t="shared" si="21"/>
        <v>0</v>
      </c>
      <c r="P135" s="133">
        <f t="shared" si="22"/>
        <v>0</v>
      </c>
      <c r="Q135" s="131" t="str">
        <f t="shared" si="23"/>
        <v/>
      </c>
    </row>
    <row r="136" spans="1:17" ht="13">
      <c r="A136" s="126">
        <v>129</v>
      </c>
      <c r="B136" s="127"/>
      <c r="C136" s="128"/>
      <c r="D136" s="417"/>
      <c r="E136" s="418"/>
      <c r="F136" s="129">
        <v>0</v>
      </c>
      <c r="G136" s="337"/>
      <c r="H136" s="337"/>
      <c r="I136" s="337"/>
      <c r="J136" s="337"/>
      <c r="K136" s="336">
        <f t="shared" ref="K136:K167" si="24">MAXA(G136:J136)</f>
        <v>0</v>
      </c>
      <c r="L136" s="130">
        <f t="shared" ref="L136:L167" si="25">F136*K136</f>
        <v>0</v>
      </c>
      <c r="M136" s="131" t="str">
        <f t="shared" ref="M136:M167" si="26">IF(L136&gt;0,RANK(L136,L$8:L$207),"")</f>
        <v/>
      </c>
      <c r="N136" s="132">
        <v>0</v>
      </c>
      <c r="O136" s="133">
        <f t="shared" ref="O136:O167" si="27">N136*Sensib</f>
        <v>0</v>
      </c>
      <c r="P136" s="133">
        <f t="shared" ref="P136:P167" si="28">F136*O136</f>
        <v>0</v>
      </c>
      <c r="Q136" s="131" t="str">
        <f t="shared" ref="Q136:Q167" si="29">IF(P136&gt;0,RANK(P136,AmeaPreVE,0),"")</f>
        <v/>
      </c>
    </row>
    <row r="137" spans="1:17" ht="13">
      <c r="A137" s="126">
        <v>130</v>
      </c>
      <c r="B137" s="127"/>
      <c r="C137" s="128"/>
      <c r="D137" s="417"/>
      <c r="E137" s="418"/>
      <c r="F137" s="129">
        <v>0</v>
      </c>
      <c r="G137" s="337"/>
      <c r="H137" s="337"/>
      <c r="I137" s="337"/>
      <c r="J137" s="337"/>
      <c r="K137" s="336">
        <f t="shared" si="24"/>
        <v>0</v>
      </c>
      <c r="L137" s="130">
        <f t="shared" si="25"/>
        <v>0</v>
      </c>
      <c r="M137" s="131" t="str">
        <f t="shared" si="26"/>
        <v/>
      </c>
      <c r="N137" s="132">
        <v>0</v>
      </c>
      <c r="O137" s="133">
        <f t="shared" si="27"/>
        <v>0</v>
      </c>
      <c r="P137" s="133">
        <f t="shared" si="28"/>
        <v>0</v>
      </c>
      <c r="Q137" s="131" t="str">
        <f t="shared" si="29"/>
        <v/>
      </c>
    </row>
    <row r="138" spans="1:17" ht="13">
      <c r="A138" s="126">
        <v>131</v>
      </c>
      <c r="B138" s="127"/>
      <c r="C138" s="128"/>
      <c r="D138" s="417"/>
      <c r="E138" s="418"/>
      <c r="F138" s="129">
        <v>0</v>
      </c>
      <c r="G138" s="337"/>
      <c r="H138" s="337"/>
      <c r="I138" s="337"/>
      <c r="J138" s="337"/>
      <c r="K138" s="336">
        <f t="shared" si="24"/>
        <v>0</v>
      </c>
      <c r="L138" s="130">
        <f t="shared" si="25"/>
        <v>0</v>
      </c>
      <c r="M138" s="131" t="str">
        <f t="shared" si="26"/>
        <v/>
      </c>
      <c r="N138" s="132">
        <v>0</v>
      </c>
      <c r="O138" s="133">
        <f t="shared" si="27"/>
        <v>0</v>
      </c>
      <c r="P138" s="133">
        <f t="shared" si="28"/>
        <v>0</v>
      </c>
      <c r="Q138" s="131" t="str">
        <f t="shared" si="29"/>
        <v/>
      </c>
    </row>
    <row r="139" spans="1:17" ht="13">
      <c r="A139" s="126">
        <v>132</v>
      </c>
      <c r="B139" s="127"/>
      <c r="C139" s="128"/>
      <c r="D139" s="417"/>
      <c r="E139" s="418"/>
      <c r="F139" s="129">
        <v>0</v>
      </c>
      <c r="G139" s="337"/>
      <c r="H139" s="337"/>
      <c r="I139" s="337"/>
      <c r="J139" s="337"/>
      <c r="K139" s="336">
        <f t="shared" si="24"/>
        <v>0</v>
      </c>
      <c r="L139" s="130">
        <f t="shared" si="25"/>
        <v>0</v>
      </c>
      <c r="M139" s="131" t="str">
        <f t="shared" si="26"/>
        <v/>
      </c>
      <c r="N139" s="132">
        <v>0</v>
      </c>
      <c r="O139" s="133">
        <f t="shared" si="27"/>
        <v>0</v>
      </c>
      <c r="P139" s="133">
        <f t="shared" si="28"/>
        <v>0</v>
      </c>
      <c r="Q139" s="131" t="str">
        <f t="shared" si="29"/>
        <v/>
      </c>
    </row>
    <row r="140" spans="1:17" ht="13">
      <c r="A140" s="126">
        <v>133</v>
      </c>
      <c r="B140" s="127"/>
      <c r="C140" s="128"/>
      <c r="D140" s="417"/>
      <c r="E140" s="418"/>
      <c r="F140" s="129">
        <v>0</v>
      </c>
      <c r="G140" s="337"/>
      <c r="H140" s="337"/>
      <c r="I140" s="337"/>
      <c r="J140" s="337"/>
      <c r="K140" s="336">
        <f t="shared" si="24"/>
        <v>0</v>
      </c>
      <c r="L140" s="130">
        <f t="shared" si="25"/>
        <v>0</v>
      </c>
      <c r="M140" s="131" t="str">
        <f t="shared" si="26"/>
        <v/>
      </c>
      <c r="N140" s="132">
        <v>0</v>
      </c>
      <c r="O140" s="133">
        <f t="shared" si="27"/>
        <v>0</v>
      </c>
      <c r="P140" s="133">
        <f t="shared" si="28"/>
        <v>0</v>
      </c>
      <c r="Q140" s="131" t="str">
        <f t="shared" si="29"/>
        <v/>
      </c>
    </row>
    <row r="141" spans="1:17" ht="13">
      <c r="A141" s="126">
        <v>134</v>
      </c>
      <c r="B141" s="127"/>
      <c r="C141" s="128"/>
      <c r="D141" s="417"/>
      <c r="E141" s="418"/>
      <c r="F141" s="129">
        <v>0</v>
      </c>
      <c r="G141" s="337"/>
      <c r="H141" s="337"/>
      <c r="I141" s="337"/>
      <c r="J141" s="337"/>
      <c r="K141" s="336">
        <f t="shared" si="24"/>
        <v>0</v>
      </c>
      <c r="L141" s="130">
        <f t="shared" si="25"/>
        <v>0</v>
      </c>
      <c r="M141" s="131" t="str">
        <f t="shared" si="26"/>
        <v/>
      </c>
      <c r="N141" s="132">
        <v>0</v>
      </c>
      <c r="O141" s="133">
        <f t="shared" si="27"/>
        <v>0</v>
      </c>
      <c r="P141" s="133">
        <f t="shared" si="28"/>
        <v>0</v>
      </c>
      <c r="Q141" s="131" t="str">
        <f t="shared" si="29"/>
        <v/>
      </c>
    </row>
    <row r="142" spans="1:17" ht="13">
      <c r="A142" s="126">
        <v>135</v>
      </c>
      <c r="B142" s="127"/>
      <c r="C142" s="128"/>
      <c r="D142" s="417"/>
      <c r="E142" s="418"/>
      <c r="F142" s="129">
        <v>0</v>
      </c>
      <c r="G142" s="337"/>
      <c r="H142" s="337"/>
      <c r="I142" s="337"/>
      <c r="J142" s="337"/>
      <c r="K142" s="336">
        <f t="shared" si="24"/>
        <v>0</v>
      </c>
      <c r="L142" s="130">
        <f t="shared" si="25"/>
        <v>0</v>
      </c>
      <c r="M142" s="131" t="str">
        <f t="shared" si="26"/>
        <v/>
      </c>
      <c r="N142" s="132">
        <v>0</v>
      </c>
      <c r="O142" s="133">
        <f t="shared" si="27"/>
        <v>0</v>
      </c>
      <c r="P142" s="133">
        <f t="shared" si="28"/>
        <v>0</v>
      </c>
      <c r="Q142" s="131" t="str">
        <f t="shared" si="29"/>
        <v/>
      </c>
    </row>
    <row r="143" spans="1:17" ht="13">
      <c r="A143" s="126">
        <v>136</v>
      </c>
      <c r="B143" s="127"/>
      <c r="C143" s="128"/>
      <c r="D143" s="417"/>
      <c r="E143" s="418"/>
      <c r="F143" s="129">
        <v>0</v>
      </c>
      <c r="G143" s="337"/>
      <c r="H143" s="337"/>
      <c r="I143" s="337"/>
      <c r="J143" s="337"/>
      <c r="K143" s="336">
        <f t="shared" si="24"/>
        <v>0</v>
      </c>
      <c r="L143" s="130">
        <f t="shared" si="25"/>
        <v>0</v>
      </c>
      <c r="M143" s="131" t="str">
        <f t="shared" si="26"/>
        <v/>
      </c>
      <c r="N143" s="132">
        <v>0</v>
      </c>
      <c r="O143" s="133">
        <f t="shared" si="27"/>
        <v>0</v>
      </c>
      <c r="P143" s="133">
        <f t="shared" si="28"/>
        <v>0</v>
      </c>
      <c r="Q143" s="131" t="str">
        <f t="shared" si="29"/>
        <v/>
      </c>
    </row>
    <row r="144" spans="1:17" ht="13">
      <c r="A144" s="126">
        <v>137</v>
      </c>
      <c r="B144" s="127"/>
      <c r="C144" s="128"/>
      <c r="D144" s="417"/>
      <c r="E144" s="418"/>
      <c r="F144" s="129">
        <v>0</v>
      </c>
      <c r="G144" s="337"/>
      <c r="H144" s="337"/>
      <c r="I144" s="337"/>
      <c r="J144" s="337"/>
      <c r="K144" s="336">
        <f t="shared" si="24"/>
        <v>0</v>
      </c>
      <c r="L144" s="130">
        <f t="shared" si="25"/>
        <v>0</v>
      </c>
      <c r="M144" s="131" t="str">
        <f t="shared" si="26"/>
        <v/>
      </c>
      <c r="N144" s="132">
        <v>0</v>
      </c>
      <c r="O144" s="133">
        <f t="shared" si="27"/>
        <v>0</v>
      </c>
      <c r="P144" s="133">
        <f t="shared" si="28"/>
        <v>0</v>
      </c>
      <c r="Q144" s="131" t="str">
        <f t="shared" si="29"/>
        <v/>
      </c>
    </row>
    <row r="145" spans="1:17" ht="13">
      <c r="A145" s="126">
        <v>138</v>
      </c>
      <c r="B145" s="127"/>
      <c r="C145" s="128"/>
      <c r="D145" s="417"/>
      <c r="E145" s="418"/>
      <c r="F145" s="129">
        <v>0</v>
      </c>
      <c r="G145" s="337"/>
      <c r="H145" s="337"/>
      <c r="I145" s="337"/>
      <c r="J145" s="337"/>
      <c r="K145" s="336">
        <f t="shared" si="24"/>
        <v>0</v>
      </c>
      <c r="L145" s="130">
        <f t="shared" si="25"/>
        <v>0</v>
      </c>
      <c r="M145" s="131" t="str">
        <f t="shared" si="26"/>
        <v/>
      </c>
      <c r="N145" s="132">
        <v>0</v>
      </c>
      <c r="O145" s="133">
        <f t="shared" si="27"/>
        <v>0</v>
      </c>
      <c r="P145" s="133">
        <f t="shared" si="28"/>
        <v>0</v>
      </c>
      <c r="Q145" s="131" t="str">
        <f t="shared" si="29"/>
        <v/>
      </c>
    </row>
    <row r="146" spans="1:17" ht="13">
      <c r="A146" s="126">
        <v>139</v>
      </c>
      <c r="B146" s="127"/>
      <c r="C146" s="128"/>
      <c r="D146" s="417"/>
      <c r="E146" s="418"/>
      <c r="F146" s="129">
        <v>0</v>
      </c>
      <c r="G146" s="337"/>
      <c r="H146" s="337"/>
      <c r="I146" s="337"/>
      <c r="J146" s="337"/>
      <c r="K146" s="336">
        <f t="shared" si="24"/>
        <v>0</v>
      </c>
      <c r="L146" s="130">
        <f t="shared" si="25"/>
        <v>0</v>
      </c>
      <c r="M146" s="131" t="str">
        <f t="shared" si="26"/>
        <v/>
      </c>
      <c r="N146" s="132">
        <v>0</v>
      </c>
      <c r="O146" s="133">
        <f t="shared" si="27"/>
        <v>0</v>
      </c>
      <c r="P146" s="133">
        <f t="shared" si="28"/>
        <v>0</v>
      </c>
      <c r="Q146" s="131" t="str">
        <f t="shared" si="29"/>
        <v/>
      </c>
    </row>
    <row r="147" spans="1:17" ht="13">
      <c r="A147" s="126">
        <v>140</v>
      </c>
      <c r="B147" s="127"/>
      <c r="C147" s="128"/>
      <c r="D147" s="417"/>
      <c r="E147" s="418"/>
      <c r="F147" s="129">
        <v>0</v>
      </c>
      <c r="G147" s="337"/>
      <c r="H147" s="337"/>
      <c r="I147" s="337"/>
      <c r="J147" s="337"/>
      <c r="K147" s="336">
        <f t="shared" si="24"/>
        <v>0</v>
      </c>
      <c r="L147" s="130">
        <f t="shared" si="25"/>
        <v>0</v>
      </c>
      <c r="M147" s="131" t="str">
        <f t="shared" si="26"/>
        <v/>
      </c>
      <c r="N147" s="132">
        <v>0</v>
      </c>
      <c r="O147" s="133">
        <f t="shared" si="27"/>
        <v>0</v>
      </c>
      <c r="P147" s="133">
        <f t="shared" si="28"/>
        <v>0</v>
      </c>
      <c r="Q147" s="131" t="str">
        <f t="shared" si="29"/>
        <v/>
      </c>
    </row>
    <row r="148" spans="1:17" ht="13">
      <c r="A148" s="126">
        <v>141</v>
      </c>
      <c r="B148" s="127"/>
      <c r="C148" s="128"/>
      <c r="D148" s="417"/>
      <c r="E148" s="418"/>
      <c r="F148" s="129">
        <v>0</v>
      </c>
      <c r="G148" s="337"/>
      <c r="H148" s="337"/>
      <c r="I148" s="337"/>
      <c r="J148" s="337"/>
      <c r="K148" s="336">
        <f t="shared" si="24"/>
        <v>0</v>
      </c>
      <c r="L148" s="130">
        <f t="shared" si="25"/>
        <v>0</v>
      </c>
      <c r="M148" s="131" t="str">
        <f t="shared" si="26"/>
        <v/>
      </c>
      <c r="N148" s="132">
        <v>0</v>
      </c>
      <c r="O148" s="133">
        <f t="shared" si="27"/>
        <v>0</v>
      </c>
      <c r="P148" s="133">
        <f t="shared" si="28"/>
        <v>0</v>
      </c>
      <c r="Q148" s="131" t="str">
        <f t="shared" si="29"/>
        <v/>
      </c>
    </row>
    <row r="149" spans="1:17" ht="13">
      <c r="A149" s="126">
        <v>142</v>
      </c>
      <c r="B149" s="127"/>
      <c r="C149" s="128"/>
      <c r="D149" s="417"/>
      <c r="E149" s="418"/>
      <c r="F149" s="129">
        <v>0</v>
      </c>
      <c r="G149" s="337"/>
      <c r="H149" s="337"/>
      <c r="I149" s="337"/>
      <c r="J149" s="337"/>
      <c r="K149" s="336">
        <f t="shared" si="24"/>
        <v>0</v>
      </c>
      <c r="L149" s="130">
        <f t="shared" si="25"/>
        <v>0</v>
      </c>
      <c r="M149" s="131" t="str">
        <f t="shared" si="26"/>
        <v/>
      </c>
      <c r="N149" s="132">
        <v>0</v>
      </c>
      <c r="O149" s="133">
        <f t="shared" si="27"/>
        <v>0</v>
      </c>
      <c r="P149" s="133">
        <f t="shared" si="28"/>
        <v>0</v>
      </c>
      <c r="Q149" s="131" t="str">
        <f t="shared" si="29"/>
        <v/>
      </c>
    </row>
    <row r="150" spans="1:17" ht="13">
      <c r="A150" s="126">
        <v>143</v>
      </c>
      <c r="B150" s="127"/>
      <c r="C150" s="128"/>
      <c r="D150" s="417"/>
      <c r="E150" s="418"/>
      <c r="F150" s="129">
        <v>0</v>
      </c>
      <c r="G150" s="337"/>
      <c r="H150" s="337"/>
      <c r="I150" s="337"/>
      <c r="J150" s="337"/>
      <c r="K150" s="336">
        <f t="shared" si="24"/>
        <v>0</v>
      </c>
      <c r="L150" s="130">
        <f t="shared" si="25"/>
        <v>0</v>
      </c>
      <c r="M150" s="131" t="str">
        <f t="shared" si="26"/>
        <v/>
      </c>
      <c r="N150" s="132">
        <v>0</v>
      </c>
      <c r="O150" s="133">
        <f t="shared" si="27"/>
        <v>0</v>
      </c>
      <c r="P150" s="133">
        <f t="shared" si="28"/>
        <v>0</v>
      </c>
      <c r="Q150" s="131" t="str">
        <f t="shared" si="29"/>
        <v/>
      </c>
    </row>
    <row r="151" spans="1:17" ht="13">
      <c r="A151" s="126">
        <v>144</v>
      </c>
      <c r="B151" s="127"/>
      <c r="C151" s="128"/>
      <c r="D151" s="417"/>
      <c r="E151" s="418"/>
      <c r="F151" s="129">
        <v>0</v>
      </c>
      <c r="G151" s="337"/>
      <c r="H151" s="337"/>
      <c r="I151" s="337"/>
      <c r="J151" s="337"/>
      <c r="K151" s="336">
        <f t="shared" si="24"/>
        <v>0</v>
      </c>
      <c r="L151" s="130">
        <f t="shared" si="25"/>
        <v>0</v>
      </c>
      <c r="M151" s="131" t="str">
        <f t="shared" si="26"/>
        <v/>
      </c>
      <c r="N151" s="132">
        <v>0</v>
      </c>
      <c r="O151" s="133">
        <f t="shared" si="27"/>
        <v>0</v>
      </c>
      <c r="P151" s="133">
        <f t="shared" si="28"/>
        <v>0</v>
      </c>
      <c r="Q151" s="131" t="str">
        <f t="shared" si="29"/>
        <v/>
      </c>
    </row>
    <row r="152" spans="1:17" ht="13">
      <c r="A152" s="126">
        <v>145</v>
      </c>
      <c r="B152" s="127"/>
      <c r="C152" s="128"/>
      <c r="D152" s="417"/>
      <c r="E152" s="418"/>
      <c r="F152" s="129">
        <v>0</v>
      </c>
      <c r="G152" s="337"/>
      <c r="H152" s="337"/>
      <c r="I152" s="337"/>
      <c r="J152" s="337"/>
      <c r="K152" s="336">
        <f t="shared" si="24"/>
        <v>0</v>
      </c>
      <c r="L152" s="130">
        <f t="shared" si="25"/>
        <v>0</v>
      </c>
      <c r="M152" s="131" t="str">
        <f t="shared" si="26"/>
        <v/>
      </c>
      <c r="N152" s="132">
        <v>0</v>
      </c>
      <c r="O152" s="133">
        <f t="shared" si="27"/>
        <v>0</v>
      </c>
      <c r="P152" s="133">
        <f t="shared" si="28"/>
        <v>0</v>
      </c>
      <c r="Q152" s="131" t="str">
        <f t="shared" si="29"/>
        <v/>
      </c>
    </row>
    <row r="153" spans="1:17" ht="13">
      <c r="A153" s="126">
        <v>146</v>
      </c>
      <c r="B153" s="127"/>
      <c r="C153" s="128"/>
      <c r="D153" s="417"/>
      <c r="E153" s="418"/>
      <c r="F153" s="129">
        <v>0</v>
      </c>
      <c r="G153" s="337"/>
      <c r="H153" s="337"/>
      <c r="I153" s="337"/>
      <c r="J153" s="337"/>
      <c r="K153" s="336">
        <f t="shared" si="24"/>
        <v>0</v>
      </c>
      <c r="L153" s="130">
        <f t="shared" si="25"/>
        <v>0</v>
      </c>
      <c r="M153" s="131" t="str">
        <f t="shared" si="26"/>
        <v/>
      </c>
      <c r="N153" s="132">
        <v>0</v>
      </c>
      <c r="O153" s="133">
        <f t="shared" si="27"/>
        <v>0</v>
      </c>
      <c r="P153" s="133">
        <f t="shared" si="28"/>
        <v>0</v>
      </c>
      <c r="Q153" s="131" t="str">
        <f t="shared" si="29"/>
        <v/>
      </c>
    </row>
    <row r="154" spans="1:17" ht="13">
      <c r="A154" s="126">
        <v>147</v>
      </c>
      <c r="B154" s="127"/>
      <c r="C154" s="128"/>
      <c r="D154" s="417"/>
      <c r="E154" s="418"/>
      <c r="F154" s="129">
        <v>0</v>
      </c>
      <c r="G154" s="337"/>
      <c r="H154" s="337"/>
      <c r="I154" s="337"/>
      <c r="J154" s="337"/>
      <c r="K154" s="336">
        <f t="shared" si="24"/>
        <v>0</v>
      </c>
      <c r="L154" s="130">
        <f t="shared" si="25"/>
        <v>0</v>
      </c>
      <c r="M154" s="131" t="str">
        <f t="shared" si="26"/>
        <v/>
      </c>
      <c r="N154" s="132">
        <v>0</v>
      </c>
      <c r="O154" s="133">
        <f t="shared" si="27"/>
        <v>0</v>
      </c>
      <c r="P154" s="133">
        <f t="shared" si="28"/>
        <v>0</v>
      </c>
      <c r="Q154" s="131" t="str">
        <f t="shared" si="29"/>
        <v/>
      </c>
    </row>
    <row r="155" spans="1:17" ht="13">
      <c r="A155" s="126">
        <v>148</v>
      </c>
      <c r="B155" s="127"/>
      <c r="C155" s="128"/>
      <c r="D155" s="417"/>
      <c r="E155" s="418"/>
      <c r="F155" s="129">
        <v>0</v>
      </c>
      <c r="G155" s="337"/>
      <c r="H155" s="337"/>
      <c r="I155" s="337"/>
      <c r="J155" s="337"/>
      <c r="K155" s="336">
        <f t="shared" si="24"/>
        <v>0</v>
      </c>
      <c r="L155" s="130">
        <f t="shared" si="25"/>
        <v>0</v>
      </c>
      <c r="M155" s="131" t="str">
        <f t="shared" si="26"/>
        <v/>
      </c>
      <c r="N155" s="132">
        <v>0</v>
      </c>
      <c r="O155" s="133">
        <f t="shared" si="27"/>
        <v>0</v>
      </c>
      <c r="P155" s="133">
        <f t="shared" si="28"/>
        <v>0</v>
      </c>
      <c r="Q155" s="131" t="str">
        <f t="shared" si="29"/>
        <v/>
      </c>
    </row>
    <row r="156" spans="1:17" ht="13">
      <c r="A156" s="126">
        <v>149</v>
      </c>
      <c r="B156" s="127"/>
      <c r="C156" s="128"/>
      <c r="D156" s="417"/>
      <c r="E156" s="418"/>
      <c r="F156" s="129">
        <v>0</v>
      </c>
      <c r="G156" s="337"/>
      <c r="H156" s="337"/>
      <c r="I156" s="337"/>
      <c r="J156" s="337"/>
      <c r="K156" s="336">
        <f t="shared" si="24"/>
        <v>0</v>
      </c>
      <c r="L156" s="130">
        <f t="shared" si="25"/>
        <v>0</v>
      </c>
      <c r="M156" s="131" t="str">
        <f t="shared" si="26"/>
        <v/>
      </c>
      <c r="N156" s="132">
        <v>0</v>
      </c>
      <c r="O156" s="133">
        <f t="shared" si="27"/>
        <v>0</v>
      </c>
      <c r="P156" s="133">
        <f t="shared" si="28"/>
        <v>0</v>
      </c>
      <c r="Q156" s="131" t="str">
        <f t="shared" si="29"/>
        <v/>
      </c>
    </row>
    <row r="157" spans="1:17" ht="13">
      <c r="A157" s="126">
        <v>150</v>
      </c>
      <c r="B157" s="127"/>
      <c r="C157" s="128"/>
      <c r="D157" s="417"/>
      <c r="E157" s="418"/>
      <c r="F157" s="129">
        <v>0</v>
      </c>
      <c r="G157" s="337"/>
      <c r="H157" s="337"/>
      <c r="I157" s="337"/>
      <c r="J157" s="337"/>
      <c r="K157" s="336">
        <f t="shared" si="24"/>
        <v>0</v>
      </c>
      <c r="L157" s="130">
        <f t="shared" si="25"/>
        <v>0</v>
      </c>
      <c r="M157" s="131" t="str">
        <f t="shared" si="26"/>
        <v/>
      </c>
      <c r="N157" s="132">
        <v>0</v>
      </c>
      <c r="O157" s="133">
        <f t="shared" si="27"/>
        <v>0</v>
      </c>
      <c r="P157" s="133">
        <f t="shared" si="28"/>
        <v>0</v>
      </c>
      <c r="Q157" s="131" t="str">
        <f t="shared" si="29"/>
        <v/>
      </c>
    </row>
    <row r="158" spans="1:17" ht="13">
      <c r="A158" s="126">
        <v>151</v>
      </c>
      <c r="B158" s="127"/>
      <c r="C158" s="128"/>
      <c r="D158" s="417"/>
      <c r="E158" s="418"/>
      <c r="F158" s="129">
        <v>0</v>
      </c>
      <c r="G158" s="337"/>
      <c r="H158" s="337"/>
      <c r="I158" s="337"/>
      <c r="J158" s="337"/>
      <c r="K158" s="336">
        <f t="shared" si="24"/>
        <v>0</v>
      </c>
      <c r="L158" s="130">
        <f t="shared" si="25"/>
        <v>0</v>
      </c>
      <c r="M158" s="131" t="str">
        <f t="shared" si="26"/>
        <v/>
      </c>
      <c r="N158" s="132">
        <v>0</v>
      </c>
      <c r="O158" s="133">
        <f t="shared" si="27"/>
        <v>0</v>
      </c>
      <c r="P158" s="133">
        <f t="shared" si="28"/>
        <v>0</v>
      </c>
      <c r="Q158" s="131" t="str">
        <f t="shared" si="29"/>
        <v/>
      </c>
    </row>
    <row r="159" spans="1:17" ht="13">
      <c r="A159" s="126">
        <v>152</v>
      </c>
      <c r="B159" s="127"/>
      <c r="C159" s="128"/>
      <c r="D159" s="417"/>
      <c r="E159" s="418"/>
      <c r="F159" s="129">
        <v>0</v>
      </c>
      <c r="G159" s="337"/>
      <c r="H159" s="337"/>
      <c r="I159" s="337"/>
      <c r="J159" s="337"/>
      <c r="K159" s="336">
        <f t="shared" si="24"/>
        <v>0</v>
      </c>
      <c r="L159" s="130">
        <f t="shared" si="25"/>
        <v>0</v>
      </c>
      <c r="M159" s="131" t="str">
        <f t="shared" si="26"/>
        <v/>
      </c>
      <c r="N159" s="132">
        <v>0</v>
      </c>
      <c r="O159" s="133">
        <f t="shared" si="27"/>
        <v>0</v>
      </c>
      <c r="P159" s="133">
        <f t="shared" si="28"/>
        <v>0</v>
      </c>
      <c r="Q159" s="131" t="str">
        <f t="shared" si="29"/>
        <v/>
      </c>
    </row>
    <row r="160" spans="1:17" ht="13">
      <c r="A160" s="126">
        <v>153</v>
      </c>
      <c r="B160" s="127"/>
      <c r="C160" s="128"/>
      <c r="D160" s="417"/>
      <c r="E160" s="418"/>
      <c r="F160" s="129">
        <v>0</v>
      </c>
      <c r="G160" s="337"/>
      <c r="H160" s="337"/>
      <c r="I160" s="337"/>
      <c r="J160" s="337"/>
      <c r="K160" s="336">
        <f t="shared" si="24"/>
        <v>0</v>
      </c>
      <c r="L160" s="130">
        <f t="shared" si="25"/>
        <v>0</v>
      </c>
      <c r="M160" s="131" t="str">
        <f t="shared" si="26"/>
        <v/>
      </c>
      <c r="N160" s="132">
        <v>0</v>
      </c>
      <c r="O160" s="133">
        <f t="shared" si="27"/>
        <v>0</v>
      </c>
      <c r="P160" s="133">
        <f t="shared" si="28"/>
        <v>0</v>
      </c>
      <c r="Q160" s="131" t="str">
        <f t="shared" si="29"/>
        <v/>
      </c>
    </row>
    <row r="161" spans="1:17" ht="13">
      <c r="A161" s="126">
        <v>154</v>
      </c>
      <c r="B161" s="127"/>
      <c r="C161" s="134"/>
      <c r="D161" s="417"/>
      <c r="E161" s="418"/>
      <c r="F161" s="129">
        <v>0</v>
      </c>
      <c r="G161" s="337"/>
      <c r="H161" s="337"/>
      <c r="I161" s="337"/>
      <c r="J161" s="337"/>
      <c r="K161" s="336">
        <f t="shared" si="24"/>
        <v>0</v>
      </c>
      <c r="L161" s="130">
        <f t="shared" si="25"/>
        <v>0</v>
      </c>
      <c r="M161" s="131" t="str">
        <f t="shared" si="26"/>
        <v/>
      </c>
      <c r="N161" s="132">
        <v>0</v>
      </c>
      <c r="O161" s="133">
        <f t="shared" si="27"/>
        <v>0</v>
      </c>
      <c r="P161" s="133">
        <f t="shared" si="28"/>
        <v>0</v>
      </c>
      <c r="Q161" s="131" t="str">
        <f t="shared" si="29"/>
        <v/>
      </c>
    </row>
    <row r="162" spans="1:17" ht="13">
      <c r="A162" s="126">
        <v>155</v>
      </c>
      <c r="B162" s="127"/>
      <c r="C162" s="134"/>
      <c r="D162" s="417"/>
      <c r="E162" s="418"/>
      <c r="F162" s="129">
        <v>0</v>
      </c>
      <c r="G162" s="337"/>
      <c r="H162" s="337"/>
      <c r="I162" s="337"/>
      <c r="J162" s="337"/>
      <c r="K162" s="336">
        <f t="shared" si="24"/>
        <v>0</v>
      </c>
      <c r="L162" s="130">
        <f t="shared" si="25"/>
        <v>0</v>
      </c>
      <c r="M162" s="131" t="str">
        <f t="shared" si="26"/>
        <v/>
      </c>
      <c r="N162" s="132">
        <v>0</v>
      </c>
      <c r="O162" s="133">
        <f t="shared" si="27"/>
        <v>0</v>
      </c>
      <c r="P162" s="133">
        <f t="shared" si="28"/>
        <v>0</v>
      </c>
      <c r="Q162" s="131" t="str">
        <f t="shared" si="29"/>
        <v/>
      </c>
    </row>
    <row r="163" spans="1:17" ht="13">
      <c r="A163" s="126">
        <v>156</v>
      </c>
      <c r="B163" s="127"/>
      <c r="C163" s="135"/>
      <c r="D163" s="417"/>
      <c r="E163" s="418"/>
      <c r="F163" s="129">
        <v>0</v>
      </c>
      <c r="G163" s="337"/>
      <c r="H163" s="337"/>
      <c r="I163" s="337"/>
      <c r="J163" s="337"/>
      <c r="K163" s="336">
        <f t="shared" si="24"/>
        <v>0</v>
      </c>
      <c r="L163" s="130">
        <f t="shared" si="25"/>
        <v>0</v>
      </c>
      <c r="M163" s="131" t="str">
        <f t="shared" si="26"/>
        <v/>
      </c>
      <c r="N163" s="132">
        <v>0</v>
      </c>
      <c r="O163" s="133">
        <f t="shared" si="27"/>
        <v>0</v>
      </c>
      <c r="P163" s="133">
        <f t="shared" si="28"/>
        <v>0</v>
      </c>
      <c r="Q163" s="131" t="str">
        <f t="shared" si="29"/>
        <v/>
      </c>
    </row>
    <row r="164" spans="1:17" ht="13">
      <c r="A164" s="126">
        <v>157</v>
      </c>
      <c r="B164" s="127"/>
      <c r="C164" s="128"/>
      <c r="D164" s="417"/>
      <c r="E164" s="418"/>
      <c r="F164" s="129">
        <v>0</v>
      </c>
      <c r="G164" s="337"/>
      <c r="H164" s="337"/>
      <c r="I164" s="337"/>
      <c r="J164" s="337"/>
      <c r="K164" s="336">
        <f t="shared" si="24"/>
        <v>0</v>
      </c>
      <c r="L164" s="130">
        <f t="shared" si="25"/>
        <v>0</v>
      </c>
      <c r="M164" s="131" t="str">
        <f t="shared" si="26"/>
        <v/>
      </c>
      <c r="N164" s="132">
        <v>0</v>
      </c>
      <c r="O164" s="133">
        <f t="shared" si="27"/>
        <v>0</v>
      </c>
      <c r="P164" s="133">
        <f t="shared" si="28"/>
        <v>0</v>
      </c>
      <c r="Q164" s="131" t="str">
        <f t="shared" si="29"/>
        <v/>
      </c>
    </row>
    <row r="165" spans="1:17" ht="13">
      <c r="A165" s="126">
        <v>158</v>
      </c>
      <c r="B165" s="127"/>
      <c r="C165" s="128"/>
      <c r="D165" s="417"/>
      <c r="E165" s="418"/>
      <c r="F165" s="129">
        <v>0</v>
      </c>
      <c r="G165" s="337"/>
      <c r="H165" s="337"/>
      <c r="I165" s="337"/>
      <c r="J165" s="337"/>
      <c r="K165" s="336">
        <f t="shared" si="24"/>
        <v>0</v>
      </c>
      <c r="L165" s="130">
        <f t="shared" si="25"/>
        <v>0</v>
      </c>
      <c r="M165" s="131" t="str">
        <f t="shared" si="26"/>
        <v/>
      </c>
      <c r="N165" s="132">
        <v>0</v>
      </c>
      <c r="O165" s="133">
        <f t="shared" si="27"/>
        <v>0</v>
      </c>
      <c r="P165" s="133">
        <f t="shared" si="28"/>
        <v>0</v>
      </c>
      <c r="Q165" s="131" t="str">
        <f t="shared" si="29"/>
        <v/>
      </c>
    </row>
    <row r="166" spans="1:17" ht="13">
      <c r="A166" s="126">
        <v>159</v>
      </c>
      <c r="B166" s="127"/>
      <c r="C166" s="128"/>
      <c r="D166" s="417"/>
      <c r="E166" s="418"/>
      <c r="F166" s="129">
        <v>0</v>
      </c>
      <c r="G166" s="337"/>
      <c r="H166" s="337"/>
      <c r="I166" s="337"/>
      <c r="J166" s="337"/>
      <c r="K166" s="336">
        <f t="shared" si="24"/>
        <v>0</v>
      </c>
      <c r="L166" s="130">
        <f t="shared" si="25"/>
        <v>0</v>
      </c>
      <c r="M166" s="131" t="str">
        <f t="shared" si="26"/>
        <v/>
      </c>
      <c r="N166" s="132">
        <v>0</v>
      </c>
      <c r="O166" s="133">
        <f t="shared" si="27"/>
        <v>0</v>
      </c>
      <c r="P166" s="133">
        <f t="shared" si="28"/>
        <v>0</v>
      </c>
      <c r="Q166" s="131" t="str">
        <f t="shared" si="29"/>
        <v/>
      </c>
    </row>
    <row r="167" spans="1:17" ht="13">
      <c r="A167" s="126">
        <v>160</v>
      </c>
      <c r="B167" s="127"/>
      <c r="C167" s="128"/>
      <c r="D167" s="417"/>
      <c r="E167" s="418"/>
      <c r="F167" s="129">
        <v>0</v>
      </c>
      <c r="G167" s="337"/>
      <c r="H167" s="337"/>
      <c r="I167" s="337"/>
      <c r="J167" s="337"/>
      <c r="K167" s="336">
        <f t="shared" si="24"/>
        <v>0</v>
      </c>
      <c r="L167" s="130">
        <f t="shared" si="25"/>
        <v>0</v>
      </c>
      <c r="M167" s="131" t="str">
        <f t="shared" si="26"/>
        <v/>
      </c>
      <c r="N167" s="132">
        <v>0</v>
      </c>
      <c r="O167" s="133">
        <f t="shared" si="27"/>
        <v>0</v>
      </c>
      <c r="P167" s="133">
        <f t="shared" si="28"/>
        <v>0</v>
      </c>
      <c r="Q167" s="131" t="str">
        <f t="shared" si="29"/>
        <v/>
      </c>
    </row>
    <row r="168" spans="1:17" ht="13">
      <c r="A168" s="126">
        <v>161</v>
      </c>
      <c r="B168" s="127"/>
      <c r="C168" s="128"/>
      <c r="D168" s="417"/>
      <c r="E168" s="418"/>
      <c r="F168" s="129">
        <v>0</v>
      </c>
      <c r="G168" s="337"/>
      <c r="H168" s="337"/>
      <c r="I168" s="337"/>
      <c r="J168" s="337"/>
      <c r="K168" s="336">
        <f t="shared" ref="K168:K199" si="30">MAXA(G168:J168)</f>
        <v>0</v>
      </c>
      <c r="L168" s="130">
        <f t="shared" ref="L168:L199" si="31">F168*K168</f>
        <v>0</v>
      </c>
      <c r="M168" s="131" t="str">
        <f t="shared" ref="M168:M199" si="32">IF(L168&gt;0,RANK(L168,L$8:L$207),"")</f>
        <v/>
      </c>
      <c r="N168" s="132">
        <v>0</v>
      </c>
      <c r="O168" s="133">
        <f t="shared" ref="O168:O199" si="33">N168*Sensib</f>
        <v>0</v>
      </c>
      <c r="P168" s="133">
        <f t="shared" ref="P168:P199" si="34">F168*O168</f>
        <v>0</v>
      </c>
      <c r="Q168" s="131" t="str">
        <f t="shared" ref="Q168:Q199" si="35">IF(P168&gt;0,RANK(P168,AmeaPreVE,0),"")</f>
        <v/>
      </c>
    </row>
    <row r="169" spans="1:17" ht="13">
      <c r="A169" s="126">
        <v>162</v>
      </c>
      <c r="B169" s="127"/>
      <c r="C169" s="128"/>
      <c r="D169" s="417"/>
      <c r="E169" s="418"/>
      <c r="F169" s="129">
        <v>0</v>
      </c>
      <c r="G169" s="337"/>
      <c r="H169" s="337"/>
      <c r="I169" s="337"/>
      <c r="J169" s="337"/>
      <c r="K169" s="336">
        <f t="shared" si="30"/>
        <v>0</v>
      </c>
      <c r="L169" s="130">
        <f t="shared" si="31"/>
        <v>0</v>
      </c>
      <c r="M169" s="131" t="str">
        <f t="shared" si="32"/>
        <v/>
      </c>
      <c r="N169" s="132">
        <v>0</v>
      </c>
      <c r="O169" s="133">
        <f t="shared" si="33"/>
        <v>0</v>
      </c>
      <c r="P169" s="133">
        <f t="shared" si="34"/>
        <v>0</v>
      </c>
      <c r="Q169" s="131" t="str">
        <f t="shared" si="35"/>
        <v/>
      </c>
    </row>
    <row r="170" spans="1:17" ht="13">
      <c r="A170" s="126">
        <v>163</v>
      </c>
      <c r="B170" s="127"/>
      <c r="C170" s="128"/>
      <c r="D170" s="417"/>
      <c r="E170" s="418"/>
      <c r="F170" s="129">
        <v>0</v>
      </c>
      <c r="G170" s="337"/>
      <c r="H170" s="337"/>
      <c r="I170" s="337"/>
      <c r="J170" s="337"/>
      <c r="K170" s="336">
        <f t="shared" si="30"/>
        <v>0</v>
      </c>
      <c r="L170" s="130">
        <f t="shared" si="31"/>
        <v>0</v>
      </c>
      <c r="M170" s="131" t="str">
        <f t="shared" si="32"/>
        <v/>
      </c>
      <c r="N170" s="132">
        <v>0</v>
      </c>
      <c r="O170" s="133">
        <f t="shared" si="33"/>
        <v>0</v>
      </c>
      <c r="P170" s="133">
        <f t="shared" si="34"/>
        <v>0</v>
      </c>
      <c r="Q170" s="131" t="str">
        <f t="shared" si="35"/>
        <v/>
      </c>
    </row>
    <row r="171" spans="1:17" ht="13">
      <c r="A171" s="126">
        <v>164</v>
      </c>
      <c r="B171" s="127"/>
      <c r="C171" s="128"/>
      <c r="D171" s="417"/>
      <c r="E171" s="418"/>
      <c r="F171" s="129">
        <v>0</v>
      </c>
      <c r="G171" s="337"/>
      <c r="H171" s="337"/>
      <c r="I171" s="337"/>
      <c r="J171" s="337"/>
      <c r="K171" s="336">
        <f t="shared" si="30"/>
        <v>0</v>
      </c>
      <c r="L171" s="130">
        <f t="shared" si="31"/>
        <v>0</v>
      </c>
      <c r="M171" s="131" t="str">
        <f t="shared" si="32"/>
        <v/>
      </c>
      <c r="N171" s="132">
        <v>0</v>
      </c>
      <c r="O171" s="133">
        <f t="shared" si="33"/>
        <v>0</v>
      </c>
      <c r="P171" s="133">
        <f t="shared" si="34"/>
        <v>0</v>
      </c>
      <c r="Q171" s="131" t="str">
        <f t="shared" si="35"/>
        <v/>
      </c>
    </row>
    <row r="172" spans="1:17" ht="13">
      <c r="A172" s="126">
        <v>165</v>
      </c>
      <c r="B172" s="127"/>
      <c r="C172" s="128"/>
      <c r="D172" s="417"/>
      <c r="E172" s="418"/>
      <c r="F172" s="129">
        <v>0</v>
      </c>
      <c r="G172" s="337"/>
      <c r="H172" s="337"/>
      <c r="I172" s="337"/>
      <c r="J172" s="337"/>
      <c r="K172" s="336">
        <f t="shared" si="30"/>
        <v>0</v>
      </c>
      <c r="L172" s="130">
        <f t="shared" si="31"/>
        <v>0</v>
      </c>
      <c r="M172" s="131" t="str">
        <f t="shared" si="32"/>
        <v/>
      </c>
      <c r="N172" s="132">
        <v>0</v>
      </c>
      <c r="O172" s="133">
        <f t="shared" si="33"/>
        <v>0</v>
      </c>
      <c r="P172" s="133">
        <f t="shared" si="34"/>
        <v>0</v>
      </c>
      <c r="Q172" s="131" t="str">
        <f t="shared" si="35"/>
        <v/>
      </c>
    </row>
    <row r="173" spans="1:17" ht="13">
      <c r="A173" s="126">
        <v>166</v>
      </c>
      <c r="B173" s="127"/>
      <c r="C173" s="128"/>
      <c r="D173" s="417"/>
      <c r="E173" s="418"/>
      <c r="F173" s="129">
        <v>0</v>
      </c>
      <c r="G173" s="337"/>
      <c r="H173" s="337"/>
      <c r="I173" s="337"/>
      <c r="J173" s="337"/>
      <c r="K173" s="336">
        <f t="shared" si="30"/>
        <v>0</v>
      </c>
      <c r="L173" s="130">
        <f t="shared" si="31"/>
        <v>0</v>
      </c>
      <c r="M173" s="131" t="str">
        <f t="shared" si="32"/>
        <v/>
      </c>
      <c r="N173" s="132">
        <v>0</v>
      </c>
      <c r="O173" s="133">
        <f t="shared" si="33"/>
        <v>0</v>
      </c>
      <c r="P173" s="133">
        <f t="shared" si="34"/>
        <v>0</v>
      </c>
      <c r="Q173" s="131" t="str">
        <f t="shared" si="35"/>
        <v/>
      </c>
    </row>
    <row r="174" spans="1:17" ht="13">
      <c r="A174" s="126">
        <v>167</v>
      </c>
      <c r="B174" s="127"/>
      <c r="C174" s="128"/>
      <c r="D174" s="417"/>
      <c r="E174" s="418"/>
      <c r="F174" s="129">
        <v>0</v>
      </c>
      <c r="G174" s="337"/>
      <c r="H174" s="337"/>
      <c r="I174" s="337"/>
      <c r="J174" s="337"/>
      <c r="K174" s="336">
        <f t="shared" si="30"/>
        <v>0</v>
      </c>
      <c r="L174" s="130">
        <f t="shared" si="31"/>
        <v>0</v>
      </c>
      <c r="M174" s="131" t="str">
        <f t="shared" si="32"/>
        <v/>
      </c>
      <c r="N174" s="132">
        <v>0</v>
      </c>
      <c r="O174" s="133">
        <f t="shared" si="33"/>
        <v>0</v>
      </c>
      <c r="P174" s="133">
        <f t="shared" si="34"/>
        <v>0</v>
      </c>
      <c r="Q174" s="131" t="str">
        <f t="shared" si="35"/>
        <v/>
      </c>
    </row>
    <row r="175" spans="1:17" ht="13">
      <c r="A175" s="126">
        <v>168</v>
      </c>
      <c r="B175" s="127"/>
      <c r="C175" s="128"/>
      <c r="D175" s="417"/>
      <c r="E175" s="418"/>
      <c r="F175" s="129">
        <v>0</v>
      </c>
      <c r="G175" s="337"/>
      <c r="H175" s="337"/>
      <c r="I175" s="337"/>
      <c r="J175" s="337"/>
      <c r="K175" s="336">
        <f t="shared" si="30"/>
        <v>0</v>
      </c>
      <c r="L175" s="130">
        <f t="shared" si="31"/>
        <v>0</v>
      </c>
      <c r="M175" s="131" t="str">
        <f t="shared" si="32"/>
        <v/>
      </c>
      <c r="N175" s="132">
        <v>0</v>
      </c>
      <c r="O175" s="133">
        <f t="shared" si="33"/>
        <v>0</v>
      </c>
      <c r="P175" s="133">
        <f t="shared" si="34"/>
        <v>0</v>
      </c>
      <c r="Q175" s="131" t="str">
        <f t="shared" si="35"/>
        <v/>
      </c>
    </row>
    <row r="176" spans="1:17" ht="13">
      <c r="A176" s="126">
        <v>169</v>
      </c>
      <c r="B176" s="127"/>
      <c r="C176" s="128"/>
      <c r="D176" s="417"/>
      <c r="E176" s="418"/>
      <c r="F176" s="129">
        <v>0</v>
      </c>
      <c r="G176" s="337"/>
      <c r="H176" s="337"/>
      <c r="I176" s="337"/>
      <c r="J176" s="337"/>
      <c r="K176" s="336">
        <f t="shared" si="30"/>
        <v>0</v>
      </c>
      <c r="L176" s="130">
        <f t="shared" si="31"/>
        <v>0</v>
      </c>
      <c r="M176" s="131" t="str">
        <f t="shared" si="32"/>
        <v/>
      </c>
      <c r="N176" s="132">
        <v>0</v>
      </c>
      <c r="O176" s="133">
        <f t="shared" si="33"/>
        <v>0</v>
      </c>
      <c r="P176" s="133">
        <f t="shared" si="34"/>
        <v>0</v>
      </c>
      <c r="Q176" s="131" t="str">
        <f t="shared" si="35"/>
        <v/>
      </c>
    </row>
    <row r="177" spans="1:17" ht="13">
      <c r="A177" s="126">
        <v>170</v>
      </c>
      <c r="B177" s="127"/>
      <c r="C177" s="128"/>
      <c r="D177" s="417"/>
      <c r="E177" s="418"/>
      <c r="F177" s="129">
        <v>0</v>
      </c>
      <c r="G177" s="337"/>
      <c r="H177" s="337"/>
      <c r="I177" s="337"/>
      <c r="J177" s="337"/>
      <c r="K177" s="336">
        <f t="shared" si="30"/>
        <v>0</v>
      </c>
      <c r="L177" s="130">
        <f t="shared" si="31"/>
        <v>0</v>
      </c>
      <c r="M177" s="131" t="str">
        <f t="shared" si="32"/>
        <v/>
      </c>
      <c r="N177" s="132">
        <v>0</v>
      </c>
      <c r="O177" s="133">
        <f t="shared" si="33"/>
        <v>0</v>
      </c>
      <c r="P177" s="133">
        <f t="shared" si="34"/>
        <v>0</v>
      </c>
      <c r="Q177" s="131" t="str">
        <f t="shared" si="35"/>
        <v/>
      </c>
    </row>
    <row r="178" spans="1:17" ht="13">
      <c r="A178" s="126">
        <v>171</v>
      </c>
      <c r="B178" s="127"/>
      <c r="C178" s="128"/>
      <c r="D178" s="417"/>
      <c r="E178" s="418"/>
      <c r="F178" s="129">
        <v>0</v>
      </c>
      <c r="G178" s="337"/>
      <c r="H178" s="337"/>
      <c r="I178" s="337"/>
      <c r="J178" s="337"/>
      <c r="K178" s="336">
        <f t="shared" si="30"/>
        <v>0</v>
      </c>
      <c r="L178" s="130">
        <f t="shared" si="31"/>
        <v>0</v>
      </c>
      <c r="M178" s="131" t="str">
        <f t="shared" si="32"/>
        <v/>
      </c>
      <c r="N178" s="132">
        <v>0</v>
      </c>
      <c r="O178" s="133">
        <f t="shared" si="33"/>
        <v>0</v>
      </c>
      <c r="P178" s="133">
        <f t="shared" si="34"/>
        <v>0</v>
      </c>
      <c r="Q178" s="131" t="str">
        <f t="shared" si="35"/>
        <v/>
      </c>
    </row>
    <row r="179" spans="1:17" ht="13">
      <c r="A179" s="126">
        <v>172</v>
      </c>
      <c r="B179" s="127"/>
      <c r="C179" s="128"/>
      <c r="D179" s="417"/>
      <c r="E179" s="418"/>
      <c r="F179" s="129">
        <v>0</v>
      </c>
      <c r="G179" s="337"/>
      <c r="H179" s="337"/>
      <c r="I179" s="337"/>
      <c r="J179" s="337"/>
      <c r="K179" s="336">
        <f t="shared" si="30"/>
        <v>0</v>
      </c>
      <c r="L179" s="130">
        <f t="shared" si="31"/>
        <v>0</v>
      </c>
      <c r="M179" s="131" t="str">
        <f t="shared" si="32"/>
        <v/>
      </c>
      <c r="N179" s="132">
        <v>0</v>
      </c>
      <c r="O179" s="133">
        <f t="shared" si="33"/>
        <v>0</v>
      </c>
      <c r="P179" s="133">
        <f t="shared" si="34"/>
        <v>0</v>
      </c>
      <c r="Q179" s="131" t="str">
        <f t="shared" si="35"/>
        <v/>
      </c>
    </row>
    <row r="180" spans="1:17" ht="13">
      <c r="A180" s="126">
        <v>173</v>
      </c>
      <c r="B180" s="127"/>
      <c r="C180" s="128"/>
      <c r="D180" s="417"/>
      <c r="E180" s="418"/>
      <c r="F180" s="129">
        <v>0</v>
      </c>
      <c r="G180" s="337"/>
      <c r="H180" s="337"/>
      <c r="I180" s="337"/>
      <c r="J180" s="337"/>
      <c r="K180" s="336">
        <f t="shared" si="30"/>
        <v>0</v>
      </c>
      <c r="L180" s="130">
        <f t="shared" si="31"/>
        <v>0</v>
      </c>
      <c r="M180" s="131" t="str">
        <f t="shared" si="32"/>
        <v/>
      </c>
      <c r="N180" s="132">
        <v>0</v>
      </c>
      <c r="O180" s="133">
        <f t="shared" si="33"/>
        <v>0</v>
      </c>
      <c r="P180" s="133">
        <f t="shared" si="34"/>
        <v>0</v>
      </c>
      <c r="Q180" s="131" t="str">
        <f t="shared" si="35"/>
        <v/>
      </c>
    </row>
    <row r="181" spans="1:17" ht="13">
      <c r="A181" s="126">
        <v>174</v>
      </c>
      <c r="B181" s="127"/>
      <c r="C181" s="128"/>
      <c r="D181" s="417"/>
      <c r="E181" s="418"/>
      <c r="F181" s="129">
        <v>0</v>
      </c>
      <c r="G181" s="337"/>
      <c r="H181" s="337"/>
      <c r="I181" s="337"/>
      <c r="J181" s="337"/>
      <c r="K181" s="336">
        <f t="shared" si="30"/>
        <v>0</v>
      </c>
      <c r="L181" s="130">
        <f t="shared" si="31"/>
        <v>0</v>
      </c>
      <c r="M181" s="131" t="str">
        <f t="shared" si="32"/>
        <v/>
      </c>
      <c r="N181" s="132">
        <v>0</v>
      </c>
      <c r="O181" s="133">
        <f t="shared" si="33"/>
        <v>0</v>
      </c>
      <c r="P181" s="133">
        <f t="shared" si="34"/>
        <v>0</v>
      </c>
      <c r="Q181" s="131" t="str">
        <f t="shared" si="35"/>
        <v/>
      </c>
    </row>
    <row r="182" spans="1:17" ht="13">
      <c r="A182" s="126">
        <v>175</v>
      </c>
      <c r="B182" s="127"/>
      <c r="C182" s="128"/>
      <c r="D182" s="417"/>
      <c r="E182" s="418"/>
      <c r="F182" s="129">
        <v>0</v>
      </c>
      <c r="G182" s="337"/>
      <c r="H182" s="337"/>
      <c r="I182" s="337"/>
      <c r="J182" s="337"/>
      <c r="K182" s="336">
        <f t="shared" si="30"/>
        <v>0</v>
      </c>
      <c r="L182" s="130">
        <f t="shared" si="31"/>
        <v>0</v>
      </c>
      <c r="M182" s="131" t="str">
        <f t="shared" si="32"/>
        <v/>
      </c>
      <c r="N182" s="132">
        <v>0</v>
      </c>
      <c r="O182" s="133">
        <f t="shared" si="33"/>
        <v>0</v>
      </c>
      <c r="P182" s="133">
        <f t="shared" si="34"/>
        <v>0</v>
      </c>
      <c r="Q182" s="131" t="str">
        <f t="shared" si="35"/>
        <v/>
      </c>
    </row>
    <row r="183" spans="1:17" ht="13">
      <c r="A183" s="126">
        <v>176</v>
      </c>
      <c r="B183" s="127"/>
      <c r="C183" s="128"/>
      <c r="D183" s="417"/>
      <c r="E183" s="418"/>
      <c r="F183" s="129">
        <v>0</v>
      </c>
      <c r="G183" s="337"/>
      <c r="H183" s="337"/>
      <c r="I183" s="337"/>
      <c r="J183" s="337"/>
      <c r="K183" s="336">
        <f t="shared" si="30"/>
        <v>0</v>
      </c>
      <c r="L183" s="130">
        <f t="shared" si="31"/>
        <v>0</v>
      </c>
      <c r="M183" s="131" t="str">
        <f t="shared" si="32"/>
        <v/>
      </c>
      <c r="N183" s="132">
        <v>0</v>
      </c>
      <c r="O183" s="133">
        <f t="shared" si="33"/>
        <v>0</v>
      </c>
      <c r="P183" s="133">
        <f t="shared" si="34"/>
        <v>0</v>
      </c>
      <c r="Q183" s="131" t="str">
        <f t="shared" si="35"/>
        <v/>
      </c>
    </row>
    <row r="184" spans="1:17" ht="13">
      <c r="A184" s="126">
        <v>177</v>
      </c>
      <c r="B184" s="127"/>
      <c r="C184" s="128"/>
      <c r="D184" s="417"/>
      <c r="E184" s="418"/>
      <c r="F184" s="129">
        <v>0</v>
      </c>
      <c r="G184" s="337"/>
      <c r="H184" s="337"/>
      <c r="I184" s="337"/>
      <c r="J184" s="337"/>
      <c r="K184" s="336">
        <f t="shared" si="30"/>
        <v>0</v>
      </c>
      <c r="L184" s="130">
        <f t="shared" si="31"/>
        <v>0</v>
      </c>
      <c r="M184" s="131" t="str">
        <f t="shared" si="32"/>
        <v/>
      </c>
      <c r="N184" s="132">
        <v>0</v>
      </c>
      <c r="O184" s="133">
        <f t="shared" si="33"/>
        <v>0</v>
      </c>
      <c r="P184" s="133">
        <f t="shared" si="34"/>
        <v>0</v>
      </c>
      <c r="Q184" s="131" t="str">
        <f t="shared" si="35"/>
        <v/>
      </c>
    </row>
    <row r="185" spans="1:17" ht="13">
      <c r="A185" s="126">
        <v>178</v>
      </c>
      <c r="B185" s="127"/>
      <c r="C185" s="128"/>
      <c r="D185" s="417"/>
      <c r="E185" s="418"/>
      <c r="F185" s="129">
        <v>0</v>
      </c>
      <c r="G185" s="337"/>
      <c r="H185" s="337"/>
      <c r="I185" s="337"/>
      <c r="J185" s="337"/>
      <c r="K185" s="336">
        <f t="shared" si="30"/>
        <v>0</v>
      </c>
      <c r="L185" s="130">
        <f t="shared" si="31"/>
        <v>0</v>
      </c>
      <c r="M185" s="131" t="str">
        <f t="shared" si="32"/>
        <v/>
      </c>
      <c r="N185" s="132">
        <v>0</v>
      </c>
      <c r="O185" s="133">
        <f t="shared" si="33"/>
        <v>0</v>
      </c>
      <c r="P185" s="133">
        <f t="shared" si="34"/>
        <v>0</v>
      </c>
      <c r="Q185" s="131" t="str">
        <f t="shared" si="35"/>
        <v/>
      </c>
    </row>
    <row r="186" spans="1:17" ht="13">
      <c r="A186" s="126">
        <v>179</v>
      </c>
      <c r="B186" s="127"/>
      <c r="C186" s="128"/>
      <c r="D186" s="417"/>
      <c r="E186" s="418"/>
      <c r="F186" s="129">
        <v>0</v>
      </c>
      <c r="G186" s="337"/>
      <c r="H186" s="337"/>
      <c r="I186" s="337"/>
      <c r="J186" s="337"/>
      <c r="K186" s="336">
        <f t="shared" si="30"/>
        <v>0</v>
      </c>
      <c r="L186" s="130">
        <f t="shared" si="31"/>
        <v>0</v>
      </c>
      <c r="M186" s="131" t="str">
        <f t="shared" si="32"/>
        <v/>
      </c>
      <c r="N186" s="132">
        <v>0</v>
      </c>
      <c r="O186" s="133">
        <f t="shared" si="33"/>
        <v>0</v>
      </c>
      <c r="P186" s="133">
        <f t="shared" si="34"/>
        <v>0</v>
      </c>
      <c r="Q186" s="131" t="str">
        <f t="shared" si="35"/>
        <v/>
      </c>
    </row>
    <row r="187" spans="1:17" ht="13">
      <c r="A187" s="126">
        <v>180</v>
      </c>
      <c r="B187" s="127"/>
      <c r="C187" s="128"/>
      <c r="D187" s="417"/>
      <c r="E187" s="418"/>
      <c r="F187" s="129">
        <v>0</v>
      </c>
      <c r="G187" s="337"/>
      <c r="H187" s="337"/>
      <c r="I187" s="337"/>
      <c r="J187" s="337"/>
      <c r="K187" s="336">
        <f t="shared" si="30"/>
        <v>0</v>
      </c>
      <c r="L187" s="130">
        <f t="shared" si="31"/>
        <v>0</v>
      </c>
      <c r="M187" s="131" t="str">
        <f t="shared" si="32"/>
        <v/>
      </c>
      <c r="N187" s="132">
        <v>0</v>
      </c>
      <c r="O187" s="133">
        <f t="shared" si="33"/>
        <v>0</v>
      </c>
      <c r="P187" s="133">
        <f t="shared" si="34"/>
        <v>0</v>
      </c>
      <c r="Q187" s="131" t="str">
        <f t="shared" si="35"/>
        <v/>
      </c>
    </row>
    <row r="188" spans="1:17" ht="13">
      <c r="A188" s="126">
        <v>181</v>
      </c>
      <c r="B188" s="127"/>
      <c r="C188" s="128"/>
      <c r="D188" s="417"/>
      <c r="E188" s="418"/>
      <c r="F188" s="129">
        <v>0</v>
      </c>
      <c r="G188" s="337"/>
      <c r="H188" s="337"/>
      <c r="I188" s="337"/>
      <c r="J188" s="337"/>
      <c r="K188" s="336">
        <f t="shared" si="30"/>
        <v>0</v>
      </c>
      <c r="L188" s="130">
        <f t="shared" si="31"/>
        <v>0</v>
      </c>
      <c r="M188" s="131" t="str">
        <f t="shared" si="32"/>
        <v/>
      </c>
      <c r="N188" s="132">
        <v>0</v>
      </c>
      <c r="O188" s="133">
        <f t="shared" si="33"/>
        <v>0</v>
      </c>
      <c r="P188" s="133">
        <f t="shared" si="34"/>
        <v>0</v>
      </c>
      <c r="Q188" s="131" t="str">
        <f t="shared" si="35"/>
        <v/>
      </c>
    </row>
    <row r="189" spans="1:17" ht="13">
      <c r="A189" s="126">
        <v>182</v>
      </c>
      <c r="B189" s="127"/>
      <c r="C189" s="128"/>
      <c r="D189" s="417"/>
      <c r="E189" s="418"/>
      <c r="F189" s="129">
        <v>0</v>
      </c>
      <c r="G189" s="337"/>
      <c r="H189" s="337"/>
      <c r="I189" s="337"/>
      <c r="J189" s="337"/>
      <c r="K189" s="336">
        <f t="shared" si="30"/>
        <v>0</v>
      </c>
      <c r="L189" s="130">
        <f t="shared" si="31"/>
        <v>0</v>
      </c>
      <c r="M189" s="131" t="str">
        <f t="shared" si="32"/>
        <v/>
      </c>
      <c r="N189" s="132">
        <v>0</v>
      </c>
      <c r="O189" s="133">
        <f t="shared" si="33"/>
        <v>0</v>
      </c>
      <c r="P189" s="133">
        <f t="shared" si="34"/>
        <v>0</v>
      </c>
      <c r="Q189" s="131" t="str">
        <f t="shared" si="35"/>
        <v/>
      </c>
    </row>
    <row r="190" spans="1:17" ht="13">
      <c r="A190" s="126">
        <v>183</v>
      </c>
      <c r="B190" s="127"/>
      <c r="C190" s="128"/>
      <c r="D190" s="417"/>
      <c r="E190" s="418"/>
      <c r="F190" s="129">
        <v>0</v>
      </c>
      <c r="G190" s="337"/>
      <c r="H190" s="337"/>
      <c r="I190" s="337"/>
      <c r="J190" s="337"/>
      <c r="K190" s="336">
        <f t="shared" si="30"/>
        <v>0</v>
      </c>
      <c r="L190" s="130">
        <f t="shared" si="31"/>
        <v>0</v>
      </c>
      <c r="M190" s="131" t="str">
        <f t="shared" si="32"/>
        <v/>
      </c>
      <c r="N190" s="132">
        <v>0</v>
      </c>
      <c r="O190" s="133">
        <f t="shared" si="33"/>
        <v>0</v>
      </c>
      <c r="P190" s="133">
        <f t="shared" si="34"/>
        <v>0</v>
      </c>
      <c r="Q190" s="131" t="str">
        <f t="shared" si="35"/>
        <v/>
      </c>
    </row>
    <row r="191" spans="1:17" ht="13">
      <c r="A191" s="126">
        <v>184</v>
      </c>
      <c r="B191" s="127"/>
      <c r="C191" s="128"/>
      <c r="D191" s="417"/>
      <c r="E191" s="418"/>
      <c r="F191" s="129">
        <v>0</v>
      </c>
      <c r="G191" s="337"/>
      <c r="H191" s="337"/>
      <c r="I191" s="337"/>
      <c r="J191" s="337"/>
      <c r="K191" s="336">
        <f t="shared" si="30"/>
        <v>0</v>
      </c>
      <c r="L191" s="130">
        <f t="shared" si="31"/>
        <v>0</v>
      </c>
      <c r="M191" s="131" t="str">
        <f t="shared" si="32"/>
        <v/>
      </c>
      <c r="N191" s="132">
        <v>0</v>
      </c>
      <c r="O191" s="133">
        <f t="shared" si="33"/>
        <v>0</v>
      </c>
      <c r="P191" s="133">
        <f t="shared" si="34"/>
        <v>0</v>
      </c>
      <c r="Q191" s="131" t="str">
        <f t="shared" si="35"/>
        <v/>
      </c>
    </row>
    <row r="192" spans="1:17" ht="13">
      <c r="A192" s="126">
        <v>185</v>
      </c>
      <c r="B192" s="127"/>
      <c r="C192" s="128"/>
      <c r="D192" s="417"/>
      <c r="E192" s="418"/>
      <c r="F192" s="129">
        <v>0</v>
      </c>
      <c r="G192" s="337"/>
      <c r="H192" s="337"/>
      <c r="I192" s="337"/>
      <c r="J192" s="337"/>
      <c r="K192" s="336">
        <f t="shared" si="30"/>
        <v>0</v>
      </c>
      <c r="L192" s="130">
        <f t="shared" si="31"/>
        <v>0</v>
      </c>
      <c r="M192" s="131" t="str">
        <f t="shared" si="32"/>
        <v/>
      </c>
      <c r="N192" s="132">
        <v>0</v>
      </c>
      <c r="O192" s="133">
        <f t="shared" si="33"/>
        <v>0</v>
      </c>
      <c r="P192" s="133">
        <f t="shared" si="34"/>
        <v>0</v>
      </c>
      <c r="Q192" s="131" t="str">
        <f t="shared" si="35"/>
        <v/>
      </c>
    </row>
    <row r="193" spans="1:105" ht="13">
      <c r="A193" s="126">
        <v>186</v>
      </c>
      <c r="B193" s="127"/>
      <c r="C193" s="128"/>
      <c r="D193" s="417"/>
      <c r="E193" s="418"/>
      <c r="F193" s="129">
        <v>0</v>
      </c>
      <c r="G193" s="337"/>
      <c r="H193" s="337"/>
      <c r="I193" s="337"/>
      <c r="J193" s="337"/>
      <c r="K193" s="336">
        <f t="shared" si="30"/>
        <v>0</v>
      </c>
      <c r="L193" s="130">
        <f t="shared" si="31"/>
        <v>0</v>
      </c>
      <c r="M193" s="131" t="str">
        <f t="shared" si="32"/>
        <v/>
      </c>
      <c r="N193" s="132">
        <v>0</v>
      </c>
      <c r="O193" s="133">
        <f t="shared" si="33"/>
        <v>0</v>
      </c>
      <c r="P193" s="133">
        <f t="shared" si="34"/>
        <v>0</v>
      </c>
      <c r="Q193" s="131" t="str">
        <f t="shared" si="35"/>
        <v/>
      </c>
    </row>
    <row r="194" spans="1:105" ht="13">
      <c r="A194" s="126">
        <v>187</v>
      </c>
      <c r="B194" s="127"/>
      <c r="C194" s="128"/>
      <c r="D194" s="417"/>
      <c r="E194" s="418"/>
      <c r="F194" s="129">
        <v>0</v>
      </c>
      <c r="G194" s="337"/>
      <c r="H194" s="337"/>
      <c r="I194" s="337"/>
      <c r="J194" s="337"/>
      <c r="K194" s="336">
        <f t="shared" si="30"/>
        <v>0</v>
      </c>
      <c r="L194" s="130">
        <f t="shared" si="31"/>
        <v>0</v>
      </c>
      <c r="M194" s="131" t="str">
        <f t="shared" si="32"/>
        <v/>
      </c>
      <c r="N194" s="132">
        <v>0</v>
      </c>
      <c r="O194" s="133">
        <f t="shared" si="33"/>
        <v>0</v>
      </c>
      <c r="P194" s="133">
        <f t="shared" si="34"/>
        <v>0</v>
      </c>
      <c r="Q194" s="131" t="str">
        <f t="shared" si="35"/>
        <v/>
      </c>
    </row>
    <row r="195" spans="1:105" ht="13">
      <c r="A195" s="126">
        <v>188</v>
      </c>
      <c r="B195" s="127"/>
      <c r="C195" s="128"/>
      <c r="D195" s="417"/>
      <c r="E195" s="418"/>
      <c r="F195" s="129">
        <v>0</v>
      </c>
      <c r="G195" s="337"/>
      <c r="H195" s="337"/>
      <c r="I195" s="337"/>
      <c r="J195" s="337"/>
      <c r="K195" s="336">
        <f t="shared" si="30"/>
        <v>0</v>
      </c>
      <c r="L195" s="130">
        <f t="shared" si="31"/>
        <v>0</v>
      </c>
      <c r="M195" s="131" t="str">
        <f t="shared" si="32"/>
        <v/>
      </c>
      <c r="N195" s="132">
        <v>0</v>
      </c>
      <c r="O195" s="133">
        <f t="shared" si="33"/>
        <v>0</v>
      </c>
      <c r="P195" s="133">
        <f t="shared" si="34"/>
        <v>0</v>
      </c>
      <c r="Q195" s="131" t="str">
        <f t="shared" si="35"/>
        <v/>
      </c>
    </row>
    <row r="196" spans="1:105" ht="13">
      <c r="A196" s="126">
        <v>189</v>
      </c>
      <c r="B196" s="127"/>
      <c r="C196" s="128"/>
      <c r="D196" s="417"/>
      <c r="E196" s="418"/>
      <c r="F196" s="129">
        <v>0</v>
      </c>
      <c r="G196" s="337"/>
      <c r="H196" s="337"/>
      <c r="I196" s="337"/>
      <c r="J196" s="337"/>
      <c r="K196" s="336">
        <f t="shared" si="30"/>
        <v>0</v>
      </c>
      <c r="L196" s="130">
        <f t="shared" si="31"/>
        <v>0</v>
      </c>
      <c r="M196" s="131" t="str">
        <f t="shared" si="32"/>
        <v/>
      </c>
      <c r="N196" s="132">
        <v>0</v>
      </c>
      <c r="O196" s="133">
        <f t="shared" si="33"/>
        <v>0</v>
      </c>
      <c r="P196" s="133">
        <f t="shared" si="34"/>
        <v>0</v>
      </c>
      <c r="Q196" s="131" t="str">
        <f t="shared" si="35"/>
        <v/>
      </c>
    </row>
    <row r="197" spans="1:105" ht="13">
      <c r="A197" s="126">
        <v>190</v>
      </c>
      <c r="B197" s="127"/>
      <c r="C197" s="128"/>
      <c r="D197" s="417"/>
      <c r="E197" s="418"/>
      <c r="F197" s="129">
        <v>0</v>
      </c>
      <c r="G197" s="337"/>
      <c r="H197" s="337"/>
      <c r="I197" s="337"/>
      <c r="J197" s="337"/>
      <c r="K197" s="336">
        <f t="shared" si="30"/>
        <v>0</v>
      </c>
      <c r="L197" s="130">
        <f t="shared" si="31"/>
        <v>0</v>
      </c>
      <c r="M197" s="131" t="str">
        <f t="shared" si="32"/>
        <v/>
      </c>
      <c r="N197" s="132">
        <v>0</v>
      </c>
      <c r="O197" s="133">
        <f t="shared" si="33"/>
        <v>0</v>
      </c>
      <c r="P197" s="133">
        <f t="shared" si="34"/>
        <v>0</v>
      </c>
      <c r="Q197" s="131" t="str">
        <f t="shared" si="35"/>
        <v/>
      </c>
    </row>
    <row r="198" spans="1:105" ht="13">
      <c r="A198" s="126">
        <v>191</v>
      </c>
      <c r="B198" s="127"/>
      <c r="C198" s="128"/>
      <c r="D198" s="417"/>
      <c r="E198" s="418"/>
      <c r="F198" s="129">
        <v>0</v>
      </c>
      <c r="G198" s="337"/>
      <c r="H198" s="337"/>
      <c r="I198" s="337"/>
      <c r="J198" s="337"/>
      <c r="K198" s="336">
        <f t="shared" si="30"/>
        <v>0</v>
      </c>
      <c r="L198" s="130">
        <f t="shared" si="31"/>
        <v>0</v>
      </c>
      <c r="M198" s="131" t="str">
        <f t="shared" si="32"/>
        <v/>
      </c>
      <c r="N198" s="132">
        <v>0</v>
      </c>
      <c r="O198" s="133">
        <f t="shared" si="33"/>
        <v>0</v>
      </c>
      <c r="P198" s="133">
        <f t="shared" si="34"/>
        <v>0</v>
      </c>
      <c r="Q198" s="131" t="str">
        <f t="shared" si="35"/>
        <v/>
      </c>
    </row>
    <row r="199" spans="1:105" ht="13">
      <c r="A199" s="126">
        <v>192</v>
      </c>
      <c r="B199" s="127"/>
      <c r="C199" s="128"/>
      <c r="D199" s="417"/>
      <c r="E199" s="418"/>
      <c r="F199" s="129">
        <v>0</v>
      </c>
      <c r="G199" s="337"/>
      <c r="H199" s="337"/>
      <c r="I199" s="337"/>
      <c r="J199" s="337"/>
      <c r="K199" s="336">
        <f t="shared" si="30"/>
        <v>0</v>
      </c>
      <c r="L199" s="130">
        <f t="shared" si="31"/>
        <v>0</v>
      </c>
      <c r="M199" s="131" t="str">
        <f t="shared" si="32"/>
        <v/>
      </c>
      <c r="N199" s="132">
        <v>0</v>
      </c>
      <c r="O199" s="133">
        <f t="shared" si="33"/>
        <v>0</v>
      </c>
      <c r="P199" s="133">
        <f t="shared" si="34"/>
        <v>0</v>
      </c>
      <c r="Q199" s="131" t="str">
        <f t="shared" si="35"/>
        <v/>
      </c>
    </row>
    <row r="200" spans="1:105" ht="13">
      <c r="A200" s="126">
        <v>193</v>
      </c>
      <c r="B200" s="127"/>
      <c r="C200" s="128"/>
      <c r="D200" s="417"/>
      <c r="E200" s="418"/>
      <c r="F200" s="129">
        <v>0</v>
      </c>
      <c r="G200" s="337"/>
      <c r="H200" s="337"/>
      <c r="I200" s="337"/>
      <c r="J200" s="337"/>
      <c r="K200" s="336">
        <f t="shared" ref="K200:K207" si="36">MAXA(G200:J200)</f>
        <v>0</v>
      </c>
      <c r="L200" s="130">
        <f t="shared" ref="L200:L207" si="37">F200*K200</f>
        <v>0</v>
      </c>
      <c r="M200" s="131" t="str">
        <f t="shared" ref="M200:M207" si="38">IF(L200&gt;0,RANK(L200,L$8:L$207),"")</f>
        <v/>
      </c>
      <c r="N200" s="132">
        <v>0</v>
      </c>
      <c r="O200" s="133">
        <f t="shared" ref="O200:O207" si="39">N200*Sensib</f>
        <v>0</v>
      </c>
      <c r="P200" s="133">
        <f t="shared" ref="P200:P207" si="40">F200*O200</f>
        <v>0</v>
      </c>
      <c r="Q200" s="131" t="str">
        <f t="shared" ref="Q200:Q207" si="41">IF(P200&gt;0,RANK(P200,AmeaPreVE,0),"")</f>
        <v/>
      </c>
    </row>
    <row r="201" spans="1:105" ht="13">
      <c r="A201" s="126">
        <v>194</v>
      </c>
      <c r="B201" s="127"/>
      <c r="C201" s="128"/>
      <c r="D201" s="417"/>
      <c r="E201" s="418"/>
      <c r="F201" s="129">
        <v>0</v>
      </c>
      <c r="G201" s="337"/>
      <c r="H201" s="337"/>
      <c r="I201" s="337"/>
      <c r="J201" s="337"/>
      <c r="K201" s="336">
        <f t="shared" si="36"/>
        <v>0</v>
      </c>
      <c r="L201" s="130">
        <f t="shared" si="37"/>
        <v>0</v>
      </c>
      <c r="M201" s="131" t="str">
        <f t="shared" si="38"/>
        <v/>
      </c>
      <c r="N201" s="132">
        <v>0</v>
      </c>
      <c r="O201" s="133">
        <f t="shared" si="39"/>
        <v>0</v>
      </c>
      <c r="P201" s="133">
        <f t="shared" si="40"/>
        <v>0</v>
      </c>
      <c r="Q201" s="131" t="str">
        <f t="shared" si="41"/>
        <v/>
      </c>
    </row>
    <row r="202" spans="1:105" ht="13">
      <c r="A202" s="126">
        <v>195</v>
      </c>
      <c r="B202" s="127"/>
      <c r="C202" s="128"/>
      <c r="D202" s="417"/>
      <c r="E202" s="418"/>
      <c r="F202" s="129">
        <v>0</v>
      </c>
      <c r="G202" s="337"/>
      <c r="H202" s="337"/>
      <c r="I202" s="337"/>
      <c r="J202" s="337"/>
      <c r="K202" s="336">
        <f t="shared" si="36"/>
        <v>0</v>
      </c>
      <c r="L202" s="130">
        <f t="shared" si="37"/>
        <v>0</v>
      </c>
      <c r="M202" s="131" t="str">
        <f t="shared" si="38"/>
        <v/>
      </c>
      <c r="N202" s="132">
        <v>0</v>
      </c>
      <c r="O202" s="133">
        <f t="shared" si="39"/>
        <v>0</v>
      </c>
      <c r="P202" s="133">
        <f t="shared" si="40"/>
        <v>0</v>
      </c>
      <c r="Q202" s="131" t="str">
        <f t="shared" si="41"/>
        <v/>
      </c>
    </row>
    <row r="203" spans="1:105" ht="13">
      <c r="A203" s="126">
        <v>196</v>
      </c>
      <c r="B203" s="127"/>
      <c r="C203" s="128"/>
      <c r="D203" s="417"/>
      <c r="E203" s="418"/>
      <c r="F203" s="129">
        <v>0</v>
      </c>
      <c r="G203" s="337"/>
      <c r="H203" s="337"/>
      <c r="I203" s="337"/>
      <c r="J203" s="337"/>
      <c r="K203" s="336">
        <f t="shared" si="36"/>
        <v>0</v>
      </c>
      <c r="L203" s="130">
        <f t="shared" si="37"/>
        <v>0</v>
      </c>
      <c r="M203" s="131" t="str">
        <f t="shared" si="38"/>
        <v/>
      </c>
      <c r="N203" s="132">
        <v>0</v>
      </c>
      <c r="O203" s="133">
        <f t="shared" si="39"/>
        <v>0</v>
      </c>
      <c r="P203" s="133">
        <f t="shared" si="40"/>
        <v>0</v>
      </c>
      <c r="Q203" s="131" t="str">
        <f t="shared" si="41"/>
        <v/>
      </c>
    </row>
    <row r="204" spans="1:105" ht="13">
      <c r="A204" s="126">
        <v>197</v>
      </c>
      <c r="B204" s="127"/>
      <c r="C204" s="128"/>
      <c r="D204" s="417"/>
      <c r="E204" s="418"/>
      <c r="F204" s="129">
        <v>0</v>
      </c>
      <c r="G204" s="337"/>
      <c r="H204" s="337"/>
      <c r="I204" s="337"/>
      <c r="J204" s="337"/>
      <c r="K204" s="336">
        <f t="shared" si="36"/>
        <v>0</v>
      </c>
      <c r="L204" s="130">
        <f t="shared" si="37"/>
        <v>0</v>
      </c>
      <c r="M204" s="131" t="str">
        <f t="shared" si="38"/>
        <v/>
      </c>
      <c r="N204" s="132">
        <v>0</v>
      </c>
      <c r="O204" s="133">
        <f t="shared" si="39"/>
        <v>0</v>
      </c>
      <c r="P204" s="133">
        <f t="shared" si="40"/>
        <v>0</v>
      </c>
      <c r="Q204" s="131" t="str">
        <f t="shared" si="41"/>
        <v/>
      </c>
    </row>
    <row r="205" spans="1:105" ht="13">
      <c r="A205" s="126">
        <v>198</v>
      </c>
      <c r="B205" s="127"/>
      <c r="C205" s="128"/>
      <c r="D205" s="417"/>
      <c r="E205" s="418"/>
      <c r="F205" s="129">
        <v>0</v>
      </c>
      <c r="G205" s="337"/>
      <c r="H205" s="337"/>
      <c r="I205" s="337"/>
      <c r="J205" s="337"/>
      <c r="K205" s="336">
        <f t="shared" si="36"/>
        <v>0</v>
      </c>
      <c r="L205" s="130">
        <f t="shared" si="37"/>
        <v>0</v>
      </c>
      <c r="M205" s="131" t="str">
        <f t="shared" si="38"/>
        <v/>
      </c>
      <c r="N205" s="132">
        <v>0</v>
      </c>
      <c r="O205" s="133">
        <f t="shared" si="39"/>
        <v>0</v>
      </c>
      <c r="P205" s="133">
        <f t="shared" si="40"/>
        <v>0</v>
      </c>
      <c r="Q205" s="131" t="str">
        <f t="shared" si="41"/>
        <v/>
      </c>
    </row>
    <row r="206" spans="1:105" ht="13">
      <c r="A206" s="126">
        <v>199</v>
      </c>
      <c r="B206" s="127"/>
      <c r="C206" s="128"/>
      <c r="D206" s="417"/>
      <c r="E206" s="418"/>
      <c r="F206" s="129">
        <v>0</v>
      </c>
      <c r="G206" s="337"/>
      <c r="H206" s="337"/>
      <c r="I206" s="337"/>
      <c r="J206" s="337"/>
      <c r="K206" s="336">
        <f t="shared" si="36"/>
        <v>0</v>
      </c>
      <c r="L206" s="130">
        <f t="shared" si="37"/>
        <v>0</v>
      </c>
      <c r="M206" s="131" t="str">
        <f t="shared" si="38"/>
        <v/>
      </c>
      <c r="N206" s="132">
        <v>0</v>
      </c>
      <c r="O206" s="133">
        <f t="shared" si="39"/>
        <v>0</v>
      </c>
      <c r="P206" s="133">
        <f t="shared" si="40"/>
        <v>0</v>
      </c>
      <c r="Q206" s="131" t="str">
        <f t="shared" si="41"/>
        <v/>
      </c>
    </row>
    <row r="207" spans="1:105" ht="13">
      <c r="A207" s="126">
        <v>200</v>
      </c>
      <c r="B207" s="127"/>
      <c r="C207" s="128"/>
      <c r="D207" s="417"/>
      <c r="E207" s="418"/>
      <c r="F207" s="129">
        <v>0</v>
      </c>
      <c r="G207" s="337"/>
      <c r="H207" s="337"/>
      <c r="I207" s="337"/>
      <c r="J207" s="337"/>
      <c r="K207" s="336">
        <f t="shared" si="36"/>
        <v>0</v>
      </c>
      <c r="L207" s="130">
        <f t="shared" si="37"/>
        <v>0</v>
      </c>
      <c r="M207" s="131" t="str">
        <f t="shared" si="38"/>
        <v/>
      </c>
      <c r="N207" s="132">
        <v>0</v>
      </c>
      <c r="O207" s="133">
        <f t="shared" si="39"/>
        <v>0</v>
      </c>
      <c r="P207" s="133">
        <f t="shared" si="40"/>
        <v>0</v>
      </c>
      <c r="Q207" s="131" t="str">
        <f t="shared" si="41"/>
        <v/>
      </c>
    </row>
    <row r="208" spans="1:105" s="12" customFormat="1">
      <c r="A208" s="7"/>
      <c r="B208" s="64"/>
      <c r="C208" s="7"/>
      <c r="D208" s="6"/>
      <c r="E208" s="6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9"/>
      <c r="Q208" s="9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</row>
    <row r="209" spans="1:105" s="14" customFormat="1" ht="13">
      <c r="A209" s="136" t="s">
        <v>28</v>
      </c>
      <c r="B209" s="137"/>
      <c r="C209" s="138" t="s">
        <v>13</v>
      </c>
      <c r="D209" s="139"/>
      <c r="E209" s="9"/>
      <c r="F209" s="13"/>
      <c r="G209" s="13"/>
      <c r="H209" s="13"/>
      <c r="I209" s="13"/>
      <c r="J209" s="13"/>
      <c r="K209" s="13"/>
      <c r="L209" s="13"/>
      <c r="M209" s="13"/>
      <c r="N209" s="13"/>
      <c r="O209" s="7"/>
      <c r="P209" s="9"/>
      <c r="Q209" s="9"/>
      <c r="R209" s="1"/>
      <c r="S209" s="1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</row>
    <row r="210" spans="1:105" s="14" customFormat="1">
      <c r="A210" s="7"/>
      <c r="B210" s="64"/>
      <c r="C210" s="13"/>
      <c r="D210" s="9"/>
      <c r="E210" s="9"/>
      <c r="F210" s="13"/>
      <c r="G210" s="13"/>
      <c r="H210" s="13"/>
      <c r="I210" s="13"/>
      <c r="J210" s="13"/>
      <c r="K210" s="13"/>
      <c r="L210" s="13"/>
      <c r="M210" s="13"/>
      <c r="N210" s="13"/>
      <c r="O210" s="7"/>
      <c r="P210" s="9"/>
      <c r="Q210" s="9"/>
      <c r="R210" s="1"/>
      <c r="S210" s="1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</row>
    <row r="211" spans="1:105" s="14" customFormat="1" ht="13">
      <c r="A211" s="136" t="s">
        <v>10</v>
      </c>
      <c r="B211" s="137"/>
      <c r="C211" s="138" t="s">
        <v>40</v>
      </c>
      <c r="D211" s="139"/>
      <c r="E211" s="139"/>
      <c r="F211" s="138"/>
      <c r="G211" s="138"/>
      <c r="H211" s="138"/>
      <c r="I211" s="138"/>
      <c r="J211" s="138"/>
      <c r="K211" s="138"/>
      <c r="L211" s="138"/>
      <c r="M211" s="138"/>
      <c r="N211" s="13"/>
      <c r="O211" s="7"/>
      <c r="P211" s="9"/>
      <c r="Q211" s="9"/>
      <c r="R211" s="1"/>
      <c r="S211" s="1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L211" s="9"/>
      <c r="CM211" s="9"/>
      <c r="CN211" s="9"/>
      <c r="CO211" s="9"/>
      <c r="CP211" s="9"/>
      <c r="CQ211" s="9"/>
      <c r="CR211" s="9"/>
      <c r="CS211" s="9"/>
      <c r="CT211" s="9"/>
      <c r="CU211" s="9"/>
      <c r="CV211" s="9"/>
      <c r="CW211" s="9"/>
      <c r="CX211" s="9"/>
      <c r="CY211" s="9"/>
      <c r="CZ211" s="9"/>
      <c r="DA211" s="9"/>
    </row>
    <row r="212" spans="1:105" s="12" customFormat="1">
      <c r="A212" s="7"/>
      <c r="B212" s="64"/>
      <c r="C212" s="7"/>
      <c r="D212" s="6"/>
      <c r="E212" s="6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9"/>
      <c r="Q212" s="9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</row>
  </sheetData>
  <autoFilter ref="A6:Q7" xr:uid="{00000000-0009-0000-0000-000002000000}">
    <filterColumn colId="3" showButton="0"/>
  </autoFilter>
  <dataConsolidate/>
  <mergeCells count="202">
    <mergeCell ref="D13:E13"/>
    <mergeCell ref="D14:E14"/>
    <mergeCell ref="D15:E15"/>
    <mergeCell ref="D16:E16"/>
    <mergeCell ref="D17:E17"/>
    <mergeCell ref="D18:E18"/>
    <mergeCell ref="D6:E6"/>
    <mergeCell ref="D8:E8"/>
    <mergeCell ref="D9:E9"/>
    <mergeCell ref="D10:E10"/>
    <mergeCell ref="D11:E11"/>
    <mergeCell ref="D12:E12"/>
    <mergeCell ref="D7:E7"/>
    <mergeCell ref="D25:E25"/>
    <mergeCell ref="D26:E26"/>
    <mergeCell ref="D27:E27"/>
    <mergeCell ref="D28:E28"/>
    <mergeCell ref="D29:E29"/>
    <mergeCell ref="D30:E30"/>
    <mergeCell ref="D19:E19"/>
    <mergeCell ref="D20:E20"/>
    <mergeCell ref="D21:E21"/>
    <mergeCell ref="D22:E22"/>
    <mergeCell ref="D23:E23"/>
    <mergeCell ref="D24:E24"/>
    <mergeCell ref="D37:E37"/>
    <mergeCell ref="D38:E38"/>
    <mergeCell ref="D39:E39"/>
    <mergeCell ref="D40:E40"/>
    <mergeCell ref="D41:E41"/>
    <mergeCell ref="D42:E42"/>
    <mergeCell ref="D31:E31"/>
    <mergeCell ref="D32:E32"/>
    <mergeCell ref="D33:E33"/>
    <mergeCell ref="D34:E34"/>
    <mergeCell ref="D35:E35"/>
    <mergeCell ref="D36:E36"/>
    <mergeCell ref="D49:E49"/>
    <mergeCell ref="D50:E50"/>
    <mergeCell ref="D51:E51"/>
    <mergeCell ref="D52:E52"/>
    <mergeCell ref="D53:E53"/>
    <mergeCell ref="D54:E54"/>
    <mergeCell ref="D43:E43"/>
    <mergeCell ref="D44:E44"/>
    <mergeCell ref="D45:E45"/>
    <mergeCell ref="D46:E46"/>
    <mergeCell ref="D47:E47"/>
    <mergeCell ref="D48:E48"/>
    <mergeCell ref="D61:E61"/>
    <mergeCell ref="D62:E62"/>
    <mergeCell ref="D63:E63"/>
    <mergeCell ref="D64:E64"/>
    <mergeCell ref="D65:E65"/>
    <mergeCell ref="D66:E66"/>
    <mergeCell ref="D55:E55"/>
    <mergeCell ref="D56:E56"/>
    <mergeCell ref="D57:E57"/>
    <mergeCell ref="D58:E58"/>
    <mergeCell ref="D59:E59"/>
    <mergeCell ref="D60:E60"/>
    <mergeCell ref="D73:E73"/>
    <mergeCell ref="D74:E74"/>
    <mergeCell ref="D75:E75"/>
    <mergeCell ref="D76:E76"/>
    <mergeCell ref="D77:E77"/>
    <mergeCell ref="D78:E78"/>
    <mergeCell ref="D67:E67"/>
    <mergeCell ref="D68:E68"/>
    <mergeCell ref="D69:E69"/>
    <mergeCell ref="D70:E70"/>
    <mergeCell ref="D71:E71"/>
    <mergeCell ref="D72:E72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109:E109"/>
    <mergeCell ref="D110:E110"/>
    <mergeCell ref="D111:E111"/>
    <mergeCell ref="D112:E112"/>
    <mergeCell ref="D113:E113"/>
    <mergeCell ref="D114:E114"/>
    <mergeCell ref="D103:E103"/>
    <mergeCell ref="D104:E104"/>
    <mergeCell ref="D105:E105"/>
    <mergeCell ref="D106:E106"/>
    <mergeCell ref="D107:E107"/>
    <mergeCell ref="D108:E108"/>
    <mergeCell ref="D121:E121"/>
    <mergeCell ref="D122:E122"/>
    <mergeCell ref="D123:E123"/>
    <mergeCell ref="D124:E124"/>
    <mergeCell ref="D125:E125"/>
    <mergeCell ref="D126:E126"/>
    <mergeCell ref="D115:E115"/>
    <mergeCell ref="D116:E116"/>
    <mergeCell ref="D117:E117"/>
    <mergeCell ref="D118:E118"/>
    <mergeCell ref="D119:E119"/>
    <mergeCell ref="D120:E120"/>
    <mergeCell ref="D133:E133"/>
    <mergeCell ref="D134:E134"/>
    <mergeCell ref="D135:E135"/>
    <mergeCell ref="D136:E136"/>
    <mergeCell ref="D137:E137"/>
    <mergeCell ref="D138:E138"/>
    <mergeCell ref="D127:E127"/>
    <mergeCell ref="D128:E128"/>
    <mergeCell ref="D129:E129"/>
    <mergeCell ref="D130:E130"/>
    <mergeCell ref="D131:E131"/>
    <mergeCell ref="D132:E132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D157:E157"/>
    <mergeCell ref="D158:E158"/>
    <mergeCell ref="D159:E159"/>
    <mergeCell ref="D160:E160"/>
    <mergeCell ref="D161:E161"/>
    <mergeCell ref="D162:E162"/>
    <mergeCell ref="D151:E151"/>
    <mergeCell ref="D152:E152"/>
    <mergeCell ref="D153:E153"/>
    <mergeCell ref="D154:E154"/>
    <mergeCell ref="D155:E155"/>
    <mergeCell ref="D156:E156"/>
    <mergeCell ref="D169:E169"/>
    <mergeCell ref="D170:E170"/>
    <mergeCell ref="D171:E171"/>
    <mergeCell ref="D172:E172"/>
    <mergeCell ref="D173:E173"/>
    <mergeCell ref="D174:E174"/>
    <mergeCell ref="D163:E163"/>
    <mergeCell ref="D164:E164"/>
    <mergeCell ref="D165:E165"/>
    <mergeCell ref="D166:E166"/>
    <mergeCell ref="D167:E167"/>
    <mergeCell ref="D168:E168"/>
    <mergeCell ref="D181:E181"/>
    <mergeCell ref="D182:E182"/>
    <mergeCell ref="D183:E183"/>
    <mergeCell ref="D184:E184"/>
    <mergeCell ref="D185:E185"/>
    <mergeCell ref="D186:E186"/>
    <mergeCell ref="D175:E175"/>
    <mergeCell ref="D176:E176"/>
    <mergeCell ref="D177:E177"/>
    <mergeCell ref="D178:E178"/>
    <mergeCell ref="D179:E179"/>
    <mergeCell ref="D180:E180"/>
    <mergeCell ref="D193:E193"/>
    <mergeCell ref="D194:E194"/>
    <mergeCell ref="D195:E195"/>
    <mergeCell ref="D196:E196"/>
    <mergeCell ref="D197:E197"/>
    <mergeCell ref="D198:E198"/>
    <mergeCell ref="D187:E187"/>
    <mergeCell ref="D188:E188"/>
    <mergeCell ref="D189:E189"/>
    <mergeCell ref="D190:E190"/>
    <mergeCell ref="D191:E191"/>
    <mergeCell ref="D192:E192"/>
    <mergeCell ref="D205:E205"/>
    <mergeCell ref="D206:E206"/>
    <mergeCell ref="D207:E207"/>
    <mergeCell ref="D199:E199"/>
    <mergeCell ref="D200:E200"/>
    <mergeCell ref="D201:E201"/>
    <mergeCell ref="D202:E202"/>
    <mergeCell ref="D203:E203"/>
    <mergeCell ref="D204:E204"/>
  </mergeCells>
  <phoneticPr fontId="0" type="noConversion"/>
  <conditionalFormatting sqref="L8:L207">
    <cfRule type="cellIs" dxfId="406" priority="2" stopIfTrue="1" operator="between">
      <formula>0.0001</formula>
      <formula>$T$5</formula>
    </cfRule>
    <cfRule type="cellIs" dxfId="405" priority="3" stopIfTrue="1" operator="between">
      <formula>$T$5</formula>
      <formula>$T$6</formula>
    </cfRule>
    <cfRule type="cellIs" dxfId="404" priority="4" operator="greaterThan">
      <formula>$T$6</formula>
    </cfRule>
  </conditionalFormatting>
  <dataValidations count="1">
    <dataValidation type="list" allowBlank="1" showInputMessage="1" showErrorMessage="1" sqref="G8:J207" xr:uid="{00000000-0002-0000-0200-000000000000}">
      <formula1>$V$1:$V$5</formula1>
    </dataValidation>
  </dataValidations>
  <pageMargins left="0.78740157499999996" right="0.78740157499999996" top="0.984251969" bottom="0.984251969" header="0.49212598499999999" footer="0.49212598499999999"/>
  <pageSetup paperSize="9" scale="80" orientation="landscape" horizontalDpi="360" verticalDpi="360" r:id="rId1"/>
  <headerFooter alignWithMargins="0"/>
  <ignoredErrors>
    <ignoredError sqref="J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1" r:id="rId4" name="Botao1">
              <controlPr defaultSize="0" print="0" autoFill="0" autoPict="0" macro="[0]!Classifica_rank">
                <anchor moveWithCells="1" sizeWithCells="1">
                  <from>
                    <xdr:col>12</xdr:col>
                    <xdr:colOff>76200</xdr:colOff>
                    <xdr:row>3</xdr:row>
                    <xdr:rowOff>88900</xdr:rowOff>
                  </from>
                  <to>
                    <xdr:col>12</xdr:col>
                    <xdr:colOff>679450</xdr:colOff>
                    <xdr:row>4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>
    <tabColor rgb="FF00B050"/>
  </sheetPr>
  <dimension ref="A1:DB211"/>
  <sheetViews>
    <sheetView zoomScale="90" workbookViewId="0">
      <pane ySplit="7" topLeftCell="A8" activePane="bottomLeft" state="frozen"/>
      <selection pane="bottomLeft" activeCell="D9" sqref="D9:E9"/>
    </sheetView>
  </sheetViews>
  <sheetFormatPr defaultColWidth="9.09765625" defaultRowHeight="12.5"/>
  <cols>
    <col min="1" max="1" width="4.69921875" style="7" customWidth="1"/>
    <col min="2" max="2" width="11.296875" style="64" bestFit="1" customWidth="1"/>
    <col min="3" max="3" width="16.59765625" style="7" customWidth="1"/>
    <col min="4" max="4" width="35.69921875" style="6" customWidth="1"/>
    <col min="5" max="5" width="26" style="6" customWidth="1"/>
    <col min="6" max="6" width="11.296875" style="7" bestFit="1" customWidth="1"/>
    <col min="7" max="13" width="11.296875" style="7" customWidth="1"/>
    <col min="14" max="14" width="14.3984375" style="7" customWidth="1"/>
    <col min="15" max="15" width="16.296875" style="7" customWidth="1"/>
    <col min="16" max="16" width="15.69921875" style="7" customWidth="1"/>
    <col min="17" max="17" width="9.09765625" style="9"/>
    <col min="18" max="18" width="9.09765625" style="1"/>
    <col min="19" max="19" width="8.8984375" style="1" customWidth="1"/>
    <col min="20" max="20" width="13.69921875" style="1" hidden="1" customWidth="1"/>
    <col min="21" max="21" width="14.8984375" style="1" hidden="1" customWidth="1"/>
    <col min="22" max="22" width="12.09765625" style="1" hidden="1" customWidth="1"/>
    <col min="23" max="23" width="10.09765625" style="1" customWidth="1"/>
    <col min="24" max="16384" width="9.09765625" style="1"/>
  </cols>
  <sheetData>
    <row r="1" spans="1:23" ht="18">
      <c r="A1" s="141" t="s">
        <v>193</v>
      </c>
      <c r="B1" s="142"/>
      <c r="C1" s="143"/>
      <c r="D1" s="144"/>
      <c r="E1" s="144"/>
      <c r="F1" s="92"/>
      <c r="G1" s="90"/>
      <c r="H1" s="90"/>
      <c r="I1" s="90"/>
      <c r="J1" s="90"/>
      <c r="K1" s="90"/>
      <c r="L1" s="90"/>
      <c r="M1" s="93"/>
      <c r="N1" s="145"/>
      <c r="O1" s="146" t="s">
        <v>11</v>
      </c>
      <c r="P1" s="161"/>
      <c r="Q1" s="150"/>
      <c r="T1" s="314" t="s">
        <v>134</v>
      </c>
      <c r="U1" s="388">
        <f>Escalas!C13</f>
        <v>0.05</v>
      </c>
      <c r="V1" s="1" t="s">
        <v>3</v>
      </c>
    </row>
    <row r="2" spans="1:23" ht="13">
      <c r="A2" s="98"/>
      <c r="B2" s="89"/>
      <c r="C2" s="96" t="s">
        <v>0</v>
      </c>
      <c r="D2" s="96" t="str">
        <f>Abertura!B6</f>
        <v>Projeto Realização do Churrasco da Turma</v>
      </c>
      <c r="E2" s="96"/>
      <c r="F2" s="100" t="s">
        <v>11</v>
      </c>
      <c r="G2" s="94"/>
      <c r="H2" s="94"/>
      <c r="I2" s="96"/>
      <c r="J2" s="119" t="s">
        <v>82</v>
      </c>
      <c r="K2" s="96"/>
      <c r="L2" s="94"/>
      <c r="M2" s="101"/>
      <c r="N2" s="96" t="s">
        <v>85</v>
      </c>
      <c r="O2" s="89"/>
      <c r="P2" s="162">
        <f>Abertura!B9</f>
        <v>45277</v>
      </c>
      <c r="Q2" s="97"/>
      <c r="T2" s="314" t="s">
        <v>135</v>
      </c>
      <c r="U2" s="389">
        <f>Escalas!C14</f>
        <v>0.1</v>
      </c>
      <c r="V2" s="1" t="s">
        <v>100</v>
      </c>
    </row>
    <row r="3" spans="1:23" ht="13">
      <c r="A3" s="98"/>
      <c r="B3" s="89"/>
      <c r="C3" s="96" t="s">
        <v>14</v>
      </c>
      <c r="D3" s="96" t="str">
        <f>Abertura!B7</f>
        <v>Turma MBA GP18</v>
      </c>
      <c r="E3" s="96"/>
      <c r="F3" s="92"/>
      <c r="G3" s="90"/>
      <c r="H3" s="90"/>
      <c r="I3" s="90"/>
      <c r="J3" s="90"/>
      <c r="K3" s="90"/>
      <c r="L3" s="90"/>
      <c r="M3" s="93"/>
      <c r="N3" s="90"/>
      <c r="O3" s="89"/>
      <c r="P3" s="161" t="s">
        <v>10</v>
      </c>
      <c r="Q3" s="2">
        <v>1</v>
      </c>
      <c r="U3" s="390">
        <f>Escalas!C15</f>
        <v>0.2</v>
      </c>
      <c r="V3" s="1" t="s">
        <v>102</v>
      </c>
    </row>
    <row r="4" spans="1:23" ht="13">
      <c r="A4" s="98"/>
      <c r="B4" s="89"/>
      <c r="C4" s="96" t="s">
        <v>15</v>
      </c>
      <c r="D4" s="96" t="str">
        <f>Abertura!B8</f>
        <v>Vicente</v>
      </c>
      <c r="E4" s="96"/>
      <c r="F4" s="92"/>
      <c r="G4" s="338" t="s">
        <v>166</v>
      </c>
      <c r="H4" s="338"/>
      <c r="I4" s="338"/>
      <c r="J4" s="339">
        <f>SUMIF(L8:L207,"&lt;&gt;0")/(COUNTIFS(L8:L207,"&lt;&gt;0")*Escalas!G23)</f>
        <v>0.69444444444444431</v>
      </c>
      <c r="K4" s="90"/>
      <c r="L4" s="90"/>
      <c r="M4" s="93"/>
      <c r="N4" s="90"/>
      <c r="O4" s="96"/>
      <c r="P4" s="163"/>
      <c r="Q4" s="97"/>
      <c r="T4" s="315">
        <f>Escalas!C24+0.005</f>
        <v>3.9999999999999994E-2</v>
      </c>
      <c r="U4" s="391">
        <f>Escalas!C16</f>
        <v>0.4</v>
      </c>
      <c r="V4" s="1" t="s">
        <v>105</v>
      </c>
    </row>
    <row r="5" spans="1:23" s="27" customFormat="1" ht="16" thickBot="1">
      <c r="A5" s="109"/>
      <c r="B5" s="110"/>
      <c r="C5" s="111"/>
      <c r="D5" s="112"/>
      <c r="E5" s="112"/>
      <c r="F5" s="113" t="s">
        <v>11</v>
      </c>
      <c r="G5" s="109"/>
      <c r="H5" s="109"/>
      <c r="I5" s="109"/>
      <c r="J5" s="109"/>
      <c r="K5" s="109"/>
      <c r="L5" s="109"/>
      <c r="M5" s="114"/>
      <c r="N5" s="160" t="s">
        <v>112</v>
      </c>
      <c r="O5" s="319">
        <f>SUM(O8:O207)</f>
        <v>3500</v>
      </c>
      <c r="P5" s="320">
        <f>SUM(P8:P207)</f>
        <v>2750</v>
      </c>
      <c r="Q5" s="159"/>
      <c r="T5" s="315">
        <f>Escalas!E23-0.005</f>
        <v>0.17500000000000002</v>
      </c>
      <c r="U5" s="392">
        <f>Escalas!C17</f>
        <v>0.8</v>
      </c>
      <c r="V5" s="1" t="s">
        <v>108</v>
      </c>
      <c r="W5" s="1"/>
    </row>
    <row r="6" spans="1:23" ht="13">
      <c r="A6" s="167" t="s">
        <v>1</v>
      </c>
      <c r="B6" s="168" t="s">
        <v>32</v>
      </c>
      <c r="C6" s="167" t="s">
        <v>2</v>
      </c>
      <c r="D6" s="423" t="s">
        <v>18</v>
      </c>
      <c r="E6" s="424"/>
      <c r="F6" s="167" t="s">
        <v>6</v>
      </c>
      <c r="G6" s="335" t="s">
        <v>97</v>
      </c>
      <c r="H6" s="335" t="s">
        <v>98</v>
      </c>
      <c r="I6" s="335" t="s">
        <v>99</v>
      </c>
      <c r="J6" s="335" t="s">
        <v>96</v>
      </c>
      <c r="K6" s="167" t="s">
        <v>3</v>
      </c>
      <c r="L6" s="167" t="s">
        <v>79</v>
      </c>
      <c r="M6" s="167" t="s">
        <v>81</v>
      </c>
      <c r="N6" s="167" t="s">
        <v>3</v>
      </c>
      <c r="O6" s="167" t="s">
        <v>3</v>
      </c>
      <c r="P6" s="167" t="s">
        <v>8</v>
      </c>
      <c r="Q6" s="172" t="s">
        <v>4</v>
      </c>
    </row>
    <row r="7" spans="1:23" ht="13">
      <c r="A7" s="164"/>
      <c r="B7" s="165" t="s">
        <v>33</v>
      </c>
      <c r="C7" s="164"/>
      <c r="D7" s="421" t="s">
        <v>194</v>
      </c>
      <c r="E7" s="422"/>
      <c r="F7" s="166" t="s">
        <v>7</v>
      </c>
      <c r="G7" s="166"/>
      <c r="H7" s="166"/>
      <c r="I7" s="166"/>
      <c r="J7" s="166"/>
      <c r="K7" s="166" t="s">
        <v>78</v>
      </c>
      <c r="L7" s="166"/>
      <c r="M7" s="166"/>
      <c r="N7" s="166" t="s">
        <v>26</v>
      </c>
      <c r="O7" s="166" t="s">
        <v>25</v>
      </c>
      <c r="P7" s="166" t="s">
        <v>9</v>
      </c>
      <c r="Q7" s="173" t="s">
        <v>5</v>
      </c>
    </row>
    <row r="8" spans="1:23" ht="31.15" customHeight="1">
      <c r="A8" s="126">
        <v>1</v>
      </c>
      <c r="B8" s="127"/>
      <c r="C8" s="128" t="s">
        <v>225</v>
      </c>
      <c r="D8" s="417" t="s">
        <v>227</v>
      </c>
      <c r="E8" s="418"/>
      <c r="F8" s="129">
        <v>0.7</v>
      </c>
      <c r="G8" s="337">
        <v>0.4</v>
      </c>
      <c r="H8" s="337"/>
      <c r="I8" s="337"/>
      <c r="J8" s="337"/>
      <c r="K8" s="336">
        <f t="shared" ref="K8:K39" si="0">MAXA(G8:J8)</f>
        <v>0.4</v>
      </c>
      <c r="L8" s="130">
        <f t="shared" ref="L8:L39" si="1">F8*K8</f>
        <v>0.27999999999999997</v>
      </c>
      <c r="M8" s="131">
        <f t="shared" ref="M8:M39" si="2">IF(L8&gt;0,RANK(L8,L$8:L$207),"")</f>
        <v>2</v>
      </c>
      <c r="N8" s="132">
        <v>2000</v>
      </c>
      <c r="O8" s="133">
        <f t="shared" ref="O8:O39" si="3">N8*SensibO</f>
        <v>2000</v>
      </c>
      <c r="P8" s="133">
        <f t="shared" ref="P8:P39" si="4">F8*O8</f>
        <v>1400</v>
      </c>
      <c r="Q8" s="131">
        <f t="shared" ref="Q8:Q39" si="5">IF(P8&gt;0,RANK(P8,OportPreVE,0),"")</f>
        <v>1</v>
      </c>
      <c r="V8" s="314"/>
    </row>
    <row r="9" spans="1:23" ht="66.400000000000006" customHeight="1">
      <c r="A9" s="126">
        <v>2</v>
      </c>
      <c r="B9" s="127"/>
      <c r="C9" s="128" t="s">
        <v>225</v>
      </c>
      <c r="D9" s="417" t="s">
        <v>228</v>
      </c>
      <c r="E9" s="418"/>
      <c r="F9" s="129">
        <v>0.9</v>
      </c>
      <c r="G9" s="337">
        <v>0.8</v>
      </c>
      <c r="H9" s="337"/>
      <c r="I9" s="337"/>
      <c r="J9" s="337"/>
      <c r="K9" s="336">
        <f t="shared" si="0"/>
        <v>0.8</v>
      </c>
      <c r="L9" s="130">
        <f t="shared" si="1"/>
        <v>0.72000000000000008</v>
      </c>
      <c r="M9" s="131">
        <f t="shared" si="2"/>
        <v>1</v>
      </c>
      <c r="N9" s="132">
        <v>1500</v>
      </c>
      <c r="O9" s="133">
        <f t="shared" si="3"/>
        <v>1500</v>
      </c>
      <c r="P9" s="133">
        <f t="shared" si="4"/>
        <v>1350</v>
      </c>
      <c r="Q9" s="131">
        <f t="shared" si="5"/>
        <v>2</v>
      </c>
    </row>
    <row r="10" spans="1:23" ht="13">
      <c r="A10" s="126">
        <v>3</v>
      </c>
      <c r="B10" s="127"/>
      <c r="C10" s="128"/>
      <c r="D10" s="417"/>
      <c r="E10" s="418"/>
      <c r="F10" s="129">
        <v>0</v>
      </c>
      <c r="G10" s="337"/>
      <c r="H10" s="337"/>
      <c r="I10" s="337"/>
      <c r="J10" s="337"/>
      <c r="K10" s="336">
        <f t="shared" si="0"/>
        <v>0</v>
      </c>
      <c r="L10" s="130">
        <f t="shared" si="1"/>
        <v>0</v>
      </c>
      <c r="M10" s="131" t="str">
        <f t="shared" si="2"/>
        <v/>
      </c>
      <c r="N10" s="132">
        <v>0</v>
      </c>
      <c r="O10" s="133">
        <f t="shared" si="3"/>
        <v>0</v>
      </c>
      <c r="P10" s="133">
        <f t="shared" si="4"/>
        <v>0</v>
      </c>
      <c r="Q10" s="131" t="str">
        <f t="shared" si="5"/>
        <v/>
      </c>
      <c r="V10" s="314"/>
    </row>
    <row r="11" spans="1:23" ht="13">
      <c r="A11" s="126">
        <v>4</v>
      </c>
      <c r="B11" s="127"/>
      <c r="C11" s="128"/>
      <c r="D11" s="417"/>
      <c r="E11" s="418"/>
      <c r="F11" s="129">
        <v>0</v>
      </c>
      <c r="G11" s="337"/>
      <c r="H11" s="337"/>
      <c r="I11" s="337"/>
      <c r="J11" s="337"/>
      <c r="K11" s="336">
        <f t="shared" si="0"/>
        <v>0</v>
      </c>
      <c r="L11" s="130">
        <f t="shared" si="1"/>
        <v>0</v>
      </c>
      <c r="M11" s="131" t="str">
        <f t="shared" si="2"/>
        <v/>
      </c>
      <c r="N11" s="132">
        <v>0</v>
      </c>
      <c r="O11" s="133">
        <f t="shared" si="3"/>
        <v>0</v>
      </c>
      <c r="P11" s="133">
        <f t="shared" si="4"/>
        <v>0</v>
      </c>
      <c r="Q11" s="131" t="str">
        <f t="shared" si="5"/>
        <v/>
      </c>
      <c r="V11" s="315"/>
    </row>
    <row r="12" spans="1:23" ht="13">
      <c r="A12" s="126">
        <v>5</v>
      </c>
      <c r="B12" s="127"/>
      <c r="C12" s="128"/>
      <c r="D12" s="417"/>
      <c r="E12" s="418"/>
      <c r="F12" s="129">
        <v>0</v>
      </c>
      <c r="G12" s="337"/>
      <c r="H12" s="337"/>
      <c r="I12" s="337"/>
      <c r="J12" s="337"/>
      <c r="K12" s="336">
        <f t="shared" si="0"/>
        <v>0</v>
      </c>
      <c r="L12" s="130">
        <f t="shared" si="1"/>
        <v>0</v>
      </c>
      <c r="M12" s="131" t="str">
        <f t="shared" si="2"/>
        <v/>
      </c>
      <c r="N12" s="132">
        <v>0</v>
      </c>
      <c r="O12" s="133">
        <f t="shared" si="3"/>
        <v>0</v>
      </c>
      <c r="P12" s="133">
        <f t="shared" si="4"/>
        <v>0</v>
      </c>
      <c r="Q12" s="131" t="str">
        <f t="shared" si="5"/>
        <v/>
      </c>
      <c r="V12" s="315"/>
    </row>
    <row r="13" spans="1:23" ht="13">
      <c r="A13" s="126">
        <v>6</v>
      </c>
      <c r="B13" s="127"/>
      <c r="C13" s="128"/>
      <c r="D13" s="417"/>
      <c r="E13" s="418"/>
      <c r="F13" s="129">
        <v>0</v>
      </c>
      <c r="G13" s="337"/>
      <c r="H13" s="337"/>
      <c r="I13" s="337"/>
      <c r="J13" s="337"/>
      <c r="K13" s="336">
        <f t="shared" si="0"/>
        <v>0</v>
      </c>
      <c r="L13" s="130">
        <f t="shared" si="1"/>
        <v>0</v>
      </c>
      <c r="M13" s="131" t="str">
        <f t="shared" si="2"/>
        <v/>
      </c>
      <c r="N13" s="132">
        <v>0</v>
      </c>
      <c r="O13" s="133">
        <f t="shared" si="3"/>
        <v>0</v>
      </c>
      <c r="P13" s="133">
        <f t="shared" si="4"/>
        <v>0</v>
      </c>
      <c r="Q13" s="131" t="str">
        <f t="shared" si="5"/>
        <v/>
      </c>
    </row>
    <row r="14" spans="1:23" ht="13">
      <c r="A14" s="126">
        <v>7</v>
      </c>
      <c r="B14" s="127"/>
      <c r="C14" s="128"/>
      <c r="D14" s="417"/>
      <c r="E14" s="418"/>
      <c r="F14" s="129">
        <v>0</v>
      </c>
      <c r="G14" s="337"/>
      <c r="H14" s="337"/>
      <c r="I14" s="337"/>
      <c r="J14" s="337"/>
      <c r="K14" s="336">
        <f t="shared" si="0"/>
        <v>0</v>
      </c>
      <c r="L14" s="130">
        <f t="shared" si="1"/>
        <v>0</v>
      </c>
      <c r="M14" s="131" t="str">
        <f t="shared" si="2"/>
        <v/>
      </c>
      <c r="N14" s="132">
        <v>0</v>
      </c>
      <c r="O14" s="133">
        <f t="shared" si="3"/>
        <v>0</v>
      </c>
      <c r="P14" s="133">
        <f t="shared" si="4"/>
        <v>0</v>
      </c>
      <c r="Q14" s="131" t="str">
        <f t="shared" si="5"/>
        <v/>
      </c>
    </row>
    <row r="15" spans="1:23" ht="13">
      <c r="A15" s="126">
        <v>8</v>
      </c>
      <c r="B15" s="127"/>
      <c r="C15" s="128"/>
      <c r="D15" s="417"/>
      <c r="E15" s="418"/>
      <c r="F15" s="129">
        <v>0</v>
      </c>
      <c r="G15" s="337"/>
      <c r="H15" s="337"/>
      <c r="I15" s="337"/>
      <c r="J15" s="337"/>
      <c r="K15" s="336">
        <f t="shared" si="0"/>
        <v>0</v>
      </c>
      <c r="L15" s="130">
        <f t="shared" si="1"/>
        <v>0</v>
      </c>
      <c r="M15" s="131" t="str">
        <f t="shared" si="2"/>
        <v/>
      </c>
      <c r="N15" s="132">
        <v>0</v>
      </c>
      <c r="O15" s="133">
        <f t="shared" si="3"/>
        <v>0</v>
      </c>
      <c r="P15" s="133">
        <f t="shared" si="4"/>
        <v>0</v>
      </c>
      <c r="Q15" s="131" t="str">
        <f t="shared" si="5"/>
        <v/>
      </c>
    </row>
    <row r="16" spans="1:23" ht="13">
      <c r="A16" s="126">
        <v>9</v>
      </c>
      <c r="B16" s="127"/>
      <c r="C16" s="128"/>
      <c r="D16" s="417"/>
      <c r="E16" s="418"/>
      <c r="F16" s="129">
        <v>0</v>
      </c>
      <c r="G16" s="337"/>
      <c r="H16" s="337"/>
      <c r="I16" s="337"/>
      <c r="J16" s="337"/>
      <c r="K16" s="336">
        <f t="shared" si="0"/>
        <v>0</v>
      </c>
      <c r="L16" s="130">
        <f t="shared" si="1"/>
        <v>0</v>
      </c>
      <c r="M16" s="131" t="str">
        <f t="shared" si="2"/>
        <v/>
      </c>
      <c r="N16" s="132">
        <v>0</v>
      </c>
      <c r="O16" s="133">
        <f t="shared" si="3"/>
        <v>0</v>
      </c>
      <c r="P16" s="133">
        <f t="shared" si="4"/>
        <v>0</v>
      </c>
      <c r="Q16" s="131" t="str">
        <f t="shared" si="5"/>
        <v/>
      </c>
    </row>
    <row r="17" spans="1:17" ht="13">
      <c r="A17" s="126">
        <v>10</v>
      </c>
      <c r="B17" s="127"/>
      <c r="C17" s="128"/>
      <c r="D17" s="417"/>
      <c r="E17" s="418"/>
      <c r="F17" s="129">
        <v>0</v>
      </c>
      <c r="G17" s="337"/>
      <c r="H17" s="337"/>
      <c r="I17" s="337"/>
      <c r="J17" s="337"/>
      <c r="K17" s="336">
        <f t="shared" si="0"/>
        <v>0</v>
      </c>
      <c r="L17" s="130">
        <f t="shared" si="1"/>
        <v>0</v>
      </c>
      <c r="M17" s="131" t="str">
        <f t="shared" si="2"/>
        <v/>
      </c>
      <c r="N17" s="132">
        <v>0</v>
      </c>
      <c r="O17" s="133">
        <f t="shared" si="3"/>
        <v>0</v>
      </c>
      <c r="P17" s="133">
        <f t="shared" si="4"/>
        <v>0</v>
      </c>
      <c r="Q17" s="131" t="str">
        <f t="shared" si="5"/>
        <v/>
      </c>
    </row>
    <row r="18" spans="1:17" ht="13">
      <c r="A18" s="126">
        <v>11</v>
      </c>
      <c r="B18" s="127"/>
      <c r="C18" s="128"/>
      <c r="D18" s="417"/>
      <c r="E18" s="418"/>
      <c r="F18" s="129">
        <v>0</v>
      </c>
      <c r="G18" s="337"/>
      <c r="H18" s="337"/>
      <c r="I18" s="337"/>
      <c r="J18" s="337"/>
      <c r="K18" s="336">
        <f t="shared" si="0"/>
        <v>0</v>
      </c>
      <c r="L18" s="130">
        <f t="shared" si="1"/>
        <v>0</v>
      </c>
      <c r="M18" s="131" t="str">
        <f t="shared" si="2"/>
        <v/>
      </c>
      <c r="N18" s="132">
        <v>0</v>
      </c>
      <c r="O18" s="133">
        <f t="shared" si="3"/>
        <v>0</v>
      </c>
      <c r="P18" s="133">
        <f t="shared" si="4"/>
        <v>0</v>
      </c>
      <c r="Q18" s="131" t="str">
        <f t="shared" si="5"/>
        <v/>
      </c>
    </row>
    <row r="19" spans="1:17" ht="13">
      <c r="A19" s="126">
        <v>12</v>
      </c>
      <c r="B19" s="127"/>
      <c r="C19" s="128"/>
      <c r="D19" s="417"/>
      <c r="E19" s="418"/>
      <c r="F19" s="129">
        <v>0</v>
      </c>
      <c r="G19" s="337"/>
      <c r="H19" s="337"/>
      <c r="I19" s="337"/>
      <c r="J19" s="337"/>
      <c r="K19" s="336">
        <f t="shared" si="0"/>
        <v>0</v>
      </c>
      <c r="L19" s="130">
        <f t="shared" si="1"/>
        <v>0</v>
      </c>
      <c r="M19" s="131" t="str">
        <f t="shared" si="2"/>
        <v/>
      </c>
      <c r="N19" s="132">
        <v>0</v>
      </c>
      <c r="O19" s="133">
        <f t="shared" si="3"/>
        <v>0</v>
      </c>
      <c r="P19" s="133">
        <f t="shared" si="4"/>
        <v>0</v>
      </c>
      <c r="Q19" s="131" t="str">
        <f t="shared" si="5"/>
        <v/>
      </c>
    </row>
    <row r="20" spans="1:17" ht="13">
      <c r="A20" s="126">
        <v>13</v>
      </c>
      <c r="B20" s="127"/>
      <c r="C20" s="128"/>
      <c r="D20" s="417"/>
      <c r="E20" s="418"/>
      <c r="F20" s="129">
        <v>0</v>
      </c>
      <c r="G20" s="337"/>
      <c r="H20" s="337"/>
      <c r="I20" s="337"/>
      <c r="J20" s="337"/>
      <c r="K20" s="336">
        <f t="shared" si="0"/>
        <v>0</v>
      </c>
      <c r="L20" s="130">
        <f t="shared" si="1"/>
        <v>0</v>
      </c>
      <c r="M20" s="131" t="str">
        <f t="shared" si="2"/>
        <v/>
      </c>
      <c r="N20" s="132">
        <v>0</v>
      </c>
      <c r="O20" s="133">
        <f t="shared" si="3"/>
        <v>0</v>
      </c>
      <c r="P20" s="133">
        <f t="shared" si="4"/>
        <v>0</v>
      </c>
      <c r="Q20" s="131" t="str">
        <f t="shared" si="5"/>
        <v/>
      </c>
    </row>
    <row r="21" spans="1:17" ht="13">
      <c r="A21" s="126">
        <v>14</v>
      </c>
      <c r="B21" s="127"/>
      <c r="C21" s="128"/>
      <c r="D21" s="417"/>
      <c r="E21" s="418"/>
      <c r="F21" s="129">
        <v>0</v>
      </c>
      <c r="G21" s="337"/>
      <c r="H21" s="337"/>
      <c r="I21" s="337"/>
      <c r="J21" s="337"/>
      <c r="K21" s="336">
        <f t="shared" si="0"/>
        <v>0</v>
      </c>
      <c r="L21" s="130">
        <f t="shared" si="1"/>
        <v>0</v>
      </c>
      <c r="M21" s="131" t="str">
        <f t="shared" si="2"/>
        <v/>
      </c>
      <c r="N21" s="132">
        <v>0</v>
      </c>
      <c r="O21" s="133">
        <f t="shared" si="3"/>
        <v>0</v>
      </c>
      <c r="P21" s="133">
        <f t="shared" si="4"/>
        <v>0</v>
      </c>
      <c r="Q21" s="131" t="str">
        <f t="shared" si="5"/>
        <v/>
      </c>
    </row>
    <row r="22" spans="1:17" ht="13">
      <c r="A22" s="126">
        <v>15</v>
      </c>
      <c r="B22" s="127"/>
      <c r="C22" s="128"/>
      <c r="D22" s="417"/>
      <c r="E22" s="418"/>
      <c r="F22" s="129">
        <v>0</v>
      </c>
      <c r="G22" s="337"/>
      <c r="H22" s="337"/>
      <c r="I22" s="337"/>
      <c r="J22" s="337"/>
      <c r="K22" s="336">
        <f t="shared" si="0"/>
        <v>0</v>
      </c>
      <c r="L22" s="130">
        <f t="shared" si="1"/>
        <v>0</v>
      </c>
      <c r="M22" s="131" t="str">
        <f t="shared" si="2"/>
        <v/>
      </c>
      <c r="N22" s="132">
        <v>0</v>
      </c>
      <c r="O22" s="133">
        <f t="shared" si="3"/>
        <v>0</v>
      </c>
      <c r="P22" s="133">
        <f t="shared" si="4"/>
        <v>0</v>
      </c>
      <c r="Q22" s="131" t="str">
        <f t="shared" si="5"/>
        <v/>
      </c>
    </row>
    <row r="23" spans="1:17" ht="13">
      <c r="A23" s="126">
        <v>16</v>
      </c>
      <c r="B23" s="127"/>
      <c r="C23" s="128"/>
      <c r="D23" s="417"/>
      <c r="E23" s="418"/>
      <c r="F23" s="129">
        <v>0</v>
      </c>
      <c r="G23" s="337"/>
      <c r="H23" s="337"/>
      <c r="I23" s="337"/>
      <c r="J23" s="337"/>
      <c r="K23" s="336">
        <f t="shared" si="0"/>
        <v>0</v>
      </c>
      <c r="L23" s="130">
        <f t="shared" si="1"/>
        <v>0</v>
      </c>
      <c r="M23" s="131" t="str">
        <f t="shared" si="2"/>
        <v/>
      </c>
      <c r="N23" s="132">
        <v>0</v>
      </c>
      <c r="O23" s="133">
        <f t="shared" si="3"/>
        <v>0</v>
      </c>
      <c r="P23" s="133">
        <f t="shared" si="4"/>
        <v>0</v>
      </c>
      <c r="Q23" s="131" t="str">
        <f t="shared" si="5"/>
        <v/>
      </c>
    </row>
    <row r="24" spans="1:17" ht="13">
      <c r="A24" s="126">
        <v>17</v>
      </c>
      <c r="B24" s="127"/>
      <c r="C24" s="128"/>
      <c r="D24" s="417"/>
      <c r="E24" s="418"/>
      <c r="F24" s="129">
        <v>0</v>
      </c>
      <c r="G24" s="337"/>
      <c r="H24" s="337"/>
      <c r="I24" s="337"/>
      <c r="J24" s="337"/>
      <c r="K24" s="336">
        <f t="shared" si="0"/>
        <v>0</v>
      </c>
      <c r="L24" s="130">
        <f t="shared" si="1"/>
        <v>0</v>
      </c>
      <c r="M24" s="131" t="str">
        <f t="shared" si="2"/>
        <v/>
      </c>
      <c r="N24" s="132">
        <v>0</v>
      </c>
      <c r="O24" s="133">
        <f t="shared" si="3"/>
        <v>0</v>
      </c>
      <c r="P24" s="133">
        <f t="shared" si="4"/>
        <v>0</v>
      </c>
      <c r="Q24" s="131" t="str">
        <f t="shared" si="5"/>
        <v/>
      </c>
    </row>
    <row r="25" spans="1:17" ht="13">
      <c r="A25" s="126">
        <v>18</v>
      </c>
      <c r="B25" s="127"/>
      <c r="C25" s="128"/>
      <c r="D25" s="417"/>
      <c r="E25" s="418"/>
      <c r="F25" s="129">
        <v>0</v>
      </c>
      <c r="G25" s="337"/>
      <c r="H25" s="337"/>
      <c r="I25" s="337"/>
      <c r="J25" s="337"/>
      <c r="K25" s="336">
        <f t="shared" si="0"/>
        <v>0</v>
      </c>
      <c r="L25" s="130">
        <f t="shared" si="1"/>
        <v>0</v>
      </c>
      <c r="M25" s="131" t="str">
        <f t="shared" si="2"/>
        <v/>
      </c>
      <c r="N25" s="132">
        <v>0</v>
      </c>
      <c r="O25" s="133">
        <f t="shared" si="3"/>
        <v>0</v>
      </c>
      <c r="P25" s="133">
        <f t="shared" si="4"/>
        <v>0</v>
      </c>
      <c r="Q25" s="131" t="str">
        <f t="shared" si="5"/>
        <v/>
      </c>
    </row>
    <row r="26" spans="1:17" ht="13">
      <c r="A26" s="126">
        <v>19</v>
      </c>
      <c r="B26" s="127"/>
      <c r="C26" s="128"/>
      <c r="D26" s="417"/>
      <c r="E26" s="418"/>
      <c r="F26" s="129">
        <v>0</v>
      </c>
      <c r="G26" s="337"/>
      <c r="H26" s="337"/>
      <c r="I26" s="337"/>
      <c r="J26" s="337"/>
      <c r="K26" s="336">
        <f t="shared" si="0"/>
        <v>0</v>
      </c>
      <c r="L26" s="130">
        <f t="shared" si="1"/>
        <v>0</v>
      </c>
      <c r="M26" s="131" t="str">
        <f t="shared" si="2"/>
        <v/>
      </c>
      <c r="N26" s="132">
        <v>0</v>
      </c>
      <c r="O26" s="133">
        <f t="shared" si="3"/>
        <v>0</v>
      </c>
      <c r="P26" s="133">
        <f t="shared" si="4"/>
        <v>0</v>
      </c>
      <c r="Q26" s="131" t="str">
        <f t="shared" si="5"/>
        <v/>
      </c>
    </row>
    <row r="27" spans="1:17" ht="13">
      <c r="A27" s="126">
        <v>20</v>
      </c>
      <c r="B27" s="127"/>
      <c r="C27" s="128"/>
      <c r="D27" s="417"/>
      <c r="E27" s="418"/>
      <c r="F27" s="129">
        <v>0</v>
      </c>
      <c r="G27" s="337"/>
      <c r="H27" s="337"/>
      <c r="I27" s="337"/>
      <c r="J27" s="337"/>
      <c r="K27" s="336">
        <f t="shared" si="0"/>
        <v>0</v>
      </c>
      <c r="L27" s="130">
        <f t="shared" si="1"/>
        <v>0</v>
      </c>
      <c r="M27" s="131" t="str">
        <f t="shared" si="2"/>
        <v/>
      </c>
      <c r="N27" s="132">
        <v>0</v>
      </c>
      <c r="O27" s="133">
        <f t="shared" si="3"/>
        <v>0</v>
      </c>
      <c r="P27" s="133">
        <f t="shared" si="4"/>
        <v>0</v>
      </c>
      <c r="Q27" s="131" t="str">
        <f t="shared" si="5"/>
        <v/>
      </c>
    </row>
    <row r="28" spans="1:17" ht="13">
      <c r="A28" s="126">
        <v>21</v>
      </c>
      <c r="B28" s="127"/>
      <c r="C28" s="128"/>
      <c r="D28" s="417"/>
      <c r="E28" s="418"/>
      <c r="F28" s="129">
        <v>0</v>
      </c>
      <c r="G28" s="337"/>
      <c r="H28" s="337"/>
      <c r="I28" s="337"/>
      <c r="J28" s="337"/>
      <c r="K28" s="336">
        <f t="shared" si="0"/>
        <v>0</v>
      </c>
      <c r="L28" s="130">
        <f t="shared" si="1"/>
        <v>0</v>
      </c>
      <c r="M28" s="131" t="str">
        <f t="shared" si="2"/>
        <v/>
      </c>
      <c r="N28" s="132">
        <v>0</v>
      </c>
      <c r="O28" s="133">
        <f t="shared" si="3"/>
        <v>0</v>
      </c>
      <c r="P28" s="133">
        <f t="shared" si="4"/>
        <v>0</v>
      </c>
      <c r="Q28" s="131" t="str">
        <f t="shared" si="5"/>
        <v/>
      </c>
    </row>
    <row r="29" spans="1:17" ht="13">
      <c r="A29" s="126">
        <v>22</v>
      </c>
      <c r="B29" s="127"/>
      <c r="C29" s="128"/>
      <c r="D29" s="417"/>
      <c r="E29" s="418"/>
      <c r="F29" s="129">
        <v>0</v>
      </c>
      <c r="G29" s="337"/>
      <c r="H29" s="337"/>
      <c r="I29" s="337"/>
      <c r="J29" s="337"/>
      <c r="K29" s="336">
        <f t="shared" si="0"/>
        <v>0</v>
      </c>
      <c r="L29" s="130">
        <f t="shared" si="1"/>
        <v>0</v>
      </c>
      <c r="M29" s="131" t="str">
        <f t="shared" si="2"/>
        <v/>
      </c>
      <c r="N29" s="132">
        <v>0</v>
      </c>
      <c r="O29" s="133">
        <f t="shared" si="3"/>
        <v>0</v>
      </c>
      <c r="P29" s="133">
        <f t="shared" si="4"/>
        <v>0</v>
      </c>
      <c r="Q29" s="131" t="str">
        <f t="shared" si="5"/>
        <v/>
      </c>
    </row>
    <row r="30" spans="1:17" ht="13">
      <c r="A30" s="126">
        <v>23</v>
      </c>
      <c r="B30" s="127"/>
      <c r="C30" s="128"/>
      <c r="D30" s="417"/>
      <c r="E30" s="418"/>
      <c r="F30" s="129">
        <v>0</v>
      </c>
      <c r="G30" s="337"/>
      <c r="H30" s="337"/>
      <c r="I30" s="337"/>
      <c r="J30" s="337"/>
      <c r="K30" s="336">
        <f t="shared" si="0"/>
        <v>0</v>
      </c>
      <c r="L30" s="130">
        <f t="shared" si="1"/>
        <v>0</v>
      </c>
      <c r="M30" s="131" t="str">
        <f t="shared" si="2"/>
        <v/>
      </c>
      <c r="N30" s="132">
        <v>0</v>
      </c>
      <c r="O30" s="133">
        <f t="shared" si="3"/>
        <v>0</v>
      </c>
      <c r="P30" s="133">
        <f t="shared" si="4"/>
        <v>0</v>
      </c>
      <c r="Q30" s="131" t="str">
        <f t="shared" si="5"/>
        <v/>
      </c>
    </row>
    <row r="31" spans="1:17" ht="13">
      <c r="A31" s="126">
        <v>24</v>
      </c>
      <c r="B31" s="127"/>
      <c r="C31" s="128"/>
      <c r="D31" s="417"/>
      <c r="E31" s="418"/>
      <c r="F31" s="129">
        <v>0</v>
      </c>
      <c r="G31" s="337"/>
      <c r="H31" s="337"/>
      <c r="I31" s="337"/>
      <c r="J31" s="337"/>
      <c r="K31" s="336">
        <f t="shared" si="0"/>
        <v>0</v>
      </c>
      <c r="L31" s="130">
        <f t="shared" si="1"/>
        <v>0</v>
      </c>
      <c r="M31" s="131" t="str">
        <f t="shared" si="2"/>
        <v/>
      </c>
      <c r="N31" s="132">
        <v>0</v>
      </c>
      <c r="O31" s="133">
        <f t="shared" si="3"/>
        <v>0</v>
      </c>
      <c r="P31" s="133">
        <f t="shared" si="4"/>
        <v>0</v>
      </c>
      <c r="Q31" s="131" t="str">
        <f t="shared" si="5"/>
        <v/>
      </c>
    </row>
    <row r="32" spans="1:17" ht="13">
      <c r="A32" s="126">
        <v>25</v>
      </c>
      <c r="B32" s="127"/>
      <c r="C32" s="128"/>
      <c r="D32" s="417"/>
      <c r="E32" s="418"/>
      <c r="F32" s="129">
        <v>0</v>
      </c>
      <c r="G32" s="337"/>
      <c r="H32" s="337"/>
      <c r="I32" s="337"/>
      <c r="J32" s="337"/>
      <c r="K32" s="336">
        <f t="shared" si="0"/>
        <v>0</v>
      </c>
      <c r="L32" s="130">
        <f t="shared" si="1"/>
        <v>0</v>
      </c>
      <c r="M32" s="131" t="str">
        <f t="shared" si="2"/>
        <v/>
      </c>
      <c r="N32" s="132">
        <v>0</v>
      </c>
      <c r="O32" s="133">
        <f t="shared" si="3"/>
        <v>0</v>
      </c>
      <c r="P32" s="133">
        <f t="shared" si="4"/>
        <v>0</v>
      </c>
      <c r="Q32" s="131" t="str">
        <f t="shared" si="5"/>
        <v/>
      </c>
    </row>
    <row r="33" spans="1:17" ht="13">
      <c r="A33" s="126">
        <v>26</v>
      </c>
      <c r="B33" s="127"/>
      <c r="C33" s="128"/>
      <c r="D33" s="417"/>
      <c r="E33" s="418"/>
      <c r="F33" s="129">
        <v>0</v>
      </c>
      <c r="G33" s="337"/>
      <c r="H33" s="337"/>
      <c r="I33" s="337"/>
      <c r="J33" s="337"/>
      <c r="K33" s="336">
        <f t="shared" si="0"/>
        <v>0</v>
      </c>
      <c r="L33" s="130">
        <f t="shared" si="1"/>
        <v>0</v>
      </c>
      <c r="M33" s="131" t="str">
        <f t="shared" si="2"/>
        <v/>
      </c>
      <c r="N33" s="132">
        <v>0</v>
      </c>
      <c r="O33" s="133">
        <f t="shared" si="3"/>
        <v>0</v>
      </c>
      <c r="P33" s="133">
        <f t="shared" si="4"/>
        <v>0</v>
      </c>
      <c r="Q33" s="131" t="str">
        <f t="shared" si="5"/>
        <v/>
      </c>
    </row>
    <row r="34" spans="1:17" ht="13">
      <c r="A34" s="126">
        <v>27</v>
      </c>
      <c r="B34" s="127"/>
      <c r="C34" s="128"/>
      <c r="D34" s="417"/>
      <c r="E34" s="418"/>
      <c r="F34" s="129">
        <v>0</v>
      </c>
      <c r="G34" s="337"/>
      <c r="H34" s="337"/>
      <c r="I34" s="337"/>
      <c r="J34" s="337"/>
      <c r="K34" s="336">
        <f t="shared" si="0"/>
        <v>0</v>
      </c>
      <c r="L34" s="130">
        <f t="shared" si="1"/>
        <v>0</v>
      </c>
      <c r="M34" s="131" t="str">
        <f t="shared" si="2"/>
        <v/>
      </c>
      <c r="N34" s="132">
        <v>0</v>
      </c>
      <c r="O34" s="133">
        <f t="shared" si="3"/>
        <v>0</v>
      </c>
      <c r="P34" s="133">
        <f t="shared" si="4"/>
        <v>0</v>
      </c>
      <c r="Q34" s="131" t="str">
        <f t="shared" si="5"/>
        <v/>
      </c>
    </row>
    <row r="35" spans="1:17" ht="13">
      <c r="A35" s="126">
        <v>28</v>
      </c>
      <c r="B35" s="127"/>
      <c r="C35" s="128"/>
      <c r="D35" s="417"/>
      <c r="E35" s="418"/>
      <c r="F35" s="129">
        <v>0</v>
      </c>
      <c r="G35" s="337"/>
      <c r="H35" s="337"/>
      <c r="I35" s="337"/>
      <c r="J35" s="337"/>
      <c r="K35" s="336">
        <f t="shared" si="0"/>
        <v>0</v>
      </c>
      <c r="L35" s="130">
        <f t="shared" si="1"/>
        <v>0</v>
      </c>
      <c r="M35" s="131" t="str">
        <f t="shared" si="2"/>
        <v/>
      </c>
      <c r="N35" s="132">
        <v>0</v>
      </c>
      <c r="O35" s="133">
        <f t="shared" si="3"/>
        <v>0</v>
      </c>
      <c r="P35" s="133">
        <f t="shared" si="4"/>
        <v>0</v>
      </c>
      <c r="Q35" s="131" t="str">
        <f t="shared" si="5"/>
        <v/>
      </c>
    </row>
    <row r="36" spans="1:17" ht="13">
      <c r="A36" s="126">
        <v>29</v>
      </c>
      <c r="B36" s="127"/>
      <c r="C36" s="128"/>
      <c r="D36" s="417"/>
      <c r="E36" s="418"/>
      <c r="F36" s="129">
        <v>0</v>
      </c>
      <c r="G36" s="337"/>
      <c r="H36" s="337"/>
      <c r="I36" s="337"/>
      <c r="J36" s="337"/>
      <c r="K36" s="336">
        <f t="shared" si="0"/>
        <v>0</v>
      </c>
      <c r="L36" s="130">
        <f t="shared" si="1"/>
        <v>0</v>
      </c>
      <c r="M36" s="131" t="str">
        <f t="shared" si="2"/>
        <v/>
      </c>
      <c r="N36" s="132">
        <v>0</v>
      </c>
      <c r="O36" s="133">
        <f t="shared" si="3"/>
        <v>0</v>
      </c>
      <c r="P36" s="133">
        <f t="shared" si="4"/>
        <v>0</v>
      </c>
      <c r="Q36" s="131" t="str">
        <f t="shared" si="5"/>
        <v/>
      </c>
    </row>
    <row r="37" spans="1:17" ht="13">
      <c r="A37" s="126">
        <v>30</v>
      </c>
      <c r="B37" s="127"/>
      <c r="C37" s="128"/>
      <c r="D37" s="417"/>
      <c r="E37" s="418"/>
      <c r="F37" s="129">
        <v>0</v>
      </c>
      <c r="G37" s="337"/>
      <c r="H37" s="337"/>
      <c r="I37" s="337"/>
      <c r="J37" s="337"/>
      <c r="K37" s="336">
        <f t="shared" si="0"/>
        <v>0</v>
      </c>
      <c r="L37" s="130">
        <f t="shared" si="1"/>
        <v>0</v>
      </c>
      <c r="M37" s="131" t="str">
        <f t="shared" si="2"/>
        <v/>
      </c>
      <c r="N37" s="132">
        <v>0</v>
      </c>
      <c r="O37" s="133">
        <f t="shared" si="3"/>
        <v>0</v>
      </c>
      <c r="P37" s="133">
        <f t="shared" si="4"/>
        <v>0</v>
      </c>
      <c r="Q37" s="131" t="str">
        <f t="shared" si="5"/>
        <v/>
      </c>
    </row>
    <row r="38" spans="1:17" ht="13">
      <c r="A38" s="126">
        <v>31</v>
      </c>
      <c r="B38" s="127"/>
      <c r="C38" s="128"/>
      <c r="D38" s="417"/>
      <c r="E38" s="418"/>
      <c r="F38" s="129">
        <v>0</v>
      </c>
      <c r="G38" s="337"/>
      <c r="H38" s="337"/>
      <c r="I38" s="337"/>
      <c r="J38" s="337"/>
      <c r="K38" s="336">
        <f t="shared" si="0"/>
        <v>0</v>
      </c>
      <c r="L38" s="130">
        <f t="shared" si="1"/>
        <v>0</v>
      </c>
      <c r="M38" s="131" t="str">
        <f t="shared" si="2"/>
        <v/>
      </c>
      <c r="N38" s="132">
        <v>0</v>
      </c>
      <c r="O38" s="133">
        <f t="shared" si="3"/>
        <v>0</v>
      </c>
      <c r="P38" s="133">
        <f t="shared" si="4"/>
        <v>0</v>
      </c>
      <c r="Q38" s="131" t="str">
        <f t="shared" si="5"/>
        <v/>
      </c>
    </row>
    <row r="39" spans="1:17" ht="13">
      <c r="A39" s="126">
        <v>32</v>
      </c>
      <c r="B39" s="127"/>
      <c r="C39" s="128"/>
      <c r="D39" s="417"/>
      <c r="E39" s="418"/>
      <c r="F39" s="129">
        <v>0</v>
      </c>
      <c r="G39" s="337"/>
      <c r="H39" s="337"/>
      <c r="I39" s="337"/>
      <c r="J39" s="337"/>
      <c r="K39" s="336">
        <f t="shared" si="0"/>
        <v>0</v>
      </c>
      <c r="L39" s="130">
        <f t="shared" si="1"/>
        <v>0</v>
      </c>
      <c r="M39" s="131" t="str">
        <f t="shared" si="2"/>
        <v/>
      </c>
      <c r="N39" s="132">
        <v>0</v>
      </c>
      <c r="O39" s="133">
        <f t="shared" si="3"/>
        <v>0</v>
      </c>
      <c r="P39" s="133">
        <f t="shared" si="4"/>
        <v>0</v>
      </c>
      <c r="Q39" s="131" t="str">
        <f t="shared" si="5"/>
        <v/>
      </c>
    </row>
    <row r="40" spans="1:17" ht="13">
      <c r="A40" s="126">
        <v>33</v>
      </c>
      <c r="B40" s="127"/>
      <c r="C40" s="128"/>
      <c r="D40" s="417"/>
      <c r="E40" s="418"/>
      <c r="F40" s="129">
        <v>0</v>
      </c>
      <c r="G40" s="337"/>
      <c r="H40" s="337"/>
      <c r="I40" s="337"/>
      <c r="J40" s="337"/>
      <c r="K40" s="336">
        <f t="shared" ref="K40:K71" si="6">MAXA(G40:J40)</f>
        <v>0</v>
      </c>
      <c r="L40" s="130">
        <f t="shared" ref="L40:L71" si="7">F40*K40</f>
        <v>0</v>
      </c>
      <c r="M40" s="131" t="str">
        <f t="shared" ref="M40:M71" si="8">IF(L40&gt;0,RANK(L40,L$8:L$207),"")</f>
        <v/>
      </c>
      <c r="N40" s="132">
        <v>0</v>
      </c>
      <c r="O40" s="133">
        <f t="shared" ref="O40:O71" si="9">N40*SensibO</f>
        <v>0</v>
      </c>
      <c r="P40" s="133">
        <f t="shared" ref="P40:P71" si="10">F40*O40</f>
        <v>0</v>
      </c>
      <c r="Q40" s="131" t="str">
        <f t="shared" ref="Q40:Q71" si="11">IF(P40&gt;0,RANK(P40,OportPreVE,0),"")</f>
        <v/>
      </c>
    </row>
    <row r="41" spans="1:17" ht="13">
      <c r="A41" s="126">
        <v>34</v>
      </c>
      <c r="B41" s="127"/>
      <c r="C41" s="128"/>
      <c r="D41" s="417"/>
      <c r="E41" s="418"/>
      <c r="F41" s="129">
        <v>0</v>
      </c>
      <c r="G41" s="337"/>
      <c r="H41" s="337"/>
      <c r="I41" s="337"/>
      <c r="J41" s="337"/>
      <c r="K41" s="336">
        <f t="shared" si="6"/>
        <v>0</v>
      </c>
      <c r="L41" s="130">
        <f t="shared" si="7"/>
        <v>0</v>
      </c>
      <c r="M41" s="131" t="str">
        <f t="shared" si="8"/>
        <v/>
      </c>
      <c r="N41" s="132">
        <v>0</v>
      </c>
      <c r="O41" s="133">
        <f t="shared" si="9"/>
        <v>0</v>
      </c>
      <c r="P41" s="133">
        <f t="shared" si="10"/>
        <v>0</v>
      </c>
      <c r="Q41" s="131" t="str">
        <f t="shared" si="11"/>
        <v/>
      </c>
    </row>
    <row r="42" spans="1:17" ht="13">
      <c r="A42" s="126">
        <v>35</v>
      </c>
      <c r="B42" s="127"/>
      <c r="C42" s="128"/>
      <c r="D42" s="417"/>
      <c r="E42" s="418"/>
      <c r="F42" s="129">
        <v>0</v>
      </c>
      <c r="G42" s="337"/>
      <c r="H42" s="337"/>
      <c r="I42" s="337"/>
      <c r="J42" s="337"/>
      <c r="K42" s="336">
        <f t="shared" si="6"/>
        <v>0</v>
      </c>
      <c r="L42" s="130">
        <f t="shared" si="7"/>
        <v>0</v>
      </c>
      <c r="M42" s="131" t="str">
        <f t="shared" si="8"/>
        <v/>
      </c>
      <c r="N42" s="132">
        <v>0</v>
      </c>
      <c r="O42" s="133">
        <f t="shared" si="9"/>
        <v>0</v>
      </c>
      <c r="P42" s="133">
        <f t="shared" si="10"/>
        <v>0</v>
      </c>
      <c r="Q42" s="131" t="str">
        <f t="shared" si="11"/>
        <v/>
      </c>
    </row>
    <row r="43" spans="1:17" ht="13">
      <c r="A43" s="126">
        <v>36</v>
      </c>
      <c r="B43" s="127"/>
      <c r="C43" s="128"/>
      <c r="D43" s="417"/>
      <c r="E43" s="418"/>
      <c r="F43" s="129">
        <v>0</v>
      </c>
      <c r="G43" s="337"/>
      <c r="H43" s="337"/>
      <c r="I43" s="337"/>
      <c r="J43" s="337"/>
      <c r="K43" s="336">
        <f t="shared" si="6"/>
        <v>0</v>
      </c>
      <c r="L43" s="130">
        <f t="shared" si="7"/>
        <v>0</v>
      </c>
      <c r="M43" s="131" t="str">
        <f t="shared" si="8"/>
        <v/>
      </c>
      <c r="N43" s="132">
        <v>0</v>
      </c>
      <c r="O43" s="133">
        <f t="shared" si="9"/>
        <v>0</v>
      </c>
      <c r="P43" s="133">
        <f t="shared" si="10"/>
        <v>0</v>
      </c>
      <c r="Q43" s="131" t="str">
        <f t="shared" si="11"/>
        <v/>
      </c>
    </row>
    <row r="44" spans="1:17" ht="13">
      <c r="A44" s="126">
        <v>37</v>
      </c>
      <c r="B44" s="127"/>
      <c r="C44" s="128"/>
      <c r="D44" s="417"/>
      <c r="E44" s="418"/>
      <c r="F44" s="129">
        <v>0</v>
      </c>
      <c r="G44" s="337"/>
      <c r="H44" s="337"/>
      <c r="I44" s="337"/>
      <c r="J44" s="337"/>
      <c r="K44" s="336">
        <f t="shared" si="6"/>
        <v>0</v>
      </c>
      <c r="L44" s="130">
        <f t="shared" si="7"/>
        <v>0</v>
      </c>
      <c r="M44" s="131" t="str">
        <f t="shared" si="8"/>
        <v/>
      </c>
      <c r="N44" s="132">
        <v>0</v>
      </c>
      <c r="O44" s="133">
        <f t="shared" si="9"/>
        <v>0</v>
      </c>
      <c r="P44" s="133">
        <f t="shared" si="10"/>
        <v>0</v>
      </c>
      <c r="Q44" s="131" t="str">
        <f t="shared" si="11"/>
        <v/>
      </c>
    </row>
    <row r="45" spans="1:17" ht="13">
      <c r="A45" s="126">
        <v>38</v>
      </c>
      <c r="B45" s="127"/>
      <c r="C45" s="128"/>
      <c r="D45" s="417"/>
      <c r="E45" s="418"/>
      <c r="F45" s="129">
        <v>0</v>
      </c>
      <c r="G45" s="337"/>
      <c r="H45" s="337"/>
      <c r="I45" s="337"/>
      <c r="J45" s="337"/>
      <c r="K45" s="336">
        <f t="shared" si="6"/>
        <v>0</v>
      </c>
      <c r="L45" s="130">
        <f t="shared" si="7"/>
        <v>0</v>
      </c>
      <c r="M45" s="131" t="str">
        <f t="shared" si="8"/>
        <v/>
      </c>
      <c r="N45" s="132">
        <v>0</v>
      </c>
      <c r="O45" s="133">
        <f t="shared" si="9"/>
        <v>0</v>
      </c>
      <c r="P45" s="133">
        <f t="shared" si="10"/>
        <v>0</v>
      </c>
      <c r="Q45" s="131" t="str">
        <f t="shared" si="11"/>
        <v/>
      </c>
    </row>
    <row r="46" spans="1:17" ht="13">
      <c r="A46" s="126">
        <v>39</v>
      </c>
      <c r="B46" s="127"/>
      <c r="C46" s="128"/>
      <c r="D46" s="417"/>
      <c r="E46" s="418"/>
      <c r="F46" s="129">
        <v>0</v>
      </c>
      <c r="G46" s="337"/>
      <c r="H46" s="337"/>
      <c r="I46" s="337"/>
      <c r="J46" s="337"/>
      <c r="K46" s="336">
        <f t="shared" si="6"/>
        <v>0</v>
      </c>
      <c r="L46" s="130">
        <f t="shared" si="7"/>
        <v>0</v>
      </c>
      <c r="M46" s="131" t="str">
        <f t="shared" si="8"/>
        <v/>
      </c>
      <c r="N46" s="132">
        <v>0</v>
      </c>
      <c r="O46" s="133">
        <f t="shared" si="9"/>
        <v>0</v>
      </c>
      <c r="P46" s="133">
        <f t="shared" si="10"/>
        <v>0</v>
      </c>
      <c r="Q46" s="131" t="str">
        <f t="shared" si="11"/>
        <v/>
      </c>
    </row>
    <row r="47" spans="1:17" ht="13">
      <c r="A47" s="126">
        <v>40</v>
      </c>
      <c r="B47" s="127"/>
      <c r="C47" s="128"/>
      <c r="D47" s="417"/>
      <c r="E47" s="418"/>
      <c r="F47" s="129">
        <v>0</v>
      </c>
      <c r="G47" s="337"/>
      <c r="H47" s="337"/>
      <c r="I47" s="337"/>
      <c r="J47" s="337"/>
      <c r="K47" s="336">
        <f t="shared" si="6"/>
        <v>0</v>
      </c>
      <c r="L47" s="130">
        <f t="shared" si="7"/>
        <v>0</v>
      </c>
      <c r="M47" s="131" t="str">
        <f t="shared" si="8"/>
        <v/>
      </c>
      <c r="N47" s="132">
        <v>0</v>
      </c>
      <c r="O47" s="133">
        <f t="shared" si="9"/>
        <v>0</v>
      </c>
      <c r="P47" s="133">
        <f t="shared" si="10"/>
        <v>0</v>
      </c>
      <c r="Q47" s="131" t="str">
        <f t="shared" si="11"/>
        <v/>
      </c>
    </row>
    <row r="48" spans="1:17" ht="13">
      <c r="A48" s="126">
        <v>41</v>
      </c>
      <c r="B48" s="127"/>
      <c r="C48" s="128"/>
      <c r="D48" s="417"/>
      <c r="E48" s="418"/>
      <c r="F48" s="129">
        <v>0</v>
      </c>
      <c r="G48" s="337"/>
      <c r="H48" s="337"/>
      <c r="I48" s="337"/>
      <c r="J48" s="337"/>
      <c r="K48" s="336">
        <f t="shared" si="6"/>
        <v>0</v>
      </c>
      <c r="L48" s="130">
        <f t="shared" si="7"/>
        <v>0</v>
      </c>
      <c r="M48" s="131" t="str">
        <f t="shared" si="8"/>
        <v/>
      </c>
      <c r="N48" s="132">
        <v>0</v>
      </c>
      <c r="O48" s="133">
        <f t="shared" si="9"/>
        <v>0</v>
      </c>
      <c r="P48" s="133">
        <f t="shared" si="10"/>
        <v>0</v>
      </c>
      <c r="Q48" s="131" t="str">
        <f t="shared" si="11"/>
        <v/>
      </c>
    </row>
    <row r="49" spans="1:17" ht="13">
      <c r="A49" s="126">
        <v>42</v>
      </c>
      <c r="B49" s="127"/>
      <c r="C49" s="128"/>
      <c r="D49" s="417"/>
      <c r="E49" s="418"/>
      <c r="F49" s="129">
        <v>0</v>
      </c>
      <c r="G49" s="337"/>
      <c r="H49" s="337"/>
      <c r="I49" s="337"/>
      <c r="J49" s="337"/>
      <c r="K49" s="336">
        <f t="shared" si="6"/>
        <v>0</v>
      </c>
      <c r="L49" s="130">
        <f t="shared" si="7"/>
        <v>0</v>
      </c>
      <c r="M49" s="131" t="str">
        <f t="shared" si="8"/>
        <v/>
      </c>
      <c r="N49" s="132">
        <v>0</v>
      </c>
      <c r="O49" s="133">
        <f t="shared" si="9"/>
        <v>0</v>
      </c>
      <c r="P49" s="133">
        <f t="shared" si="10"/>
        <v>0</v>
      </c>
      <c r="Q49" s="131" t="str">
        <f t="shared" si="11"/>
        <v/>
      </c>
    </row>
    <row r="50" spans="1:17" ht="13">
      <c r="A50" s="126">
        <v>43</v>
      </c>
      <c r="B50" s="127"/>
      <c r="C50" s="128"/>
      <c r="D50" s="417"/>
      <c r="E50" s="418"/>
      <c r="F50" s="129">
        <v>0</v>
      </c>
      <c r="G50" s="337"/>
      <c r="H50" s="337"/>
      <c r="I50" s="337"/>
      <c r="J50" s="337"/>
      <c r="K50" s="336">
        <f t="shared" si="6"/>
        <v>0</v>
      </c>
      <c r="L50" s="130">
        <f t="shared" si="7"/>
        <v>0</v>
      </c>
      <c r="M50" s="131" t="str">
        <f t="shared" si="8"/>
        <v/>
      </c>
      <c r="N50" s="132">
        <v>0</v>
      </c>
      <c r="O50" s="133">
        <f t="shared" si="9"/>
        <v>0</v>
      </c>
      <c r="P50" s="133">
        <f t="shared" si="10"/>
        <v>0</v>
      </c>
      <c r="Q50" s="131" t="str">
        <f t="shared" si="11"/>
        <v/>
      </c>
    </row>
    <row r="51" spans="1:17" ht="13">
      <c r="A51" s="126">
        <v>44</v>
      </c>
      <c r="B51" s="127"/>
      <c r="C51" s="128"/>
      <c r="D51" s="417"/>
      <c r="E51" s="418"/>
      <c r="F51" s="129">
        <v>0</v>
      </c>
      <c r="G51" s="337"/>
      <c r="H51" s="337"/>
      <c r="I51" s="337"/>
      <c r="J51" s="337"/>
      <c r="K51" s="336">
        <f t="shared" si="6"/>
        <v>0</v>
      </c>
      <c r="L51" s="130">
        <f t="shared" si="7"/>
        <v>0</v>
      </c>
      <c r="M51" s="131" t="str">
        <f t="shared" si="8"/>
        <v/>
      </c>
      <c r="N51" s="132">
        <v>0</v>
      </c>
      <c r="O51" s="133">
        <f t="shared" si="9"/>
        <v>0</v>
      </c>
      <c r="P51" s="133">
        <f t="shared" si="10"/>
        <v>0</v>
      </c>
      <c r="Q51" s="131" t="str">
        <f t="shared" si="11"/>
        <v/>
      </c>
    </row>
    <row r="52" spans="1:17" ht="13">
      <c r="A52" s="126">
        <v>45</v>
      </c>
      <c r="B52" s="127"/>
      <c r="C52" s="128"/>
      <c r="D52" s="417"/>
      <c r="E52" s="418"/>
      <c r="F52" s="129">
        <v>0</v>
      </c>
      <c r="G52" s="337"/>
      <c r="H52" s="337"/>
      <c r="I52" s="337"/>
      <c r="J52" s="337"/>
      <c r="K52" s="336">
        <f t="shared" si="6"/>
        <v>0</v>
      </c>
      <c r="L52" s="130">
        <f t="shared" si="7"/>
        <v>0</v>
      </c>
      <c r="M52" s="131" t="str">
        <f t="shared" si="8"/>
        <v/>
      </c>
      <c r="N52" s="132">
        <v>0</v>
      </c>
      <c r="O52" s="133">
        <f t="shared" si="9"/>
        <v>0</v>
      </c>
      <c r="P52" s="133">
        <f t="shared" si="10"/>
        <v>0</v>
      </c>
      <c r="Q52" s="131" t="str">
        <f t="shared" si="11"/>
        <v/>
      </c>
    </row>
    <row r="53" spans="1:17" ht="13">
      <c r="A53" s="126">
        <v>46</v>
      </c>
      <c r="B53" s="127"/>
      <c r="C53" s="128"/>
      <c r="D53" s="417"/>
      <c r="E53" s="418"/>
      <c r="F53" s="129">
        <v>0</v>
      </c>
      <c r="G53" s="337"/>
      <c r="H53" s="337"/>
      <c r="I53" s="337"/>
      <c r="J53" s="337"/>
      <c r="K53" s="336">
        <f t="shared" si="6"/>
        <v>0</v>
      </c>
      <c r="L53" s="130">
        <f t="shared" si="7"/>
        <v>0</v>
      </c>
      <c r="M53" s="131" t="str">
        <f t="shared" si="8"/>
        <v/>
      </c>
      <c r="N53" s="132">
        <v>0</v>
      </c>
      <c r="O53" s="133">
        <f t="shared" si="9"/>
        <v>0</v>
      </c>
      <c r="P53" s="133">
        <f t="shared" si="10"/>
        <v>0</v>
      </c>
      <c r="Q53" s="131" t="str">
        <f t="shared" si="11"/>
        <v/>
      </c>
    </row>
    <row r="54" spans="1:17" ht="13">
      <c r="A54" s="126">
        <v>47</v>
      </c>
      <c r="B54" s="127"/>
      <c r="C54" s="128"/>
      <c r="D54" s="417"/>
      <c r="E54" s="418"/>
      <c r="F54" s="129">
        <v>0</v>
      </c>
      <c r="G54" s="337"/>
      <c r="H54" s="337"/>
      <c r="I54" s="337"/>
      <c r="J54" s="337"/>
      <c r="K54" s="336">
        <f t="shared" si="6"/>
        <v>0</v>
      </c>
      <c r="L54" s="130">
        <f t="shared" si="7"/>
        <v>0</v>
      </c>
      <c r="M54" s="131" t="str">
        <f t="shared" si="8"/>
        <v/>
      </c>
      <c r="N54" s="132">
        <v>0</v>
      </c>
      <c r="O54" s="133">
        <f t="shared" si="9"/>
        <v>0</v>
      </c>
      <c r="P54" s="133">
        <f t="shared" si="10"/>
        <v>0</v>
      </c>
      <c r="Q54" s="131" t="str">
        <f t="shared" si="11"/>
        <v/>
      </c>
    </row>
    <row r="55" spans="1:17" ht="13">
      <c r="A55" s="126">
        <v>48</v>
      </c>
      <c r="B55" s="127"/>
      <c r="C55" s="128"/>
      <c r="D55" s="417"/>
      <c r="E55" s="418"/>
      <c r="F55" s="129">
        <v>0</v>
      </c>
      <c r="G55" s="337"/>
      <c r="H55" s="337"/>
      <c r="I55" s="337"/>
      <c r="J55" s="337"/>
      <c r="K55" s="336">
        <f t="shared" si="6"/>
        <v>0</v>
      </c>
      <c r="L55" s="130">
        <f t="shared" si="7"/>
        <v>0</v>
      </c>
      <c r="M55" s="131" t="str">
        <f t="shared" si="8"/>
        <v/>
      </c>
      <c r="N55" s="132">
        <v>0</v>
      </c>
      <c r="O55" s="133">
        <f t="shared" si="9"/>
        <v>0</v>
      </c>
      <c r="P55" s="133">
        <f t="shared" si="10"/>
        <v>0</v>
      </c>
      <c r="Q55" s="131" t="str">
        <f t="shared" si="11"/>
        <v/>
      </c>
    </row>
    <row r="56" spans="1:17" ht="13">
      <c r="A56" s="126">
        <v>49</v>
      </c>
      <c r="B56" s="127"/>
      <c r="C56" s="128"/>
      <c r="D56" s="417"/>
      <c r="E56" s="418"/>
      <c r="F56" s="129">
        <v>0</v>
      </c>
      <c r="G56" s="337"/>
      <c r="H56" s="337"/>
      <c r="I56" s="337"/>
      <c r="J56" s="337"/>
      <c r="K56" s="336">
        <f t="shared" si="6"/>
        <v>0</v>
      </c>
      <c r="L56" s="130">
        <f t="shared" si="7"/>
        <v>0</v>
      </c>
      <c r="M56" s="131" t="str">
        <f t="shared" si="8"/>
        <v/>
      </c>
      <c r="N56" s="132">
        <v>0</v>
      </c>
      <c r="O56" s="133">
        <f t="shared" si="9"/>
        <v>0</v>
      </c>
      <c r="P56" s="133">
        <f t="shared" si="10"/>
        <v>0</v>
      </c>
      <c r="Q56" s="131" t="str">
        <f t="shared" si="11"/>
        <v/>
      </c>
    </row>
    <row r="57" spans="1:17" ht="13">
      <c r="A57" s="126">
        <v>50</v>
      </c>
      <c r="B57" s="127"/>
      <c r="C57" s="128"/>
      <c r="D57" s="417"/>
      <c r="E57" s="418"/>
      <c r="F57" s="129">
        <v>0</v>
      </c>
      <c r="G57" s="337"/>
      <c r="H57" s="337"/>
      <c r="I57" s="337"/>
      <c r="J57" s="337"/>
      <c r="K57" s="336">
        <f t="shared" si="6"/>
        <v>0</v>
      </c>
      <c r="L57" s="130">
        <f t="shared" si="7"/>
        <v>0</v>
      </c>
      <c r="M57" s="131" t="str">
        <f t="shared" si="8"/>
        <v/>
      </c>
      <c r="N57" s="132">
        <v>0</v>
      </c>
      <c r="O57" s="133">
        <f t="shared" si="9"/>
        <v>0</v>
      </c>
      <c r="P57" s="133">
        <f t="shared" si="10"/>
        <v>0</v>
      </c>
      <c r="Q57" s="131" t="str">
        <f t="shared" si="11"/>
        <v/>
      </c>
    </row>
    <row r="58" spans="1:17" ht="13">
      <c r="A58" s="126">
        <v>51</v>
      </c>
      <c r="B58" s="127"/>
      <c r="C58" s="128"/>
      <c r="D58" s="417"/>
      <c r="E58" s="418"/>
      <c r="F58" s="129">
        <v>0</v>
      </c>
      <c r="G58" s="337"/>
      <c r="H58" s="337"/>
      <c r="I58" s="337"/>
      <c r="J58" s="337"/>
      <c r="K58" s="336">
        <f t="shared" si="6"/>
        <v>0</v>
      </c>
      <c r="L58" s="130">
        <f t="shared" si="7"/>
        <v>0</v>
      </c>
      <c r="M58" s="131" t="str">
        <f t="shared" si="8"/>
        <v/>
      </c>
      <c r="N58" s="132">
        <v>0</v>
      </c>
      <c r="O58" s="133">
        <f t="shared" si="9"/>
        <v>0</v>
      </c>
      <c r="P58" s="133">
        <f t="shared" si="10"/>
        <v>0</v>
      </c>
      <c r="Q58" s="131" t="str">
        <f t="shared" si="11"/>
        <v/>
      </c>
    </row>
    <row r="59" spans="1:17" ht="13">
      <c r="A59" s="126">
        <v>52</v>
      </c>
      <c r="B59" s="127"/>
      <c r="C59" s="128"/>
      <c r="D59" s="417"/>
      <c r="E59" s="418"/>
      <c r="F59" s="129">
        <v>0</v>
      </c>
      <c r="G59" s="337"/>
      <c r="H59" s="337"/>
      <c r="I59" s="337"/>
      <c r="J59" s="337"/>
      <c r="K59" s="336">
        <f t="shared" si="6"/>
        <v>0</v>
      </c>
      <c r="L59" s="130">
        <f t="shared" si="7"/>
        <v>0</v>
      </c>
      <c r="M59" s="131" t="str">
        <f t="shared" si="8"/>
        <v/>
      </c>
      <c r="N59" s="132">
        <v>0</v>
      </c>
      <c r="O59" s="133">
        <f t="shared" si="9"/>
        <v>0</v>
      </c>
      <c r="P59" s="133">
        <f t="shared" si="10"/>
        <v>0</v>
      </c>
      <c r="Q59" s="131" t="str">
        <f t="shared" si="11"/>
        <v/>
      </c>
    </row>
    <row r="60" spans="1:17" ht="13">
      <c r="A60" s="126">
        <v>53</v>
      </c>
      <c r="B60" s="127"/>
      <c r="C60" s="128"/>
      <c r="D60" s="417"/>
      <c r="E60" s="418"/>
      <c r="F60" s="129">
        <v>0</v>
      </c>
      <c r="G60" s="337"/>
      <c r="H60" s="337"/>
      <c r="I60" s="337"/>
      <c r="J60" s="337"/>
      <c r="K60" s="336">
        <f t="shared" si="6"/>
        <v>0</v>
      </c>
      <c r="L60" s="130">
        <f t="shared" si="7"/>
        <v>0</v>
      </c>
      <c r="M60" s="131" t="str">
        <f t="shared" si="8"/>
        <v/>
      </c>
      <c r="N60" s="132">
        <v>0</v>
      </c>
      <c r="O60" s="133">
        <f t="shared" si="9"/>
        <v>0</v>
      </c>
      <c r="P60" s="133">
        <f t="shared" si="10"/>
        <v>0</v>
      </c>
      <c r="Q60" s="131" t="str">
        <f t="shared" si="11"/>
        <v/>
      </c>
    </row>
    <row r="61" spans="1:17" ht="13">
      <c r="A61" s="126">
        <v>54</v>
      </c>
      <c r="B61" s="127"/>
      <c r="C61" s="128"/>
      <c r="D61" s="417"/>
      <c r="E61" s="418"/>
      <c r="F61" s="129">
        <v>0</v>
      </c>
      <c r="G61" s="337"/>
      <c r="H61" s="337"/>
      <c r="I61" s="337"/>
      <c r="J61" s="337"/>
      <c r="K61" s="336">
        <f t="shared" si="6"/>
        <v>0</v>
      </c>
      <c r="L61" s="130">
        <f t="shared" si="7"/>
        <v>0</v>
      </c>
      <c r="M61" s="131" t="str">
        <f t="shared" si="8"/>
        <v/>
      </c>
      <c r="N61" s="132">
        <v>0</v>
      </c>
      <c r="O61" s="133">
        <f t="shared" si="9"/>
        <v>0</v>
      </c>
      <c r="P61" s="133">
        <f t="shared" si="10"/>
        <v>0</v>
      </c>
      <c r="Q61" s="131" t="str">
        <f t="shared" si="11"/>
        <v/>
      </c>
    </row>
    <row r="62" spans="1:17" ht="13">
      <c r="A62" s="126">
        <v>55</v>
      </c>
      <c r="B62" s="127"/>
      <c r="C62" s="128"/>
      <c r="D62" s="417"/>
      <c r="E62" s="418"/>
      <c r="F62" s="129">
        <v>0</v>
      </c>
      <c r="G62" s="337"/>
      <c r="H62" s="337"/>
      <c r="I62" s="337"/>
      <c r="J62" s="337"/>
      <c r="K62" s="336">
        <f t="shared" si="6"/>
        <v>0</v>
      </c>
      <c r="L62" s="130">
        <f t="shared" si="7"/>
        <v>0</v>
      </c>
      <c r="M62" s="131" t="str">
        <f t="shared" si="8"/>
        <v/>
      </c>
      <c r="N62" s="132">
        <v>0</v>
      </c>
      <c r="O62" s="133">
        <f t="shared" si="9"/>
        <v>0</v>
      </c>
      <c r="P62" s="133">
        <f t="shared" si="10"/>
        <v>0</v>
      </c>
      <c r="Q62" s="131" t="str">
        <f t="shared" si="11"/>
        <v/>
      </c>
    </row>
    <row r="63" spans="1:17" ht="13">
      <c r="A63" s="126">
        <v>56</v>
      </c>
      <c r="B63" s="127"/>
      <c r="C63" s="128"/>
      <c r="D63" s="417"/>
      <c r="E63" s="418"/>
      <c r="F63" s="129">
        <v>0</v>
      </c>
      <c r="G63" s="337"/>
      <c r="H63" s="337"/>
      <c r="I63" s="337"/>
      <c r="J63" s="337"/>
      <c r="K63" s="336">
        <f t="shared" si="6"/>
        <v>0</v>
      </c>
      <c r="L63" s="130">
        <f t="shared" si="7"/>
        <v>0</v>
      </c>
      <c r="M63" s="131" t="str">
        <f t="shared" si="8"/>
        <v/>
      </c>
      <c r="N63" s="132">
        <v>0</v>
      </c>
      <c r="O63" s="133">
        <f t="shared" si="9"/>
        <v>0</v>
      </c>
      <c r="P63" s="133">
        <f t="shared" si="10"/>
        <v>0</v>
      </c>
      <c r="Q63" s="131" t="str">
        <f t="shared" si="11"/>
        <v/>
      </c>
    </row>
    <row r="64" spans="1:17" ht="13">
      <c r="A64" s="126">
        <v>57</v>
      </c>
      <c r="B64" s="127"/>
      <c r="C64" s="128"/>
      <c r="D64" s="417"/>
      <c r="E64" s="418"/>
      <c r="F64" s="129">
        <v>0</v>
      </c>
      <c r="G64" s="337"/>
      <c r="H64" s="337"/>
      <c r="I64" s="337"/>
      <c r="J64" s="337"/>
      <c r="K64" s="336">
        <f t="shared" si="6"/>
        <v>0</v>
      </c>
      <c r="L64" s="130">
        <f t="shared" si="7"/>
        <v>0</v>
      </c>
      <c r="M64" s="131" t="str">
        <f t="shared" si="8"/>
        <v/>
      </c>
      <c r="N64" s="132">
        <v>0</v>
      </c>
      <c r="O64" s="133">
        <f t="shared" si="9"/>
        <v>0</v>
      </c>
      <c r="P64" s="133">
        <f t="shared" si="10"/>
        <v>0</v>
      </c>
      <c r="Q64" s="131" t="str">
        <f t="shared" si="11"/>
        <v/>
      </c>
    </row>
    <row r="65" spans="1:17" ht="13">
      <c r="A65" s="126">
        <v>58</v>
      </c>
      <c r="B65" s="127"/>
      <c r="C65" s="128"/>
      <c r="D65" s="417"/>
      <c r="E65" s="418"/>
      <c r="F65" s="129">
        <v>0</v>
      </c>
      <c r="G65" s="337"/>
      <c r="H65" s="337"/>
      <c r="I65" s="337"/>
      <c r="J65" s="337"/>
      <c r="K65" s="336">
        <f t="shared" si="6"/>
        <v>0</v>
      </c>
      <c r="L65" s="130">
        <f t="shared" si="7"/>
        <v>0</v>
      </c>
      <c r="M65" s="131" t="str">
        <f t="shared" si="8"/>
        <v/>
      </c>
      <c r="N65" s="132">
        <v>0</v>
      </c>
      <c r="O65" s="133">
        <f t="shared" si="9"/>
        <v>0</v>
      </c>
      <c r="P65" s="133">
        <f t="shared" si="10"/>
        <v>0</v>
      </c>
      <c r="Q65" s="131" t="str">
        <f t="shared" si="11"/>
        <v/>
      </c>
    </row>
    <row r="66" spans="1:17" ht="13">
      <c r="A66" s="126">
        <v>59</v>
      </c>
      <c r="B66" s="127"/>
      <c r="C66" s="128"/>
      <c r="D66" s="417"/>
      <c r="E66" s="418"/>
      <c r="F66" s="129">
        <v>0</v>
      </c>
      <c r="G66" s="337"/>
      <c r="H66" s="337"/>
      <c r="I66" s="337"/>
      <c r="J66" s="337"/>
      <c r="K66" s="336">
        <f t="shared" si="6"/>
        <v>0</v>
      </c>
      <c r="L66" s="130">
        <f t="shared" si="7"/>
        <v>0</v>
      </c>
      <c r="M66" s="131" t="str">
        <f t="shared" si="8"/>
        <v/>
      </c>
      <c r="N66" s="132">
        <v>0</v>
      </c>
      <c r="O66" s="133">
        <f t="shared" si="9"/>
        <v>0</v>
      </c>
      <c r="P66" s="133">
        <f t="shared" si="10"/>
        <v>0</v>
      </c>
      <c r="Q66" s="131" t="str">
        <f t="shared" si="11"/>
        <v/>
      </c>
    </row>
    <row r="67" spans="1:17" ht="13">
      <c r="A67" s="126">
        <v>60</v>
      </c>
      <c r="B67" s="127"/>
      <c r="C67" s="128"/>
      <c r="D67" s="417"/>
      <c r="E67" s="418"/>
      <c r="F67" s="129">
        <v>0</v>
      </c>
      <c r="G67" s="337"/>
      <c r="H67" s="337"/>
      <c r="I67" s="337"/>
      <c r="J67" s="337"/>
      <c r="K67" s="336">
        <f t="shared" si="6"/>
        <v>0</v>
      </c>
      <c r="L67" s="130">
        <f t="shared" si="7"/>
        <v>0</v>
      </c>
      <c r="M67" s="131" t="str">
        <f t="shared" si="8"/>
        <v/>
      </c>
      <c r="N67" s="132">
        <v>0</v>
      </c>
      <c r="O67" s="133">
        <f t="shared" si="9"/>
        <v>0</v>
      </c>
      <c r="P67" s="133">
        <f t="shared" si="10"/>
        <v>0</v>
      </c>
      <c r="Q67" s="131" t="str">
        <f t="shared" si="11"/>
        <v/>
      </c>
    </row>
    <row r="68" spans="1:17" ht="13">
      <c r="A68" s="126">
        <v>61</v>
      </c>
      <c r="B68" s="127"/>
      <c r="C68" s="128"/>
      <c r="D68" s="417"/>
      <c r="E68" s="418"/>
      <c r="F68" s="129">
        <v>0</v>
      </c>
      <c r="G68" s="337"/>
      <c r="H68" s="337"/>
      <c r="I68" s="337"/>
      <c r="J68" s="337"/>
      <c r="K68" s="336">
        <f t="shared" si="6"/>
        <v>0</v>
      </c>
      <c r="L68" s="130">
        <f t="shared" si="7"/>
        <v>0</v>
      </c>
      <c r="M68" s="131" t="str">
        <f t="shared" si="8"/>
        <v/>
      </c>
      <c r="N68" s="132">
        <v>0</v>
      </c>
      <c r="O68" s="133">
        <f t="shared" si="9"/>
        <v>0</v>
      </c>
      <c r="P68" s="133">
        <f t="shared" si="10"/>
        <v>0</v>
      </c>
      <c r="Q68" s="131" t="str">
        <f t="shared" si="11"/>
        <v/>
      </c>
    </row>
    <row r="69" spans="1:17" ht="13">
      <c r="A69" s="126">
        <v>62</v>
      </c>
      <c r="B69" s="127"/>
      <c r="C69" s="128"/>
      <c r="D69" s="417"/>
      <c r="E69" s="418"/>
      <c r="F69" s="129">
        <v>0</v>
      </c>
      <c r="G69" s="337"/>
      <c r="H69" s="337"/>
      <c r="I69" s="337"/>
      <c r="J69" s="337"/>
      <c r="K69" s="336">
        <f t="shared" si="6"/>
        <v>0</v>
      </c>
      <c r="L69" s="130">
        <f t="shared" si="7"/>
        <v>0</v>
      </c>
      <c r="M69" s="131" t="str">
        <f t="shared" si="8"/>
        <v/>
      </c>
      <c r="N69" s="132">
        <v>0</v>
      </c>
      <c r="O69" s="133">
        <f t="shared" si="9"/>
        <v>0</v>
      </c>
      <c r="P69" s="133">
        <f t="shared" si="10"/>
        <v>0</v>
      </c>
      <c r="Q69" s="131" t="str">
        <f t="shared" si="11"/>
        <v/>
      </c>
    </row>
    <row r="70" spans="1:17" ht="13">
      <c r="A70" s="126">
        <v>63</v>
      </c>
      <c r="B70" s="127"/>
      <c r="C70" s="128"/>
      <c r="D70" s="417"/>
      <c r="E70" s="418"/>
      <c r="F70" s="129">
        <v>0</v>
      </c>
      <c r="G70" s="337"/>
      <c r="H70" s="337"/>
      <c r="I70" s="337"/>
      <c r="J70" s="337"/>
      <c r="K70" s="336">
        <f t="shared" si="6"/>
        <v>0</v>
      </c>
      <c r="L70" s="130">
        <f t="shared" si="7"/>
        <v>0</v>
      </c>
      <c r="M70" s="131" t="str">
        <f t="shared" si="8"/>
        <v/>
      </c>
      <c r="N70" s="132">
        <v>0</v>
      </c>
      <c r="O70" s="133">
        <f t="shared" si="9"/>
        <v>0</v>
      </c>
      <c r="P70" s="133">
        <f t="shared" si="10"/>
        <v>0</v>
      </c>
      <c r="Q70" s="131" t="str">
        <f t="shared" si="11"/>
        <v/>
      </c>
    </row>
    <row r="71" spans="1:17" ht="13">
      <c r="A71" s="126">
        <v>64</v>
      </c>
      <c r="B71" s="127"/>
      <c r="C71" s="128"/>
      <c r="D71" s="417"/>
      <c r="E71" s="418"/>
      <c r="F71" s="129">
        <v>0</v>
      </c>
      <c r="G71" s="337"/>
      <c r="H71" s="337"/>
      <c r="I71" s="337"/>
      <c r="J71" s="337"/>
      <c r="K71" s="336">
        <f t="shared" si="6"/>
        <v>0</v>
      </c>
      <c r="L71" s="130">
        <f t="shared" si="7"/>
        <v>0</v>
      </c>
      <c r="M71" s="131" t="str">
        <f t="shared" si="8"/>
        <v/>
      </c>
      <c r="N71" s="132">
        <v>0</v>
      </c>
      <c r="O71" s="133">
        <f t="shared" si="9"/>
        <v>0</v>
      </c>
      <c r="P71" s="133">
        <f t="shared" si="10"/>
        <v>0</v>
      </c>
      <c r="Q71" s="131" t="str">
        <f t="shared" si="11"/>
        <v/>
      </c>
    </row>
    <row r="72" spans="1:17" ht="13">
      <c r="A72" s="126">
        <v>65</v>
      </c>
      <c r="B72" s="127"/>
      <c r="C72" s="128"/>
      <c r="D72" s="417"/>
      <c r="E72" s="418"/>
      <c r="F72" s="129">
        <v>0</v>
      </c>
      <c r="G72" s="337"/>
      <c r="H72" s="337"/>
      <c r="I72" s="337"/>
      <c r="J72" s="337"/>
      <c r="K72" s="336">
        <f t="shared" ref="K72:K103" si="12">MAXA(G72:J72)</f>
        <v>0</v>
      </c>
      <c r="L72" s="130">
        <f t="shared" ref="L72:L103" si="13">F72*K72</f>
        <v>0</v>
      </c>
      <c r="M72" s="131" t="str">
        <f t="shared" ref="M72:M103" si="14">IF(L72&gt;0,RANK(L72,L$8:L$207),"")</f>
        <v/>
      </c>
      <c r="N72" s="132">
        <v>0</v>
      </c>
      <c r="O72" s="133">
        <f t="shared" ref="O72:O103" si="15">N72*SensibO</f>
        <v>0</v>
      </c>
      <c r="P72" s="133">
        <f t="shared" ref="P72:P103" si="16">F72*O72</f>
        <v>0</v>
      </c>
      <c r="Q72" s="131" t="str">
        <f t="shared" ref="Q72:Q103" si="17">IF(P72&gt;0,RANK(P72,OportPreVE,0),"")</f>
        <v/>
      </c>
    </row>
    <row r="73" spans="1:17" ht="13">
      <c r="A73" s="126">
        <v>66</v>
      </c>
      <c r="B73" s="127"/>
      <c r="C73" s="128"/>
      <c r="D73" s="417"/>
      <c r="E73" s="418"/>
      <c r="F73" s="129">
        <v>0</v>
      </c>
      <c r="G73" s="337"/>
      <c r="H73" s="337"/>
      <c r="I73" s="337"/>
      <c r="J73" s="337"/>
      <c r="K73" s="336">
        <f t="shared" si="12"/>
        <v>0</v>
      </c>
      <c r="L73" s="130">
        <f t="shared" si="13"/>
        <v>0</v>
      </c>
      <c r="M73" s="131" t="str">
        <f t="shared" si="14"/>
        <v/>
      </c>
      <c r="N73" s="132">
        <v>0</v>
      </c>
      <c r="O73" s="133">
        <f t="shared" si="15"/>
        <v>0</v>
      </c>
      <c r="P73" s="133">
        <f t="shared" si="16"/>
        <v>0</v>
      </c>
      <c r="Q73" s="131" t="str">
        <f t="shared" si="17"/>
        <v/>
      </c>
    </row>
    <row r="74" spans="1:17" ht="13">
      <c r="A74" s="126">
        <v>67</v>
      </c>
      <c r="B74" s="127"/>
      <c r="C74" s="128"/>
      <c r="D74" s="417"/>
      <c r="E74" s="418"/>
      <c r="F74" s="129">
        <v>0</v>
      </c>
      <c r="G74" s="337"/>
      <c r="H74" s="337"/>
      <c r="I74" s="337"/>
      <c r="J74" s="337"/>
      <c r="K74" s="336">
        <f t="shared" si="12"/>
        <v>0</v>
      </c>
      <c r="L74" s="130">
        <f t="shared" si="13"/>
        <v>0</v>
      </c>
      <c r="M74" s="131" t="str">
        <f t="shared" si="14"/>
        <v/>
      </c>
      <c r="N74" s="132">
        <v>0</v>
      </c>
      <c r="O74" s="133">
        <f t="shared" si="15"/>
        <v>0</v>
      </c>
      <c r="P74" s="133">
        <f t="shared" si="16"/>
        <v>0</v>
      </c>
      <c r="Q74" s="131" t="str">
        <f t="shared" si="17"/>
        <v/>
      </c>
    </row>
    <row r="75" spans="1:17" ht="13">
      <c r="A75" s="126">
        <v>68</v>
      </c>
      <c r="B75" s="127"/>
      <c r="C75" s="128"/>
      <c r="D75" s="417"/>
      <c r="E75" s="418"/>
      <c r="F75" s="129">
        <v>0</v>
      </c>
      <c r="G75" s="337"/>
      <c r="H75" s="337"/>
      <c r="I75" s="337"/>
      <c r="J75" s="337"/>
      <c r="K75" s="336">
        <f t="shared" si="12"/>
        <v>0</v>
      </c>
      <c r="L75" s="130">
        <f t="shared" si="13"/>
        <v>0</v>
      </c>
      <c r="M75" s="131" t="str">
        <f t="shared" si="14"/>
        <v/>
      </c>
      <c r="N75" s="132">
        <v>0</v>
      </c>
      <c r="O75" s="133">
        <f t="shared" si="15"/>
        <v>0</v>
      </c>
      <c r="P75" s="133">
        <f t="shared" si="16"/>
        <v>0</v>
      </c>
      <c r="Q75" s="131" t="str">
        <f t="shared" si="17"/>
        <v/>
      </c>
    </row>
    <row r="76" spans="1:17" ht="13">
      <c r="A76" s="126">
        <v>69</v>
      </c>
      <c r="B76" s="127"/>
      <c r="C76" s="128"/>
      <c r="D76" s="417"/>
      <c r="E76" s="418"/>
      <c r="F76" s="129">
        <v>0</v>
      </c>
      <c r="G76" s="337"/>
      <c r="H76" s="337"/>
      <c r="I76" s="337"/>
      <c r="J76" s="337"/>
      <c r="K76" s="336">
        <f t="shared" si="12"/>
        <v>0</v>
      </c>
      <c r="L76" s="130">
        <f t="shared" si="13"/>
        <v>0</v>
      </c>
      <c r="M76" s="131" t="str">
        <f t="shared" si="14"/>
        <v/>
      </c>
      <c r="N76" s="132">
        <v>0</v>
      </c>
      <c r="O76" s="133">
        <f t="shared" si="15"/>
        <v>0</v>
      </c>
      <c r="P76" s="133">
        <f t="shared" si="16"/>
        <v>0</v>
      </c>
      <c r="Q76" s="131" t="str">
        <f t="shared" si="17"/>
        <v/>
      </c>
    </row>
    <row r="77" spans="1:17" ht="13">
      <c r="A77" s="126">
        <v>70</v>
      </c>
      <c r="B77" s="127"/>
      <c r="C77" s="128"/>
      <c r="D77" s="417"/>
      <c r="E77" s="418"/>
      <c r="F77" s="129">
        <v>0</v>
      </c>
      <c r="G77" s="337"/>
      <c r="H77" s="337"/>
      <c r="I77" s="337"/>
      <c r="J77" s="337"/>
      <c r="K77" s="336">
        <f t="shared" si="12"/>
        <v>0</v>
      </c>
      <c r="L77" s="130">
        <f t="shared" si="13"/>
        <v>0</v>
      </c>
      <c r="M77" s="131" t="str">
        <f t="shared" si="14"/>
        <v/>
      </c>
      <c r="N77" s="132">
        <v>0</v>
      </c>
      <c r="O77" s="133">
        <f t="shared" si="15"/>
        <v>0</v>
      </c>
      <c r="P77" s="133">
        <f t="shared" si="16"/>
        <v>0</v>
      </c>
      <c r="Q77" s="131" t="str">
        <f t="shared" si="17"/>
        <v/>
      </c>
    </row>
    <row r="78" spans="1:17" ht="13">
      <c r="A78" s="126">
        <v>71</v>
      </c>
      <c r="B78" s="127"/>
      <c r="C78" s="128"/>
      <c r="D78" s="417"/>
      <c r="E78" s="418"/>
      <c r="F78" s="129">
        <v>0</v>
      </c>
      <c r="G78" s="337"/>
      <c r="H78" s="337"/>
      <c r="I78" s="337"/>
      <c r="J78" s="337"/>
      <c r="K78" s="336">
        <f t="shared" si="12"/>
        <v>0</v>
      </c>
      <c r="L78" s="130">
        <f t="shared" si="13"/>
        <v>0</v>
      </c>
      <c r="M78" s="131" t="str">
        <f t="shared" si="14"/>
        <v/>
      </c>
      <c r="N78" s="132">
        <v>0</v>
      </c>
      <c r="O78" s="133">
        <f t="shared" si="15"/>
        <v>0</v>
      </c>
      <c r="P78" s="133">
        <f t="shared" si="16"/>
        <v>0</v>
      </c>
      <c r="Q78" s="131" t="str">
        <f t="shared" si="17"/>
        <v/>
      </c>
    </row>
    <row r="79" spans="1:17" ht="13">
      <c r="A79" s="126">
        <v>72</v>
      </c>
      <c r="B79" s="127"/>
      <c r="C79" s="128"/>
      <c r="D79" s="417"/>
      <c r="E79" s="418"/>
      <c r="F79" s="129">
        <v>0</v>
      </c>
      <c r="G79" s="337"/>
      <c r="H79" s="337"/>
      <c r="I79" s="337"/>
      <c r="J79" s="337"/>
      <c r="K79" s="336">
        <f t="shared" si="12"/>
        <v>0</v>
      </c>
      <c r="L79" s="130">
        <f t="shared" si="13"/>
        <v>0</v>
      </c>
      <c r="M79" s="131" t="str">
        <f t="shared" si="14"/>
        <v/>
      </c>
      <c r="N79" s="132">
        <v>0</v>
      </c>
      <c r="O79" s="133">
        <f t="shared" si="15"/>
        <v>0</v>
      </c>
      <c r="P79" s="133">
        <f t="shared" si="16"/>
        <v>0</v>
      </c>
      <c r="Q79" s="131" t="str">
        <f t="shared" si="17"/>
        <v/>
      </c>
    </row>
    <row r="80" spans="1:17" ht="13">
      <c r="A80" s="126">
        <v>73</v>
      </c>
      <c r="B80" s="127"/>
      <c r="C80" s="128"/>
      <c r="D80" s="417"/>
      <c r="E80" s="418"/>
      <c r="F80" s="129">
        <v>0</v>
      </c>
      <c r="G80" s="337"/>
      <c r="H80" s="337"/>
      <c r="I80" s="337"/>
      <c r="J80" s="337"/>
      <c r="K80" s="336">
        <f t="shared" si="12"/>
        <v>0</v>
      </c>
      <c r="L80" s="130">
        <f t="shared" si="13"/>
        <v>0</v>
      </c>
      <c r="M80" s="131" t="str">
        <f t="shared" si="14"/>
        <v/>
      </c>
      <c r="N80" s="132">
        <v>0</v>
      </c>
      <c r="O80" s="133">
        <f t="shared" si="15"/>
        <v>0</v>
      </c>
      <c r="P80" s="133">
        <f t="shared" si="16"/>
        <v>0</v>
      </c>
      <c r="Q80" s="131" t="str">
        <f t="shared" si="17"/>
        <v/>
      </c>
    </row>
    <row r="81" spans="1:17" ht="13">
      <c r="A81" s="126">
        <v>74</v>
      </c>
      <c r="B81" s="127"/>
      <c r="C81" s="128"/>
      <c r="D81" s="417"/>
      <c r="E81" s="418"/>
      <c r="F81" s="129">
        <v>0</v>
      </c>
      <c r="G81" s="337"/>
      <c r="H81" s="337"/>
      <c r="I81" s="337"/>
      <c r="J81" s="337"/>
      <c r="K81" s="336">
        <f t="shared" si="12"/>
        <v>0</v>
      </c>
      <c r="L81" s="130">
        <f t="shared" si="13"/>
        <v>0</v>
      </c>
      <c r="M81" s="131" t="str">
        <f t="shared" si="14"/>
        <v/>
      </c>
      <c r="N81" s="132">
        <v>0</v>
      </c>
      <c r="O81" s="133">
        <f t="shared" si="15"/>
        <v>0</v>
      </c>
      <c r="P81" s="133">
        <f t="shared" si="16"/>
        <v>0</v>
      </c>
      <c r="Q81" s="131" t="str">
        <f t="shared" si="17"/>
        <v/>
      </c>
    </row>
    <row r="82" spans="1:17" ht="13">
      <c r="A82" s="126">
        <v>75</v>
      </c>
      <c r="B82" s="127"/>
      <c r="C82" s="128"/>
      <c r="D82" s="417"/>
      <c r="E82" s="418"/>
      <c r="F82" s="129">
        <v>0</v>
      </c>
      <c r="G82" s="337"/>
      <c r="H82" s="337"/>
      <c r="I82" s="337"/>
      <c r="J82" s="337"/>
      <c r="K82" s="336">
        <f t="shared" si="12"/>
        <v>0</v>
      </c>
      <c r="L82" s="130">
        <f t="shared" si="13"/>
        <v>0</v>
      </c>
      <c r="M82" s="131" t="str">
        <f t="shared" si="14"/>
        <v/>
      </c>
      <c r="N82" s="132">
        <v>0</v>
      </c>
      <c r="O82" s="133">
        <f t="shared" si="15"/>
        <v>0</v>
      </c>
      <c r="P82" s="133">
        <f t="shared" si="16"/>
        <v>0</v>
      </c>
      <c r="Q82" s="131" t="str">
        <f t="shared" si="17"/>
        <v/>
      </c>
    </row>
    <row r="83" spans="1:17" ht="13">
      <c r="A83" s="126">
        <v>76</v>
      </c>
      <c r="B83" s="127"/>
      <c r="C83" s="128"/>
      <c r="D83" s="417"/>
      <c r="E83" s="418"/>
      <c r="F83" s="129">
        <v>0</v>
      </c>
      <c r="G83" s="337"/>
      <c r="H83" s="337"/>
      <c r="I83" s="337"/>
      <c r="J83" s="337"/>
      <c r="K83" s="336">
        <f t="shared" si="12"/>
        <v>0</v>
      </c>
      <c r="L83" s="130">
        <f t="shared" si="13"/>
        <v>0</v>
      </c>
      <c r="M83" s="131" t="str">
        <f t="shared" si="14"/>
        <v/>
      </c>
      <c r="N83" s="132">
        <v>0</v>
      </c>
      <c r="O83" s="133">
        <f t="shared" si="15"/>
        <v>0</v>
      </c>
      <c r="P83" s="133">
        <f t="shared" si="16"/>
        <v>0</v>
      </c>
      <c r="Q83" s="131" t="str">
        <f t="shared" si="17"/>
        <v/>
      </c>
    </row>
    <row r="84" spans="1:17" ht="13">
      <c r="A84" s="126">
        <v>77</v>
      </c>
      <c r="B84" s="127"/>
      <c r="C84" s="128"/>
      <c r="D84" s="417"/>
      <c r="E84" s="418"/>
      <c r="F84" s="129">
        <v>0</v>
      </c>
      <c r="G84" s="337"/>
      <c r="H84" s="337"/>
      <c r="I84" s="337"/>
      <c r="J84" s="337"/>
      <c r="K84" s="336">
        <f t="shared" si="12"/>
        <v>0</v>
      </c>
      <c r="L84" s="130">
        <f t="shared" si="13"/>
        <v>0</v>
      </c>
      <c r="M84" s="131" t="str">
        <f t="shared" si="14"/>
        <v/>
      </c>
      <c r="N84" s="132">
        <v>0</v>
      </c>
      <c r="O84" s="133">
        <f t="shared" si="15"/>
        <v>0</v>
      </c>
      <c r="P84" s="133">
        <f t="shared" si="16"/>
        <v>0</v>
      </c>
      <c r="Q84" s="131" t="str">
        <f t="shared" si="17"/>
        <v/>
      </c>
    </row>
    <row r="85" spans="1:17" ht="13">
      <c r="A85" s="126">
        <v>78</v>
      </c>
      <c r="B85" s="127"/>
      <c r="C85" s="128"/>
      <c r="D85" s="417"/>
      <c r="E85" s="418"/>
      <c r="F85" s="129">
        <v>0</v>
      </c>
      <c r="G85" s="337"/>
      <c r="H85" s="337"/>
      <c r="I85" s="337"/>
      <c r="J85" s="337"/>
      <c r="K85" s="336">
        <f t="shared" si="12"/>
        <v>0</v>
      </c>
      <c r="L85" s="130">
        <f t="shared" si="13"/>
        <v>0</v>
      </c>
      <c r="M85" s="131" t="str">
        <f t="shared" si="14"/>
        <v/>
      </c>
      <c r="N85" s="132">
        <v>0</v>
      </c>
      <c r="O85" s="133">
        <f t="shared" si="15"/>
        <v>0</v>
      </c>
      <c r="P85" s="133">
        <f t="shared" si="16"/>
        <v>0</v>
      </c>
      <c r="Q85" s="131" t="str">
        <f t="shared" si="17"/>
        <v/>
      </c>
    </row>
    <row r="86" spans="1:17" ht="13">
      <c r="A86" s="126">
        <v>79</v>
      </c>
      <c r="B86" s="127"/>
      <c r="C86" s="128"/>
      <c r="D86" s="417"/>
      <c r="E86" s="418"/>
      <c r="F86" s="129">
        <v>0</v>
      </c>
      <c r="G86" s="337"/>
      <c r="H86" s="337"/>
      <c r="I86" s="337"/>
      <c r="J86" s="337"/>
      <c r="K86" s="336">
        <f t="shared" si="12"/>
        <v>0</v>
      </c>
      <c r="L86" s="130">
        <f t="shared" si="13"/>
        <v>0</v>
      </c>
      <c r="M86" s="131" t="str">
        <f t="shared" si="14"/>
        <v/>
      </c>
      <c r="N86" s="132">
        <v>0</v>
      </c>
      <c r="O86" s="133">
        <f t="shared" si="15"/>
        <v>0</v>
      </c>
      <c r="P86" s="133">
        <f t="shared" si="16"/>
        <v>0</v>
      </c>
      <c r="Q86" s="131" t="str">
        <f t="shared" si="17"/>
        <v/>
      </c>
    </row>
    <row r="87" spans="1:17" ht="13">
      <c r="A87" s="126">
        <v>80</v>
      </c>
      <c r="B87" s="127"/>
      <c r="C87" s="128"/>
      <c r="D87" s="417"/>
      <c r="E87" s="418"/>
      <c r="F87" s="129">
        <v>0</v>
      </c>
      <c r="G87" s="337"/>
      <c r="H87" s="337"/>
      <c r="I87" s="337"/>
      <c r="J87" s="337"/>
      <c r="K87" s="336">
        <f t="shared" si="12"/>
        <v>0</v>
      </c>
      <c r="L87" s="130">
        <f t="shared" si="13"/>
        <v>0</v>
      </c>
      <c r="M87" s="131" t="str">
        <f t="shared" si="14"/>
        <v/>
      </c>
      <c r="N87" s="132">
        <v>0</v>
      </c>
      <c r="O87" s="133">
        <f t="shared" si="15"/>
        <v>0</v>
      </c>
      <c r="P87" s="133">
        <f t="shared" si="16"/>
        <v>0</v>
      </c>
      <c r="Q87" s="131" t="str">
        <f t="shared" si="17"/>
        <v/>
      </c>
    </row>
    <row r="88" spans="1:17" ht="13">
      <c r="A88" s="126">
        <v>81</v>
      </c>
      <c r="B88" s="127"/>
      <c r="C88" s="128"/>
      <c r="D88" s="417"/>
      <c r="E88" s="418"/>
      <c r="F88" s="129">
        <v>0</v>
      </c>
      <c r="G88" s="337"/>
      <c r="H88" s="337"/>
      <c r="I88" s="337"/>
      <c r="J88" s="337"/>
      <c r="K88" s="336">
        <f t="shared" si="12"/>
        <v>0</v>
      </c>
      <c r="L88" s="130">
        <f t="shared" si="13"/>
        <v>0</v>
      </c>
      <c r="M88" s="131" t="str">
        <f t="shared" si="14"/>
        <v/>
      </c>
      <c r="N88" s="132">
        <v>0</v>
      </c>
      <c r="O88" s="133">
        <f t="shared" si="15"/>
        <v>0</v>
      </c>
      <c r="P88" s="133">
        <f t="shared" si="16"/>
        <v>0</v>
      </c>
      <c r="Q88" s="131" t="str">
        <f t="shared" si="17"/>
        <v/>
      </c>
    </row>
    <row r="89" spans="1:17" ht="13">
      <c r="A89" s="126">
        <v>82</v>
      </c>
      <c r="B89" s="127"/>
      <c r="C89" s="128"/>
      <c r="D89" s="417"/>
      <c r="E89" s="418"/>
      <c r="F89" s="129">
        <v>0</v>
      </c>
      <c r="G89" s="337"/>
      <c r="H89" s="337"/>
      <c r="I89" s="337"/>
      <c r="J89" s="337"/>
      <c r="K89" s="336">
        <f t="shared" si="12"/>
        <v>0</v>
      </c>
      <c r="L89" s="130">
        <f t="shared" si="13"/>
        <v>0</v>
      </c>
      <c r="M89" s="131" t="str">
        <f t="shared" si="14"/>
        <v/>
      </c>
      <c r="N89" s="132">
        <v>0</v>
      </c>
      <c r="O89" s="133">
        <f t="shared" si="15"/>
        <v>0</v>
      </c>
      <c r="P89" s="133">
        <f t="shared" si="16"/>
        <v>0</v>
      </c>
      <c r="Q89" s="131" t="str">
        <f t="shared" si="17"/>
        <v/>
      </c>
    </row>
    <row r="90" spans="1:17" ht="13">
      <c r="A90" s="126">
        <v>83</v>
      </c>
      <c r="B90" s="127"/>
      <c r="C90" s="128"/>
      <c r="D90" s="417"/>
      <c r="E90" s="418"/>
      <c r="F90" s="129">
        <v>0</v>
      </c>
      <c r="G90" s="337"/>
      <c r="H90" s="337"/>
      <c r="I90" s="337"/>
      <c r="J90" s="337"/>
      <c r="K90" s="336">
        <f t="shared" si="12"/>
        <v>0</v>
      </c>
      <c r="L90" s="130">
        <f t="shared" si="13"/>
        <v>0</v>
      </c>
      <c r="M90" s="131" t="str">
        <f t="shared" si="14"/>
        <v/>
      </c>
      <c r="N90" s="132">
        <v>0</v>
      </c>
      <c r="O90" s="133">
        <f t="shared" si="15"/>
        <v>0</v>
      </c>
      <c r="P90" s="133">
        <f t="shared" si="16"/>
        <v>0</v>
      </c>
      <c r="Q90" s="131" t="str">
        <f t="shared" si="17"/>
        <v/>
      </c>
    </row>
    <row r="91" spans="1:17" ht="13">
      <c r="A91" s="126">
        <v>84</v>
      </c>
      <c r="B91" s="127"/>
      <c r="C91" s="128"/>
      <c r="D91" s="417"/>
      <c r="E91" s="418"/>
      <c r="F91" s="129">
        <v>0</v>
      </c>
      <c r="G91" s="337"/>
      <c r="H91" s="337"/>
      <c r="I91" s="337"/>
      <c r="J91" s="337"/>
      <c r="K91" s="336">
        <f t="shared" si="12"/>
        <v>0</v>
      </c>
      <c r="L91" s="130">
        <f t="shared" si="13"/>
        <v>0</v>
      </c>
      <c r="M91" s="131" t="str">
        <f t="shared" si="14"/>
        <v/>
      </c>
      <c r="N91" s="132">
        <v>0</v>
      </c>
      <c r="O91" s="133">
        <f t="shared" si="15"/>
        <v>0</v>
      </c>
      <c r="P91" s="133">
        <f t="shared" si="16"/>
        <v>0</v>
      </c>
      <c r="Q91" s="131" t="str">
        <f t="shared" si="17"/>
        <v/>
      </c>
    </row>
    <row r="92" spans="1:17" ht="13">
      <c r="A92" s="126">
        <v>85</v>
      </c>
      <c r="B92" s="127"/>
      <c r="C92" s="128"/>
      <c r="D92" s="417"/>
      <c r="E92" s="418"/>
      <c r="F92" s="129">
        <v>0</v>
      </c>
      <c r="G92" s="337"/>
      <c r="H92" s="337"/>
      <c r="I92" s="337"/>
      <c r="J92" s="337"/>
      <c r="K92" s="336">
        <f t="shared" si="12"/>
        <v>0</v>
      </c>
      <c r="L92" s="130">
        <f t="shared" si="13"/>
        <v>0</v>
      </c>
      <c r="M92" s="131" t="str">
        <f t="shared" si="14"/>
        <v/>
      </c>
      <c r="N92" s="132">
        <v>0</v>
      </c>
      <c r="O92" s="133">
        <f t="shared" si="15"/>
        <v>0</v>
      </c>
      <c r="P92" s="133">
        <f t="shared" si="16"/>
        <v>0</v>
      </c>
      <c r="Q92" s="131" t="str">
        <f t="shared" si="17"/>
        <v/>
      </c>
    </row>
    <row r="93" spans="1:17" ht="13">
      <c r="A93" s="126">
        <v>86</v>
      </c>
      <c r="B93" s="127"/>
      <c r="C93" s="128"/>
      <c r="D93" s="417"/>
      <c r="E93" s="418"/>
      <c r="F93" s="129">
        <v>0</v>
      </c>
      <c r="G93" s="337"/>
      <c r="H93" s="337"/>
      <c r="I93" s="337"/>
      <c r="J93" s="337"/>
      <c r="K93" s="336">
        <f t="shared" si="12"/>
        <v>0</v>
      </c>
      <c r="L93" s="130">
        <f t="shared" si="13"/>
        <v>0</v>
      </c>
      <c r="M93" s="131" t="str">
        <f t="shared" si="14"/>
        <v/>
      </c>
      <c r="N93" s="132">
        <v>0</v>
      </c>
      <c r="O93" s="133">
        <f t="shared" si="15"/>
        <v>0</v>
      </c>
      <c r="P93" s="133">
        <f t="shared" si="16"/>
        <v>0</v>
      </c>
      <c r="Q93" s="131" t="str">
        <f t="shared" si="17"/>
        <v/>
      </c>
    </row>
    <row r="94" spans="1:17" ht="13">
      <c r="A94" s="126">
        <v>87</v>
      </c>
      <c r="B94" s="127"/>
      <c r="C94" s="128"/>
      <c r="D94" s="417"/>
      <c r="E94" s="418"/>
      <c r="F94" s="129">
        <v>0</v>
      </c>
      <c r="G94" s="337"/>
      <c r="H94" s="337"/>
      <c r="I94" s="337"/>
      <c r="J94" s="337"/>
      <c r="K94" s="336">
        <f t="shared" si="12"/>
        <v>0</v>
      </c>
      <c r="L94" s="130">
        <f t="shared" si="13"/>
        <v>0</v>
      </c>
      <c r="M94" s="131" t="str">
        <f t="shared" si="14"/>
        <v/>
      </c>
      <c r="N94" s="132">
        <v>0</v>
      </c>
      <c r="O94" s="133">
        <f t="shared" si="15"/>
        <v>0</v>
      </c>
      <c r="P94" s="133">
        <f t="shared" si="16"/>
        <v>0</v>
      </c>
      <c r="Q94" s="131" t="str">
        <f t="shared" si="17"/>
        <v/>
      </c>
    </row>
    <row r="95" spans="1:17" ht="13">
      <c r="A95" s="126">
        <v>88</v>
      </c>
      <c r="B95" s="127"/>
      <c r="C95" s="128"/>
      <c r="D95" s="417"/>
      <c r="E95" s="418"/>
      <c r="F95" s="129">
        <v>0</v>
      </c>
      <c r="G95" s="337"/>
      <c r="H95" s="337"/>
      <c r="I95" s="337"/>
      <c r="J95" s="337"/>
      <c r="K95" s="336">
        <f t="shared" si="12"/>
        <v>0</v>
      </c>
      <c r="L95" s="130">
        <f t="shared" si="13"/>
        <v>0</v>
      </c>
      <c r="M95" s="131" t="str">
        <f t="shared" si="14"/>
        <v/>
      </c>
      <c r="N95" s="132">
        <v>0</v>
      </c>
      <c r="O95" s="133">
        <f t="shared" si="15"/>
        <v>0</v>
      </c>
      <c r="P95" s="133">
        <f t="shared" si="16"/>
        <v>0</v>
      </c>
      <c r="Q95" s="131" t="str">
        <f t="shared" si="17"/>
        <v/>
      </c>
    </row>
    <row r="96" spans="1:17" ht="13">
      <c r="A96" s="126">
        <v>89</v>
      </c>
      <c r="B96" s="127"/>
      <c r="C96" s="128"/>
      <c r="D96" s="417"/>
      <c r="E96" s="418"/>
      <c r="F96" s="129">
        <v>0</v>
      </c>
      <c r="G96" s="337"/>
      <c r="H96" s="337"/>
      <c r="I96" s="337"/>
      <c r="J96" s="337"/>
      <c r="K96" s="336">
        <f t="shared" si="12"/>
        <v>0</v>
      </c>
      <c r="L96" s="130">
        <f t="shared" si="13"/>
        <v>0</v>
      </c>
      <c r="M96" s="131" t="str">
        <f t="shared" si="14"/>
        <v/>
      </c>
      <c r="N96" s="132">
        <v>0</v>
      </c>
      <c r="O96" s="133">
        <f t="shared" si="15"/>
        <v>0</v>
      </c>
      <c r="P96" s="133">
        <f t="shared" si="16"/>
        <v>0</v>
      </c>
      <c r="Q96" s="131" t="str">
        <f t="shared" si="17"/>
        <v/>
      </c>
    </row>
    <row r="97" spans="1:17" ht="13">
      <c r="A97" s="126">
        <v>90</v>
      </c>
      <c r="B97" s="127"/>
      <c r="C97" s="128"/>
      <c r="D97" s="417"/>
      <c r="E97" s="418"/>
      <c r="F97" s="129">
        <v>0</v>
      </c>
      <c r="G97" s="337"/>
      <c r="H97" s="337"/>
      <c r="I97" s="337"/>
      <c r="J97" s="337"/>
      <c r="K97" s="336">
        <f t="shared" si="12"/>
        <v>0</v>
      </c>
      <c r="L97" s="130">
        <f t="shared" si="13"/>
        <v>0</v>
      </c>
      <c r="M97" s="131" t="str">
        <f t="shared" si="14"/>
        <v/>
      </c>
      <c r="N97" s="132">
        <v>0</v>
      </c>
      <c r="O97" s="133">
        <f t="shared" si="15"/>
        <v>0</v>
      </c>
      <c r="P97" s="133">
        <f t="shared" si="16"/>
        <v>0</v>
      </c>
      <c r="Q97" s="131" t="str">
        <f t="shared" si="17"/>
        <v/>
      </c>
    </row>
    <row r="98" spans="1:17" ht="13">
      <c r="A98" s="126">
        <v>91</v>
      </c>
      <c r="B98" s="127"/>
      <c r="C98" s="128"/>
      <c r="D98" s="417"/>
      <c r="E98" s="418"/>
      <c r="F98" s="129">
        <v>0</v>
      </c>
      <c r="G98" s="337"/>
      <c r="H98" s="337"/>
      <c r="I98" s="337"/>
      <c r="J98" s="337"/>
      <c r="K98" s="336">
        <f t="shared" si="12"/>
        <v>0</v>
      </c>
      <c r="L98" s="130">
        <f t="shared" si="13"/>
        <v>0</v>
      </c>
      <c r="M98" s="131" t="str">
        <f t="shared" si="14"/>
        <v/>
      </c>
      <c r="N98" s="132">
        <v>0</v>
      </c>
      <c r="O98" s="133">
        <f t="shared" si="15"/>
        <v>0</v>
      </c>
      <c r="P98" s="133">
        <f t="shared" si="16"/>
        <v>0</v>
      </c>
      <c r="Q98" s="131" t="str">
        <f t="shared" si="17"/>
        <v/>
      </c>
    </row>
    <row r="99" spans="1:17" ht="13">
      <c r="A99" s="126">
        <v>92</v>
      </c>
      <c r="B99" s="127"/>
      <c r="C99" s="128"/>
      <c r="D99" s="417"/>
      <c r="E99" s="418"/>
      <c r="F99" s="129">
        <v>0</v>
      </c>
      <c r="G99" s="337"/>
      <c r="H99" s="337"/>
      <c r="I99" s="337"/>
      <c r="J99" s="337"/>
      <c r="K99" s="336">
        <f t="shared" si="12"/>
        <v>0</v>
      </c>
      <c r="L99" s="130">
        <f t="shared" si="13"/>
        <v>0</v>
      </c>
      <c r="M99" s="131" t="str">
        <f t="shared" si="14"/>
        <v/>
      </c>
      <c r="N99" s="132">
        <v>0</v>
      </c>
      <c r="O99" s="133">
        <f t="shared" si="15"/>
        <v>0</v>
      </c>
      <c r="P99" s="133">
        <f t="shared" si="16"/>
        <v>0</v>
      </c>
      <c r="Q99" s="131" t="str">
        <f t="shared" si="17"/>
        <v/>
      </c>
    </row>
    <row r="100" spans="1:17" ht="13">
      <c r="A100" s="126">
        <v>93</v>
      </c>
      <c r="B100" s="127"/>
      <c r="C100" s="128"/>
      <c r="D100" s="417"/>
      <c r="E100" s="418"/>
      <c r="F100" s="129">
        <v>0</v>
      </c>
      <c r="G100" s="337"/>
      <c r="H100" s="337"/>
      <c r="I100" s="337"/>
      <c r="J100" s="337"/>
      <c r="K100" s="336">
        <f t="shared" si="12"/>
        <v>0</v>
      </c>
      <c r="L100" s="130">
        <f t="shared" si="13"/>
        <v>0</v>
      </c>
      <c r="M100" s="131" t="str">
        <f t="shared" si="14"/>
        <v/>
      </c>
      <c r="N100" s="132">
        <v>0</v>
      </c>
      <c r="O100" s="133">
        <f t="shared" si="15"/>
        <v>0</v>
      </c>
      <c r="P100" s="133">
        <f t="shared" si="16"/>
        <v>0</v>
      </c>
      <c r="Q100" s="131" t="str">
        <f t="shared" si="17"/>
        <v/>
      </c>
    </row>
    <row r="101" spans="1:17" ht="13">
      <c r="A101" s="126">
        <v>94</v>
      </c>
      <c r="B101" s="127"/>
      <c r="C101" s="128"/>
      <c r="D101" s="417"/>
      <c r="E101" s="418"/>
      <c r="F101" s="129">
        <v>0</v>
      </c>
      <c r="G101" s="337"/>
      <c r="H101" s="337"/>
      <c r="I101" s="337"/>
      <c r="J101" s="337"/>
      <c r="K101" s="336">
        <f t="shared" si="12"/>
        <v>0</v>
      </c>
      <c r="L101" s="130">
        <f t="shared" si="13"/>
        <v>0</v>
      </c>
      <c r="M101" s="131" t="str">
        <f t="shared" si="14"/>
        <v/>
      </c>
      <c r="N101" s="132">
        <v>0</v>
      </c>
      <c r="O101" s="133">
        <f t="shared" si="15"/>
        <v>0</v>
      </c>
      <c r="P101" s="133">
        <f t="shared" si="16"/>
        <v>0</v>
      </c>
      <c r="Q101" s="131" t="str">
        <f t="shared" si="17"/>
        <v/>
      </c>
    </row>
    <row r="102" spans="1:17" ht="13">
      <c r="A102" s="126">
        <v>95</v>
      </c>
      <c r="B102" s="127"/>
      <c r="C102" s="128"/>
      <c r="D102" s="417"/>
      <c r="E102" s="418"/>
      <c r="F102" s="129">
        <v>0</v>
      </c>
      <c r="G102" s="337"/>
      <c r="H102" s="337"/>
      <c r="I102" s="337"/>
      <c r="J102" s="337"/>
      <c r="K102" s="336">
        <f t="shared" si="12"/>
        <v>0</v>
      </c>
      <c r="L102" s="130">
        <f t="shared" si="13"/>
        <v>0</v>
      </c>
      <c r="M102" s="131" t="str">
        <f t="shared" si="14"/>
        <v/>
      </c>
      <c r="N102" s="132">
        <v>0</v>
      </c>
      <c r="O102" s="133">
        <f t="shared" si="15"/>
        <v>0</v>
      </c>
      <c r="P102" s="133">
        <f t="shared" si="16"/>
        <v>0</v>
      </c>
      <c r="Q102" s="131" t="str">
        <f t="shared" si="17"/>
        <v/>
      </c>
    </row>
    <row r="103" spans="1:17" ht="13">
      <c r="A103" s="126">
        <v>96</v>
      </c>
      <c r="B103" s="127"/>
      <c r="C103" s="128"/>
      <c r="D103" s="417"/>
      <c r="E103" s="418"/>
      <c r="F103" s="129">
        <v>0</v>
      </c>
      <c r="G103" s="337"/>
      <c r="H103" s="337"/>
      <c r="I103" s="337"/>
      <c r="J103" s="337"/>
      <c r="K103" s="336">
        <f t="shared" si="12"/>
        <v>0</v>
      </c>
      <c r="L103" s="130">
        <f t="shared" si="13"/>
        <v>0</v>
      </c>
      <c r="M103" s="131" t="str">
        <f t="shared" si="14"/>
        <v/>
      </c>
      <c r="N103" s="132">
        <v>0</v>
      </c>
      <c r="O103" s="133">
        <f t="shared" si="15"/>
        <v>0</v>
      </c>
      <c r="P103" s="133">
        <f t="shared" si="16"/>
        <v>0</v>
      </c>
      <c r="Q103" s="131" t="str">
        <f t="shared" si="17"/>
        <v/>
      </c>
    </row>
    <row r="104" spans="1:17" ht="13">
      <c r="A104" s="126">
        <v>97</v>
      </c>
      <c r="B104" s="127"/>
      <c r="C104" s="128"/>
      <c r="D104" s="417"/>
      <c r="E104" s="418"/>
      <c r="F104" s="129">
        <v>0</v>
      </c>
      <c r="G104" s="337"/>
      <c r="H104" s="337"/>
      <c r="I104" s="337"/>
      <c r="J104" s="337"/>
      <c r="K104" s="336">
        <f t="shared" ref="K104:K135" si="18">MAXA(G104:J104)</f>
        <v>0</v>
      </c>
      <c r="L104" s="130">
        <f t="shared" ref="L104:L135" si="19">F104*K104</f>
        <v>0</v>
      </c>
      <c r="M104" s="131" t="str">
        <f t="shared" ref="M104:M135" si="20">IF(L104&gt;0,RANK(L104,L$8:L$207),"")</f>
        <v/>
      </c>
      <c r="N104" s="132">
        <v>0</v>
      </c>
      <c r="O104" s="133">
        <f t="shared" ref="O104:O135" si="21">N104*SensibO</f>
        <v>0</v>
      </c>
      <c r="P104" s="133">
        <f t="shared" ref="P104:P135" si="22">F104*O104</f>
        <v>0</v>
      </c>
      <c r="Q104" s="131" t="str">
        <f t="shared" ref="Q104:Q135" si="23">IF(P104&gt;0,RANK(P104,OportPreVE,0),"")</f>
        <v/>
      </c>
    </row>
    <row r="105" spans="1:17" ht="13">
      <c r="A105" s="126">
        <v>98</v>
      </c>
      <c r="B105" s="127"/>
      <c r="C105" s="128"/>
      <c r="D105" s="417"/>
      <c r="E105" s="418"/>
      <c r="F105" s="129">
        <v>0</v>
      </c>
      <c r="G105" s="337"/>
      <c r="H105" s="337"/>
      <c r="I105" s="337"/>
      <c r="J105" s="337"/>
      <c r="K105" s="336">
        <f t="shared" si="18"/>
        <v>0</v>
      </c>
      <c r="L105" s="130">
        <f t="shared" si="19"/>
        <v>0</v>
      </c>
      <c r="M105" s="131" t="str">
        <f t="shared" si="20"/>
        <v/>
      </c>
      <c r="N105" s="132">
        <v>0</v>
      </c>
      <c r="O105" s="133">
        <f t="shared" si="21"/>
        <v>0</v>
      </c>
      <c r="P105" s="133">
        <f t="shared" si="22"/>
        <v>0</v>
      </c>
      <c r="Q105" s="131" t="str">
        <f t="shared" si="23"/>
        <v/>
      </c>
    </row>
    <row r="106" spans="1:17" ht="13">
      <c r="A106" s="126">
        <v>99</v>
      </c>
      <c r="B106" s="127"/>
      <c r="C106" s="128"/>
      <c r="D106" s="417"/>
      <c r="E106" s="418"/>
      <c r="F106" s="129">
        <v>0</v>
      </c>
      <c r="G106" s="337"/>
      <c r="H106" s="337"/>
      <c r="I106" s="337"/>
      <c r="J106" s="337"/>
      <c r="K106" s="336">
        <f t="shared" si="18"/>
        <v>0</v>
      </c>
      <c r="L106" s="130">
        <f t="shared" si="19"/>
        <v>0</v>
      </c>
      <c r="M106" s="131" t="str">
        <f t="shared" si="20"/>
        <v/>
      </c>
      <c r="N106" s="132">
        <v>0</v>
      </c>
      <c r="O106" s="133">
        <f t="shared" si="21"/>
        <v>0</v>
      </c>
      <c r="P106" s="133">
        <f t="shared" si="22"/>
        <v>0</v>
      </c>
      <c r="Q106" s="131" t="str">
        <f t="shared" si="23"/>
        <v/>
      </c>
    </row>
    <row r="107" spans="1:17" ht="13">
      <c r="A107" s="126">
        <v>100</v>
      </c>
      <c r="B107" s="127"/>
      <c r="C107" s="128"/>
      <c r="D107" s="417"/>
      <c r="E107" s="418"/>
      <c r="F107" s="129">
        <v>0</v>
      </c>
      <c r="G107" s="337"/>
      <c r="H107" s="337"/>
      <c r="I107" s="337"/>
      <c r="J107" s="337"/>
      <c r="K107" s="336">
        <f t="shared" si="18"/>
        <v>0</v>
      </c>
      <c r="L107" s="130">
        <f t="shared" si="19"/>
        <v>0</v>
      </c>
      <c r="M107" s="131" t="str">
        <f t="shared" si="20"/>
        <v/>
      </c>
      <c r="N107" s="132">
        <v>0</v>
      </c>
      <c r="O107" s="133">
        <f t="shared" si="21"/>
        <v>0</v>
      </c>
      <c r="P107" s="133">
        <f t="shared" si="22"/>
        <v>0</v>
      </c>
      <c r="Q107" s="131" t="str">
        <f t="shared" si="23"/>
        <v/>
      </c>
    </row>
    <row r="108" spans="1:17" ht="13">
      <c r="A108" s="126">
        <v>101</v>
      </c>
      <c r="B108" s="127"/>
      <c r="C108" s="128"/>
      <c r="D108" s="417"/>
      <c r="E108" s="418"/>
      <c r="F108" s="129">
        <v>0</v>
      </c>
      <c r="G108" s="337"/>
      <c r="H108" s="337"/>
      <c r="I108" s="337"/>
      <c r="J108" s="337"/>
      <c r="K108" s="336">
        <f t="shared" si="18"/>
        <v>0</v>
      </c>
      <c r="L108" s="130">
        <f t="shared" si="19"/>
        <v>0</v>
      </c>
      <c r="M108" s="131" t="str">
        <f t="shared" si="20"/>
        <v/>
      </c>
      <c r="N108" s="132">
        <v>0</v>
      </c>
      <c r="O108" s="133">
        <f t="shared" si="21"/>
        <v>0</v>
      </c>
      <c r="P108" s="133">
        <f t="shared" si="22"/>
        <v>0</v>
      </c>
      <c r="Q108" s="131" t="str">
        <f t="shared" si="23"/>
        <v/>
      </c>
    </row>
    <row r="109" spans="1:17" ht="13">
      <c r="A109" s="126">
        <v>102</v>
      </c>
      <c r="B109" s="127"/>
      <c r="C109" s="128"/>
      <c r="D109" s="417"/>
      <c r="E109" s="418"/>
      <c r="F109" s="129">
        <v>0</v>
      </c>
      <c r="G109" s="337"/>
      <c r="H109" s="337"/>
      <c r="I109" s="337"/>
      <c r="J109" s="337"/>
      <c r="K109" s="336">
        <f t="shared" si="18"/>
        <v>0</v>
      </c>
      <c r="L109" s="130">
        <f t="shared" si="19"/>
        <v>0</v>
      </c>
      <c r="M109" s="131" t="str">
        <f t="shared" si="20"/>
        <v/>
      </c>
      <c r="N109" s="132">
        <v>0</v>
      </c>
      <c r="O109" s="133">
        <f t="shared" si="21"/>
        <v>0</v>
      </c>
      <c r="P109" s="133">
        <f t="shared" si="22"/>
        <v>0</v>
      </c>
      <c r="Q109" s="131" t="str">
        <f t="shared" si="23"/>
        <v/>
      </c>
    </row>
    <row r="110" spans="1:17" ht="13">
      <c r="A110" s="126">
        <v>103</v>
      </c>
      <c r="B110" s="127"/>
      <c r="C110" s="128"/>
      <c r="D110" s="417"/>
      <c r="E110" s="418"/>
      <c r="F110" s="129">
        <v>0</v>
      </c>
      <c r="G110" s="337"/>
      <c r="H110" s="337"/>
      <c r="I110" s="337"/>
      <c r="J110" s="337"/>
      <c r="K110" s="336">
        <f t="shared" si="18"/>
        <v>0</v>
      </c>
      <c r="L110" s="130">
        <f t="shared" si="19"/>
        <v>0</v>
      </c>
      <c r="M110" s="131" t="str">
        <f t="shared" si="20"/>
        <v/>
      </c>
      <c r="N110" s="132">
        <v>0</v>
      </c>
      <c r="O110" s="133">
        <f t="shared" si="21"/>
        <v>0</v>
      </c>
      <c r="P110" s="133">
        <f t="shared" si="22"/>
        <v>0</v>
      </c>
      <c r="Q110" s="131" t="str">
        <f t="shared" si="23"/>
        <v/>
      </c>
    </row>
    <row r="111" spans="1:17" ht="13">
      <c r="A111" s="126">
        <v>104</v>
      </c>
      <c r="B111" s="127"/>
      <c r="C111" s="128"/>
      <c r="D111" s="417"/>
      <c r="E111" s="418"/>
      <c r="F111" s="129">
        <v>0</v>
      </c>
      <c r="G111" s="337"/>
      <c r="H111" s="337"/>
      <c r="I111" s="337"/>
      <c r="J111" s="337"/>
      <c r="K111" s="336">
        <f t="shared" si="18"/>
        <v>0</v>
      </c>
      <c r="L111" s="130">
        <f t="shared" si="19"/>
        <v>0</v>
      </c>
      <c r="M111" s="131" t="str">
        <f t="shared" si="20"/>
        <v/>
      </c>
      <c r="N111" s="132">
        <v>0</v>
      </c>
      <c r="O111" s="133">
        <f t="shared" si="21"/>
        <v>0</v>
      </c>
      <c r="P111" s="133">
        <f t="shared" si="22"/>
        <v>0</v>
      </c>
      <c r="Q111" s="131" t="str">
        <f t="shared" si="23"/>
        <v/>
      </c>
    </row>
    <row r="112" spans="1:17" ht="13">
      <c r="A112" s="126">
        <v>105</v>
      </c>
      <c r="B112" s="127"/>
      <c r="C112" s="128"/>
      <c r="D112" s="417"/>
      <c r="E112" s="418"/>
      <c r="F112" s="129">
        <v>0</v>
      </c>
      <c r="G112" s="337"/>
      <c r="H112" s="337"/>
      <c r="I112" s="337"/>
      <c r="J112" s="337"/>
      <c r="K112" s="336">
        <f t="shared" si="18"/>
        <v>0</v>
      </c>
      <c r="L112" s="130">
        <f t="shared" si="19"/>
        <v>0</v>
      </c>
      <c r="M112" s="131" t="str">
        <f t="shared" si="20"/>
        <v/>
      </c>
      <c r="N112" s="132">
        <v>0</v>
      </c>
      <c r="O112" s="133">
        <f t="shared" si="21"/>
        <v>0</v>
      </c>
      <c r="P112" s="133">
        <f t="shared" si="22"/>
        <v>0</v>
      </c>
      <c r="Q112" s="131" t="str">
        <f t="shared" si="23"/>
        <v/>
      </c>
    </row>
    <row r="113" spans="1:17" ht="13">
      <c r="A113" s="126">
        <v>106</v>
      </c>
      <c r="B113" s="127"/>
      <c r="C113" s="128"/>
      <c r="D113" s="417"/>
      <c r="E113" s="418"/>
      <c r="F113" s="129">
        <v>0</v>
      </c>
      <c r="G113" s="337"/>
      <c r="H113" s="337"/>
      <c r="I113" s="337"/>
      <c r="J113" s="337"/>
      <c r="K113" s="336">
        <f t="shared" si="18"/>
        <v>0</v>
      </c>
      <c r="L113" s="130">
        <f t="shared" si="19"/>
        <v>0</v>
      </c>
      <c r="M113" s="131" t="str">
        <f t="shared" si="20"/>
        <v/>
      </c>
      <c r="N113" s="132">
        <v>0</v>
      </c>
      <c r="O113" s="133">
        <f t="shared" si="21"/>
        <v>0</v>
      </c>
      <c r="P113" s="133">
        <f t="shared" si="22"/>
        <v>0</v>
      </c>
      <c r="Q113" s="131" t="str">
        <f t="shared" si="23"/>
        <v/>
      </c>
    </row>
    <row r="114" spans="1:17" ht="13">
      <c r="A114" s="126">
        <v>107</v>
      </c>
      <c r="B114" s="127"/>
      <c r="C114" s="128"/>
      <c r="D114" s="417"/>
      <c r="E114" s="418"/>
      <c r="F114" s="129">
        <v>0</v>
      </c>
      <c r="G114" s="337"/>
      <c r="H114" s="337"/>
      <c r="I114" s="337"/>
      <c r="J114" s="337"/>
      <c r="K114" s="336">
        <f t="shared" si="18"/>
        <v>0</v>
      </c>
      <c r="L114" s="130">
        <f t="shared" si="19"/>
        <v>0</v>
      </c>
      <c r="M114" s="131" t="str">
        <f t="shared" si="20"/>
        <v/>
      </c>
      <c r="N114" s="132">
        <v>0</v>
      </c>
      <c r="O114" s="133">
        <f t="shared" si="21"/>
        <v>0</v>
      </c>
      <c r="P114" s="133">
        <f t="shared" si="22"/>
        <v>0</v>
      </c>
      <c r="Q114" s="131" t="str">
        <f t="shared" si="23"/>
        <v/>
      </c>
    </row>
    <row r="115" spans="1:17" ht="13">
      <c r="A115" s="126">
        <v>108</v>
      </c>
      <c r="B115" s="127"/>
      <c r="C115" s="128"/>
      <c r="D115" s="417"/>
      <c r="E115" s="418"/>
      <c r="F115" s="129">
        <v>0</v>
      </c>
      <c r="G115" s="337"/>
      <c r="H115" s="337"/>
      <c r="I115" s="337"/>
      <c r="J115" s="337"/>
      <c r="K115" s="336">
        <f t="shared" si="18"/>
        <v>0</v>
      </c>
      <c r="L115" s="130">
        <f t="shared" si="19"/>
        <v>0</v>
      </c>
      <c r="M115" s="131" t="str">
        <f t="shared" si="20"/>
        <v/>
      </c>
      <c r="N115" s="132">
        <v>0</v>
      </c>
      <c r="O115" s="133">
        <f t="shared" si="21"/>
        <v>0</v>
      </c>
      <c r="P115" s="133">
        <f t="shared" si="22"/>
        <v>0</v>
      </c>
      <c r="Q115" s="131" t="str">
        <f t="shared" si="23"/>
        <v/>
      </c>
    </row>
    <row r="116" spans="1:17" ht="13">
      <c r="A116" s="126">
        <v>109</v>
      </c>
      <c r="B116" s="127"/>
      <c r="C116" s="128"/>
      <c r="D116" s="417"/>
      <c r="E116" s="418"/>
      <c r="F116" s="129">
        <v>0</v>
      </c>
      <c r="G116" s="337"/>
      <c r="H116" s="337"/>
      <c r="I116" s="337"/>
      <c r="J116" s="337"/>
      <c r="K116" s="336">
        <f t="shared" si="18"/>
        <v>0</v>
      </c>
      <c r="L116" s="130">
        <f t="shared" si="19"/>
        <v>0</v>
      </c>
      <c r="M116" s="131" t="str">
        <f t="shared" si="20"/>
        <v/>
      </c>
      <c r="N116" s="132">
        <v>0</v>
      </c>
      <c r="O116" s="133">
        <f t="shared" si="21"/>
        <v>0</v>
      </c>
      <c r="P116" s="133">
        <f t="shared" si="22"/>
        <v>0</v>
      </c>
      <c r="Q116" s="131" t="str">
        <f t="shared" si="23"/>
        <v/>
      </c>
    </row>
    <row r="117" spans="1:17" ht="13">
      <c r="A117" s="126">
        <v>110</v>
      </c>
      <c r="B117" s="127"/>
      <c r="C117" s="128"/>
      <c r="D117" s="417"/>
      <c r="E117" s="418"/>
      <c r="F117" s="129">
        <v>0</v>
      </c>
      <c r="G117" s="337"/>
      <c r="H117" s="337"/>
      <c r="I117" s="337"/>
      <c r="J117" s="337"/>
      <c r="K117" s="336">
        <f t="shared" si="18"/>
        <v>0</v>
      </c>
      <c r="L117" s="130">
        <f t="shared" si="19"/>
        <v>0</v>
      </c>
      <c r="M117" s="131" t="str">
        <f t="shared" si="20"/>
        <v/>
      </c>
      <c r="N117" s="132">
        <v>0</v>
      </c>
      <c r="O117" s="133">
        <f t="shared" si="21"/>
        <v>0</v>
      </c>
      <c r="P117" s="133">
        <f t="shared" si="22"/>
        <v>0</v>
      </c>
      <c r="Q117" s="131" t="str">
        <f t="shared" si="23"/>
        <v/>
      </c>
    </row>
    <row r="118" spans="1:17" ht="13">
      <c r="A118" s="126">
        <v>111</v>
      </c>
      <c r="B118" s="127"/>
      <c r="C118" s="128"/>
      <c r="D118" s="417"/>
      <c r="E118" s="418"/>
      <c r="F118" s="129">
        <v>0</v>
      </c>
      <c r="G118" s="337"/>
      <c r="H118" s="337"/>
      <c r="I118" s="337"/>
      <c r="J118" s="337"/>
      <c r="K118" s="336">
        <f t="shared" si="18"/>
        <v>0</v>
      </c>
      <c r="L118" s="130">
        <f t="shared" si="19"/>
        <v>0</v>
      </c>
      <c r="M118" s="131" t="str">
        <f t="shared" si="20"/>
        <v/>
      </c>
      <c r="N118" s="132">
        <v>0</v>
      </c>
      <c r="O118" s="133">
        <f t="shared" si="21"/>
        <v>0</v>
      </c>
      <c r="P118" s="133">
        <f t="shared" si="22"/>
        <v>0</v>
      </c>
      <c r="Q118" s="131" t="str">
        <f t="shared" si="23"/>
        <v/>
      </c>
    </row>
    <row r="119" spans="1:17" ht="13">
      <c r="A119" s="126">
        <v>112</v>
      </c>
      <c r="B119" s="127"/>
      <c r="C119" s="128"/>
      <c r="D119" s="417"/>
      <c r="E119" s="418"/>
      <c r="F119" s="129">
        <v>0</v>
      </c>
      <c r="G119" s="337"/>
      <c r="H119" s="337"/>
      <c r="I119" s="337"/>
      <c r="J119" s="337"/>
      <c r="K119" s="336">
        <f t="shared" si="18"/>
        <v>0</v>
      </c>
      <c r="L119" s="130">
        <f t="shared" si="19"/>
        <v>0</v>
      </c>
      <c r="M119" s="131" t="str">
        <f t="shared" si="20"/>
        <v/>
      </c>
      <c r="N119" s="132">
        <v>0</v>
      </c>
      <c r="O119" s="133">
        <f t="shared" si="21"/>
        <v>0</v>
      </c>
      <c r="P119" s="133">
        <f t="shared" si="22"/>
        <v>0</v>
      </c>
      <c r="Q119" s="131" t="str">
        <f t="shared" si="23"/>
        <v/>
      </c>
    </row>
    <row r="120" spans="1:17" ht="13">
      <c r="A120" s="126">
        <v>113</v>
      </c>
      <c r="B120" s="127"/>
      <c r="C120" s="128"/>
      <c r="D120" s="417"/>
      <c r="E120" s="418"/>
      <c r="F120" s="129">
        <v>0</v>
      </c>
      <c r="G120" s="337"/>
      <c r="H120" s="337"/>
      <c r="I120" s="337"/>
      <c r="J120" s="337"/>
      <c r="K120" s="336">
        <f t="shared" si="18"/>
        <v>0</v>
      </c>
      <c r="L120" s="130">
        <f t="shared" si="19"/>
        <v>0</v>
      </c>
      <c r="M120" s="131" t="str">
        <f t="shared" si="20"/>
        <v/>
      </c>
      <c r="N120" s="132">
        <v>0</v>
      </c>
      <c r="O120" s="133">
        <f t="shared" si="21"/>
        <v>0</v>
      </c>
      <c r="P120" s="133">
        <f t="shared" si="22"/>
        <v>0</v>
      </c>
      <c r="Q120" s="131" t="str">
        <f t="shared" si="23"/>
        <v/>
      </c>
    </row>
    <row r="121" spans="1:17" ht="13">
      <c r="A121" s="126">
        <v>114</v>
      </c>
      <c r="B121" s="127"/>
      <c r="C121" s="128"/>
      <c r="D121" s="417"/>
      <c r="E121" s="418"/>
      <c r="F121" s="129">
        <v>0</v>
      </c>
      <c r="G121" s="337"/>
      <c r="H121" s="337"/>
      <c r="I121" s="337"/>
      <c r="J121" s="337"/>
      <c r="K121" s="336">
        <f t="shared" si="18"/>
        <v>0</v>
      </c>
      <c r="L121" s="130">
        <f t="shared" si="19"/>
        <v>0</v>
      </c>
      <c r="M121" s="131" t="str">
        <f t="shared" si="20"/>
        <v/>
      </c>
      <c r="N121" s="132">
        <v>0</v>
      </c>
      <c r="O121" s="133">
        <f t="shared" si="21"/>
        <v>0</v>
      </c>
      <c r="P121" s="133">
        <f t="shared" si="22"/>
        <v>0</v>
      </c>
      <c r="Q121" s="131" t="str">
        <f t="shared" si="23"/>
        <v/>
      </c>
    </row>
    <row r="122" spans="1:17" ht="13">
      <c r="A122" s="126">
        <v>115</v>
      </c>
      <c r="B122" s="127"/>
      <c r="C122" s="128"/>
      <c r="D122" s="417"/>
      <c r="E122" s="418"/>
      <c r="F122" s="129">
        <v>0</v>
      </c>
      <c r="G122" s="337"/>
      <c r="H122" s="337"/>
      <c r="I122" s="337"/>
      <c r="J122" s="337"/>
      <c r="K122" s="336">
        <f t="shared" si="18"/>
        <v>0</v>
      </c>
      <c r="L122" s="130">
        <f t="shared" si="19"/>
        <v>0</v>
      </c>
      <c r="M122" s="131" t="str">
        <f t="shared" si="20"/>
        <v/>
      </c>
      <c r="N122" s="132">
        <v>0</v>
      </c>
      <c r="O122" s="133">
        <f t="shared" si="21"/>
        <v>0</v>
      </c>
      <c r="P122" s="133">
        <f t="shared" si="22"/>
        <v>0</v>
      </c>
      <c r="Q122" s="131" t="str">
        <f t="shared" si="23"/>
        <v/>
      </c>
    </row>
    <row r="123" spans="1:17" ht="13">
      <c r="A123" s="126">
        <v>116</v>
      </c>
      <c r="B123" s="127"/>
      <c r="C123" s="128"/>
      <c r="D123" s="417"/>
      <c r="E123" s="418"/>
      <c r="F123" s="129">
        <v>0</v>
      </c>
      <c r="G123" s="337"/>
      <c r="H123" s="337"/>
      <c r="I123" s="337"/>
      <c r="J123" s="337"/>
      <c r="K123" s="336">
        <f t="shared" si="18"/>
        <v>0</v>
      </c>
      <c r="L123" s="130">
        <f t="shared" si="19"/>
        <v>0</v>
      </c>
      <c r="M123" s="131" t="str">
        <f t="shared" si="20"/>
        <v/>
      </c>
      <c r="N123" s="132">
        <v>0</v>
      </c>
      <c r="O123" s="133">
        <f t="shared" si="21"/>
        <v>0</v>
      </c>
      <c r="P123" s="133">
        <f t="shared" si="22"/>
        <v>0</v>
      </c>
      <c r="Q123" s="131" t="str">
        <f t="shared" si="23"/>
        <v/>
      </c>
    </row>
    <row r="124" spans="1:17" ht="13">
      <c r="A124" s="126">
        <v>117</v>
      </c>
      <c r="B124" s="127"/>
      <c r="C124" s="128"/>
      <c r="D124" s="417"/>
      <c r="E124" s="418"/>
      <c r="F124" s="129">
        <v>0</v>
      </c>
      <c r="G124" s="337"/>
      <c r="H124" s="337"/>
      <c r="I124" s="337"/>
      <c r="J124" s="337"/>
      <c r="K124" s="336">
        <f t="shared" si="18"/>
        <v>0</v>
      </c>
      <c r="L124" s="130">
        <f t="shared" si="19"/>
        <v>0</v>
      </c>
      <c r="M124" s="131" t="str">
        <f t="shared" si="20"/>
        <v/>
      </c>
      <c r="N124" s="132">
        <v>0</v>
      </c>
      <c r="O124" s="133">
        <f t="shared" si="21"/>
        <v>0</v>
      </c>
      <c r="P124" s="133">
        <f t="shared" si="22"/>
        <v>0</v>
      </c>
      <c r="Q124" s="131" t="str">
        <f t="shared" si="23"/>
        <v/>
      </c>
    </row>
    <row r="125" spans="1:17" ht="13">
      <c r="A125" s="126">
        <v>118</v>
      </c>
      <c r="B125" s="127"/>
      <c r="C125" s="128"/>
      <c r="D125" s="417"/>
      <c r="E125" s="418"/>
      <c r="F125" s="129">
        <v>0</v>
      </c>
      <c r="G125" s="337"/>
      <c r="H125" s="337"/>
      <c r="I125" s="337"/>
      <c r="J125" s="337"/>
      <c r="K125" s="336">
        <f t="shared" si="18"/>
        <v>0</v>
      </c>
      <c r="L125" s="130">
        <f t="shared" si="19"/>
        <v>0</v>
      </c>
      <c r="M125" s="131" t="str">
        <f t="shared" si="20"/>
        <v/>
      </c>
      <c r="N125" s="132">
        <v>0</v>
      </c>
      <c r="O125" s="133">
        <f t="shared" si="21"/>
        <v>0</v>
      </c>
      <c r="P125" s="133">
        <f t="shared" si="22"/>
        <v>0</v>
      </c>
      <c r="Q125" s="131" t="str">
        <f t="shared" si="23"/>
        <v/>
      </c>
    </row>
    <row r="126" spans="1:17" ht="13">
      <c r="A126" s="126">
        <v>119</v>
      </c>
      <c r="B126" s="127"/>
      <c r="C126" s="128"/>
      <c r="D126" s="417"/>
      <c r="E126" s="418"/>
      <c r="F126" s="129">
        <v>0</v>
      </c>
      <c r="G126" s="337"/>
      <c r="H126" s="337"/>
      <c r="I126" s="337"/>
      <c r="J126" s="337"/>
      <c r="K126" s="336">
        <f t="shared" si="18"/>
        <v>0</v>
      </c>
      <c r="L126" s="130">
        <f t="shared" si="19"/>
        <v>0</v>
      </c>
      <c r="M126" s="131" t="str">
        <f t="shared" si="20"/>
        <v/>
      </c>
      <c r="N126" s="132">
        <v>0</v>
      </c>
      <c r="O126" s="133">
        <f t="shared" si="21"/>
        <v>0</v>
      </c>
      <c r="P126" s="133">
        <f t="shared" si="22"/>
        <v>0</v>
      </c>
      <c r="Q126" s="131" t="str">
        <f t="shared" si="23"/>
        <v/>
      </c>
    </row>
    <row r="127" spans="1:17" ht="13">
      <c r="A127" s="126">
        <v>120</v>
      </c>
      <c r="B127" s="127"/>
      <c r="C127" s="128"/>
      <c r="D127" s="417"/>
      <c r="E127" s="418"/>
      <c r="F127" s="129">
        <v>0</v>
      </c>
      <c r="G127" s="337"/>
      <c r="H127" s="337"/>
      <c r="I127" s="337"/>
      <c r="J127" s="337"/>
      <c r="K127" s="336">
        <f t="shared" si="18"/>
        <v>0</v>
      </c>
      <c r="L127" s="130">
        <f t="shared" si="19"/>
        <v>0</v>
      </c>
      <c r="M127" s="131" t="str">
        <f t="shared" si="20"/>
        <v/>
      </c>
      <c r="N127" s="132">
        <v>0</v>
      </c>
      <c r="O127" s="133">
        <f t="shared" si="21"/>
        <v>0</v>
      </c>
      <c r="P127" s="133">
        <f t="shared" si="22"/>
        <v>0</v>
      </c>
      <c r="Q127" s="131" t="str">
        <f t="shared" si="23"/>
        <v/>
      </c>
    </row>
    <row r="128" spans="1:17" ht="13">
      <c r="A128" s="126">
        <v>121</v>
      </c>
      <c r="B128" s="127"/>
      <c r="C128" s="128"/>
      <c r="D128" s="417"/>
      <c r="E128" s="418"/>
      <c r="F128" s="129">
        <v>0</v>
      </c>
      <c r="G128" s="337"/>
      <c r="H128" s="337"/>
      <c r="I128" s="337"/>
      <c r="J128" s="337"/>
      <c r="K128" s="336">
        <f t="shared" si="18"/>
        <v>0</v>
      </c>
      <c r="L128" s="130">
        <f t="shared" si="19"/>
        <v>0</v>
      </c>
      <c r="M128" s="131" t="str">
        <f t="shared" si="20"/>
        <v/>
      </c>
      <c r="N128" s="132">
        <v>0</v>
      </c>
      <c r="O128" s="133">
        <f t="shared" si="21"/>
        <v>0</v>
      </c>
      <c r="P128" s="133">
        <f t="shared" si="22"/>
        <v>0</v>
      </c>
      <c r="Q128" s="131" t="str">
        <f t="shared" si="23"/>
        <v/>
      </c>
    </row>
    <row r="129" spans="1:17" ht="13">
      <c r="A129" s="126">
        <v>122</v>
      </c>
      <c r="B129" s="127"/>
      <c r="C129" s="128"/>
      <c r="D129" s="417"/>
      <c r="E129" s="418"/>
      <c r="F129" s="129">
        <v>0</v>
      </c>
      <c r="G129" s="337"/>
      <c r="H129" s="337"/>
      <c r="I129" s="337"/>
      <c r="J129" s="337"/>
      <c r="K129" s="336">
        <f t="shared" si="18"/>
        <v>0</v>
      </c>
      <c r="L129" s="130">
        <f t="shared" si="19"/>
        <v>0</v>
      </c>
      <c r="M129" s="131" t="str">
        <f t="shared" si="20"/>
        <v/>
      </c>
      <c r="N129" s="132">
        <v>0</v>
      </c>
      <c r="O129" s="133">
        <f t="shared" si="21"/>
        <v>0</v>
      </c>
      <c r="P129" s="133">
        <f t="shared" si="22"/>
        <v>0</v>
      </c>
      <c r="Q129" s="131" t="str">
        <f t="shared" si="23"/>
        <v/>
      </c>
    </row>
    <row r="130" spans="1:17" ht="13">
      <c r="A130" s="126">
        <v>123</v>
      </c>
      <c r="B130" s="127"/>
      <c r="C130" s="128"/>
      <c r="D130" s="417"/>
      <c r="E130" s="418"/>
      <c r="F130" s="129">
        <v>0</v>
      </c>
      <c r="G130" s="337"/>
      <c r="H130" s="337"/>
      <c r="I130" s="337"/>
      <c r="J130" s="337"/>
      <c r="K130" s="336">
        <f t="shared" si="18"/>
        <v>0</v>
      </c>
      <c r="L130" s="130">
        <f t="shared" si="19"/>
        <v>0</v>
      </c>
      <c r="M130" s="131" t="str">
        <f t="shared" si="20"/>
        <v/>
      </c>
      <c r="N130" s="132">
        <v>0</v>
      </c>
      <c r="O130" s="133">
        <f t="shared" si="21"/>
        <v>0</v>
      </c>
      <c r="P130" s="133">
        <f t="shared" si="22"/>
        <v>0</v>
      </c>
      <c r="Q130" s="131" t="str">
        <f t="shared" si="23"/>
        <v/>
      </c>
    </row>
    <row r="131" spans="1:17" ht="13">
      <c r="A131" s="126">
        <v>124</v>
      </c>
      <c r="B131" s="127"/>
      <c r="C131" s="128"/>
      <c r="D131" s="417"/>
      <c r="E131" s="418"/>
      <c r="F131" s="129">
        <v>0</v>
      </c>
      <c r="G131" s="337"/>
      <c r="H131" s="337"/>
      <c r="I131" s="337"/>
      <c r="J131" s="337"/>
      <c r="K131" s="336">
        <f t="shared" si="18"/>
        <v>0</v>
      </c>
      <c r="L131" s="130">
        <f t="shared" si="19"/>
        <v>0</v>
      </c>
      <c r="M131" s="131" t="str">
        <f t="shared" si="20"/>
        <v/>
      </c>
      <c r="N131" s="132">
        <v>0</v>
      </c>
      <c r="O131" s="133">
        <f t="shared" si="21"/>
        <v>0</v>
      </c>
      <c r="P131" s="133">
        <f t="shared" si="22"/>
        <v>0</v>
      </c>
      <c r="Q131" s="131" t="str">
        <f t="shared" si="23"/>
        <v/>
      </c>
    </row>
    <row r="132" spans="1:17" ht="13">
      <c r="A132" s="126">
        <v>125</v>
      </c>
      <c r="B132" s="127"/>
      <c r="C132" s="128"/>
      <c r="D132" s="417"/>
      <c r="E132" s="418"/>
      <c r="F132" s="129">
        <v>0</v>
      </c>
      <c r="G132" s="337"/>
      <c r="H132" s="337"/>
      <c r="I132" s="337"/>
      <c r="J132" s="337"/>
      <c r="K132" s="336">
        <f t="shared" si="18"/>
        <v>0</v>
      </c>
      <c r="L132" s="130">
        <f t="shared" si="19"/>
        <v>0</v>
      </c>
      <c r="M132" s="131" t="str">
        <f t="shared" si="20"/>
        <v/>
      </c>
      <c r="N132" s="132">
        <v>0</v>
      </c>
      <c r="O132" s="133">
        <f t="shared" si="21"/>
        <v>0</v>
      </c>
      <c r="P132" s="133">
        <f t="shared" si="22"/>
        <v>0</v>
      </c>
      <c r="Q132" s="131" t="str">
        <f t="shared" si="23"/>
        <v/>
      </c>
    </row>
    <row r="133" spans="1:17" ht="13">
      <c r="A133" s="126">
        <v>126</v>
      </c>
      <c r="B133" s="127"/>
      <c r="C133" s="128"/>
      <c r="D133" s="417"/>
      <c r="E133" s="418"/>
      <c r="F133" s="129">
        <v>0</v>
      </c>
      <c r="G133" s="337"/>
      <c r="H133" s="337"/>
      <c r="I133" s="337"/>
      <c r="J133" s="337"/>
      <c r="K133" s="336">
        <f t="shared" si="18"/>
        <v>0</v>
      </c>
      <c r="L133" s="130">
        <f t="shared" si="19"/>
        <v>0</v>
      </c>
      <c r="M133" s="131" t="str">
        <f t="shared" si="20"/>
        <v/>
      </c>
      <c r="N133" s="132">
        <v>0</v>
      </c>
      <c r="O133" s="133">
        <f t="shared" si="21"/>
        <v>0</v>
      </c>
      <c r="P133" s="133">
        <f t="shared" si="22"/>
        <v>0</v>
      </c>
      <c r="Q133" s="131" t="str">
        <f t="shared" si="23"/>
        <v/>
      </c>
    </row>
    <row r="134" spans="1:17" ht="13">
      <c r="A134" s="126">
        <v>127</v>
      </c>
      <c r="B134" s="127"/>
      <c r="C134" s="128"/>
      <c r="D134" s="417"/>
      <c r="E134" s="418"/>
      <c r="F134" s="129">
        <v>0</v>
      </c>
      <c r="G134" s="337"/>
      <c r="H134" s="337"/>
      <c r="I134" s="337"/>
      <c r="J134" s="337"/>
      <c r="K134" s="336">
        <f t="shared" si="18"/>
        <v>0</v>
      </c>
      <c r="L134" s="130">
        <f t="shared" si="19"/>
        <v>0</v>
      </c>
      <c r="M134" s="131" t="str">
        <f t="shared" si="20"/>
        <v/>
      </c>
      <c r="N134" s="132">
        <v>0</v>
      </c>
      <c r="O134" s="133">
        <f t="shared" si="21"/>
        <v>0</v>
      </c>
      <c r="P134" s="133">
        <f t="shared" si="22"/>
        <v>0</v>
      </c>
      <c r="Q134" s="131" t="str">
        <f t="shared" si="23"/>
        <v/>
      </c>
    </row>
    <row r="135" spans="1:17" ht="13">
      <c r="A135" s="126">
        <v>128</v>
      </c>
      <c r="B135" s="127"/>
      <c r="C135" s="128"/>
      <c r="D135" s="417"/>
      <c r="E135" s="418"/>
      <c r="F135" s="129">
        <v>0</v>
      </c>
      <c r="G135" s="337"/>
      <c r="H135" s="337"/>
      <c r="I135" s="337"/>
      <c r="J135" s="337"/>
      <c r="K135" s="336">
        <f t="shared" si="18"/>
        <v>0</v>
      </c>
      <c r="L135" s="130">
        <f t="shared" si="19"/>
        <v>0</v>
      </c>
      <c r="M135" s="131" t="str">
        <f t="shared" si="20"/>
        <v/>
      </c>
      <c r="N135" s="132">
        <v>0</v>
      </c>
      <c r="O135" s="133">
        <f t="shared" si="21"/>
        <v>0</v>
      </c>
      <c r="P135" s="133">
        <f t="shared" si="22"/>
        <v>0</v>
      </c>
      <c r="Q135" s="131" t="str">
        <f t="shared" si="23"/>
        <v/>
      </c>
    </row>
    <row r="136" spans="1:17" ht="13">
      <c r="A136" s="126">
        <v>129</v>
      </c>
      <c r="B136" s="127"/>
      <c r="C136" s="128"/>
      <c r="D136" s="417"/>
      <c r="E136" s="418"/>
      <c r="F136" s="129">
        <v>0</v>
      </c>
      <c r="G136" s="337"/>
      <c r="H136" s="337"/>
      <c r="I136" s="337"/>
      <c r="J136" s="337"/>
      <c r="K136" s="336">
        <f t="shared" ref="K136:K167" si="24">MAXA(G136:J136)</f>
        <v>0</v>
      </c>
      <c r="L136" s="130">
        <f t="shared" ref="L136:L167" si="25">F136*K136</f>
        <v>0</v>
      </c>
      <c r="M136" s="131" t="str">
        <f t="shared" ref="M136:M167" si="26">IF(L136&gt;0,RANK(L136,L$8:L$207),"")</f>
        <v/>
      </c>
      <c r="N136" s="132">
        <v>0</v>
      </c>
      <c r="O136" s="133">
        <f t="shared" ref="O136:O167" si="27">N136*SensibO</f>
        <v>0</v>
      </c>
      <c r="P136" s="133">
        <f t="shared" ref="P136:P167" si="28">F136*O136</f>
        <v>0</v>
      </c>
      <c r="Q136" s="131" t="str">
        <f t="shared" ref="Q136:Q167" si="29">IF(P136&gt;0,RANK(P136,OportPreVE,0),"")</f>
        <v/>
      </c>
    </row>
    <row r="137" spans="1:17" ht="13">
      <c r="A137" s="126">
        <v>130</v>
      </c>
      <c r="B137" s="127"/>
      <c r="C137" s="128"/>
      <c r="D137" s="417"/>
      <c r="E137" s="418"/>
      <c r="F137" s="129">
        <v>0</v>
      </c>
      <c r="G137" s="337"/>
      <c r="H137" s="337"/>
      <c r="I137" s="337"/>
      <c r="J137" s="337"/>
      <c r="K137" s="336">
        <f t="shared" si="24"/>
        <v>0</v>
      </c>
      <c r="L137" s="130">
        <f t="shared" si="25"/>
        <v>0</v>
      </c>
      <c r="M137" s="131" t="str">
        <f t="shared" si="26"/>
        <v/>
      </c>
      <c r="N137" s="132">
        <v>0</v>
      </c>
      <c r="O137" s="133">
        <f t="shared" si="27"/>
        <v>0</v>
      </c>
      <c r="P137" s="133">
        <f t="shared" si="28"/>
        <v>0</v>
      </c>
      <c r="Q137" s="131" t="str">
        <f t="shared" si="29"/>
        <v/>
      </c>
    </row>
    <row r="138" spans="1:17" ht="13">
      <c r="A138" s="126">
        <v>131</v>
      </c>
      <c r="B138" s="127"/>
      <c r="C138" s="128"/>
      <c r="D138" s="417"/>
      <c r="E138" s="418"/>
      <c r="F138" s="129">
        <v>0</v>
      </c>
      <c r="G138" s="337"/>
      <c r="H138" s="337"/>
      <c r="I138" s="337"/>
      <c r="J138" s="337"/>
      <c r="K138" s="336">
        <f t="shared" si="24"/>
        <v>0</v>
      </c>
      <c r="L138" s="130">
        <f t="shared" si="25"/>
        <v>0</v>
      </c>
      <c r="M138" s="131" t="str">
        <f t="shared" si="26"/>
        <v/>
      </c>
      <c r="N138" s="132">
        <v>0</v>
      </c>
      <c r="O138" s="133">
        <f t="shared" si="27"/>
        <v>0</v>
      </c>
      <c r="P138" s="133">
        <f t="shared" si="28"/>
        <v>0</v>
      </c>
      <c r="Q138" s="131" t="str">
        <f t="shared" si="29"/>
        <v/>
      </c>
    </row>
    <row r="139" spans="1:17" ht="13">
      <c r="A139" s="126">
        <v>132</v>
      </c>
      <c r="B139" s="127"/>
      <c r="C139" s="128"/>
      <c r="D139" s="417"/>
      <c r="E139" s="418"/>
      <c r="F139" s="129">
        <v>0</v>
      </c>
      <c r="G139" s="337"/>
      <c r="H139" s="337"/>
      <c r="I139" s="337"/>
      <c r="J139" s="337"/>
      <c r="K139" s="336">
        <f t="shared" si="24"/>
        <v>0</v>
      </c>
      <c r="L139" s="130">
        <f t="shared" si="25"/>
        <v>0</v>
      </c>
      <c r="M139" s="131" t="str">
        <f t="shared" si="26"/>
        <v/>
      </c>
      <c r="N139" s="132">
        <v>0</v>
      </c>
      <c r="O139" s="133">
        <f t="shared" si="27"/>
        <v>0</v>
      </c>
      <c r="P139" s="133">
        <f t="shared" si="28"/>
        <v>0</v>
      </c>
      <c r="Q139" s="131" t="str">
        <f t="shared" si="29"/>
        <v/>
      </c>
    </row>
    <row r="140" spans="1:17" ht="13">
      <c r="A140" s="126">
        <v>133</v>
      </c>
      <c r="B140" s="127"/>
      <c r="C140" s="128"/>
      <c r="D140" s="417"/>
      <c r="E140" s="418"/>
      <c r="F140" s="129">
        <v>0</v>
      </c>
      <c r="G140" s="337"/>
      <c r="H140" s="337"/>
      <c r="I140" s="337"/>
      <c r="J140" s="337"/>
      <c r="K140" s="336">
        <f t="shared" si="24"/>
        <v>0</v>
      </c>
      <c r="L140" s="130">
        <f t="shared" si="25"/>
        <v>0</v>
      </c>
      <c r="M140" s="131" t="str">
        <f t="shared" si="26"/>
        <v/>
      </c>
      <c r="N140" s="132">
        <v>0</v>
      </c>
      <c r="O140" s="133">
        <f t="shared" si="27"/>
        <v>0</v>
      </c>
      <c r="P140" s="133">
        <f t="shared" si="28"/>
        <v>0</v>
      </c>
      <c r="Q140" s="131" t="str">
        <f t="shared" si="29"/>
        <v/>
      </c>
    </row>
    <row r="141" spans="1:17" ht="13">
      <c r="A141" s="126">
        <v>134</v>
      </c>
      <c r="B141" s="127"/>
      <c r="C141" s="128"/>
      <c r="D141" s="417"/>
      <c r="E141" s="418"/>
      <c r="F141" s="129">
        <v>0</v>
      </c>
      <c r="G141" s="337"/>
      <c r="H141" s="337"/>
      <c r="I141" s="337"/>
      <c r="J141" s="337"/>
      <c r="K141" s="336">
        <f t="shared" si="24"/>
        <v>0</v>
      </c>
      <c r="L141" s="130">
        <f t="shared" si="25"/>
        <v>0</v>
      </c>
      <c r="M141" s="131" t="str">
        <f t="shared" si="26"/>
        <v/>
      </c>
      <c r="N141" s="132">
        <v>0</v>
      </c>
      <c r="O141" s="133">
        <f t="shared" si="27"/>
        <v>0</v>
      </c>
      <c r="P141" s="133">
        <f t="shared" si="28"/>
        <v>0</v>
      </c>
      <c r="Q141" s="131" t="str">
        <f t="shared" si="29"/>
        <v/>
      </c>
    </row>
    <row r="142" spans="1:17" ht="13">
      <c r="A142" s="126">
        <v>135</v>
      </c>
      <c r="B142" s="127"/>
      <c r="C142" s="128"/>
      <c r="D142" s="417"/>
      <c r="E142" s="418"/>
      <c r="F142" s="129">
        <v>0</v>
      </c>
      <c r="G142" s="337"/>
      <c r="H142" s="337"/>
      <c r="I142" s="337"/>
      <c r="J142" s="337"/>
      <c r="K142" s="336">
        <f t="shared" si="24"/>
        <v>0</v>
      </c>
      <c r="L142" s="130">
        <f t="shared" si="25"/>
        <v>0</v>
      </c>
      <c r="M142" s="131" t="str">
        <f t="shared" si="26"/>
        <v/>
      </c>
      <c r="N142" s="132">
        <v>0</v>
      </c>
      <c r="O142" s="133">
        <f t="shared" si="27"/>
        <v>0</v>
      </c>
      <c r="P142" s="133">
        <f t="shared" si="28"/>
        <v>0</v>
      </c>
      <c r="Q142" s="131" t="str">
        <f t="shared" si="29"/>
        <v/>
      </c>
    </row>
    <row r="143" spans="1:17" ht="13">
      <c r="A143" s="126">
        <v>136</v>
      </c>
      <c r="B143" s="127"/>
      <c r="C143" s="128"/>
      <c r="D143" s="417"/>
      <c r="E143" s="418"/>
      <c r="F143" s="129">
        <v>0</v>
      </c>
      <c r="G143" s="337"/>
      <c r="H143" s="337"/>
      <c r="I143" s="337"/>
      <c r="J143" s="337"/>
      <c r="K143" s="336">
        <f t="shared" si="24"/>
        <v>0</v>
      </c>
      <c r="L143" s="130">
        <f t="shared" si="25"/>
        <v>0</v>
      </c>
      <c r="M143" s="131" t="str">
        <f t="shared" si="26"/>
        <v/>
      </c>
      <c r="N143" s="132">
        <v>0</v>
      </c>
      <c r="O143" s="133">
        <f t="shared" si="27"/>
        <v>0</v>
      </c>
      <c r="P143" s="133">
        <f t="shared" si="28"/>
        <v>0</v>
      </c>
      <c r="Q143" s="131" t="str">
        <f t="shared" si="29"/>
        <v/>
      </c>
    </row>
    <row r="144" spans="1:17" ht="13">
      <c r="A144" s="126">
        <v>137</v>
      </c>
      <c r="B144" s="127"/>
      <c r="C144" s="128"/>
      <c r="D144" s="417"/>
      <c r="E144" s="418"/>
      <c r="F144" s="129">
        <v>0</v>
      </c>
      <c r="G144" s="337"/>
      <c r="H144" s="337"/>
      <c r="I144" s="337"/>
      <c r="J144" s="337"/>
      <c r="K144" s="336">
        <f t="shared" si="24"/>
        <v>0</v>
      </c>
      <c r="L144" s="130">
        <f t="shared" si="25"/>
        <v>0</v>
      </c>
      <c r="M144" s="131" t="str">
        <f t="shared" si="26"/>
        <v/>
      </c>
      <c r="N144" s="132">
        <v>0</v>
      </c>
      <c r="O144" s="133">
        <f t="shared" si="27"/>
        <v>0</v>
      </c>
      <c r="P144" s="133">
        <f t="shared" si="28"/>
        <v>0</v>
      </c>
      <c r="Q144" s="131" t="str">
        <f t="shared" si="29"/>
        <v/>
      </c>
    </row>
    <row r="145" spans="1:17" ht="13">
      <c r="A145" s="126">
        <v>138</v>
      </c>
      <c r="B145" s="127"/>
      <c r="C145" s="128"/>
      <c r="D145" s="417"/>
      <c r="E145" s="418"/>
      <c r="F145" s="129">
        <v>0</v>
      </c>
      <c r="G145" s="337"/>
      <c r="H145" s="337"/>
      <c r="I145" s="337"/>
      <c r="J145" s="337"/>
      <c r="K145" s="336">
        <f t="shared" si="24"/>
        <v>0</v>
      </c>
      <c r="L145" s="130">
        <f t="shared" si="25"/>
        <v>0</v>
      </c>
      <c r="M145" s="131" t="str">
        <f t="shared" si="26"/>
        <v/>
      </c>
      <c r="N145" s="132">
        <v>0</v>
      </c>
      <c r="O145" s="133">
        <f t="shared" si="27"/>
        <v>0</v>
      </c>
      <c r="P145" s="133">
        <f t="shared" si="28"/>
        <v>0</v>
      </c>
      <c r="Q145" s="131" t="str">
        <f t="shared" si="29"/>
        <v/>
      </c>
    </row>
    <row r="146" spans="1:17" ht="13">
      <c r="A146" s="126">
        <v>139</v>
      </c>
      <c r="B146" s="127"/>
      <c r="C146" s="128"/>
      <c r="D146" s="417"/>
      <c r="E146" s="418"/>
      <c r="F146" s="129">
        <v>0</v>
      </c>
      <c r="G146" s="337"/>
      <c r="H146" s="337"/>
      <c r="I146" s="337"/>
      <c r="J146" s="337"/>
      <c r="K146" s="336">
        <f t="shared" si="24"/>
        <v>0</v>
      </c>
      <c r="L146" s="130">
        <f t="shared" si="25"/>
        <v>0</v>
      </c>
      <c r="M146" s="131" t="str">
        <f t="shared" si="26"/>
        <v/>
      </c>
      <c r="N146" s="132">
        <v>0</v>
      </c>
      <c r="O146" s="133">
        <f t="shared" si="27"/>
        <v>0</v>
      </c>
      <c r="P146" s="133">
        <f t="shared" si="28"/>
        <v>0</v>
      </c>
      <c r="Q146" s="131" t="str">
        <f t="shared" si="29"/>
        <v/>
      </c>
    </row>
    <row r="147" spans="1:17" ht="13">
      <c r="A147" s="126">
        <v>140</v>
      </c>
      <c r="B147" s="127"/>
      <c r="C147" s="128"/>
      <c r="D147" s="417"/>
      <c r="E147" s="418"/>
      <c r="F147" s="129">
        <v>0</v>
      </c>
      <c r="G147" s="337"/>
      <c r="H147" s="337"/>
      <c r="I147" s="337"/>
      <c r="J147" s="337"/>
      <c r="K147" s="336">
        <f t="shared" si="24"/>
        <v>0</v>
      </c>
      <c r="L147" s="130">
        <f t="shared" si="25"/>
        <v>0</v>
      </c>
      <c r="M147" s="131" t="str">
        <f t="shared" si="26"/>
        <v/>
      </c>
      <c r="N147" s="132">
        <v>0</v>
      </c>
      <c r="O147" s="133">
        <f t="shared" si="27"/>
        <v>0</v>
      </c>
      <c r="P147" s="133">
        <f t="shared" si="28"/>
        <v>0</v>
      </c>
      <c r="Q147" s="131" t="str">
        <f t="shared" si="29"/>
        <v/>
      </c>
    </row>
    <row r="148" spans="1:17" ht="13">
      <c r="A148" s="126">
        <v>141</v>
      </c>
      <c r="B148" s="127"/>
      <c r="C148" s="128"/>
      <c r="D148" s="417"/>
      <c r="E148" s="418"/>
      <c r="F148" s="129">
        <v>0</v>
      </c>
      <c r="G148" s="337"/>
      <c r="H148" s="337"/>
      <c r="I148" s="337"/>
      <c r="J148" s="337"/>
      <c r="K148" s="336">
        <f t="shared" si="24"/>
        <v>0</v>
      </c>
      <c r="L148" s="130">
        <f t="shared" si="25"/>
        <v>0</v>
      </c>
      <c r="M148" s="131" t="str">
        <f t="shared" si="26"/>
        <v/>
      </c>
      <c r="N148" s="132">
        <v>0</v>
      </c>
      <c r="O148" s="133">
        <f t="shared" si="27"/>
        <v>0</v>
      </c>
      <c r="P148" s="133">
        <f t="shared" si="28"/>
        <v>0</v>
      </c>
      <c r="Q148" s="131" t="str">
        <f t="shared" si="29"/>
        <v/>
      </c>
    </row>
    <row r="149" spans="1:17" ht="13">
      <c r="A149" s="126">
        <v>142</v>
      </c>
      <c r="B149" s="127"/>
      <c r="C149" s="128"/>
      <c r="D149" s="417"/>
      <c r="E149" s="418"/>
      <c r="F149" s="129">
        <v>0</v>
      </c>
      <c r="G149" s="337"/>
      <c r="H149" s="337"/>
      <c r="I149" s="337"/>
      <c r="J149" s="337"/>
      <c r="K149" s="336">
        <f t="shared" si="24"/>
        <v>0</v>
      </c>
      <c r="L149" s="130">
        <f t="shared" si="25"/>
        <v>0</v>
      </c>
      <c r="M149" s="131" t="str">
        <f t="shared" si="26"/>
        <v/>
      </c>
      <c r="N149" s="132">
        <v>0</v>
      </c>
      <c r="O149" s="133">
        <f t="shared" si="27"/>
        <v>0</v>
      </c>
      <c r="P149" s="133">
        <f t="shared" si="28"/>
        <v>0</v>
      </c>
      <c r="Q149" s="131" t="str">
        <f t="shared" si="29"/>
        <v/>
      </c>
    </row>
    <row r="150" spans="1:17" ht="13">
      <c r="A150" s="126">
        <v>143</v>
      </c>
      <c r="B150" s="127"/>
      <c r="C150" s="128"/>
      <c r="D150" s="417"/>
      <c r="E150" s="418"/>
      <c r="F150" s="129">
        <v>0</v>
      </c>
      <c r="G150" s="337"/>
      <c r="H150" s="337"/>
      <c r="I150" s="337"/>
      <c r="J150" s="337"/>
      <c r="K150" s="336">
        <f t="shared" si="24"/>
        <v>0</v>
      </c>
      <c r="L150" s="130">
        <f t="shared" si="25"/>
        <v>0</v>
      </c>
      <c r="M150" s="131" t="str">
        <f t="shared" si="26"/>
        <v/>
      </c>
      <c r="N150" s="132">
        <v>0</v>
      </c>
      <c r="O150" s="133">
        <f t="shared" si="27"/>
        <v>0</v>
      </c>
      <c r="P150" s="133">
        <f t="shared" si="28"/>
        <v>0</v>
      </c>
      <c r="Q150" s="131" t="str">
        <f t="shared" si="29"/>
        <v/>
      </c>
    </row>
    <row r="151" spans="1:17" ht="13">
      <c r="A151" s="126">
        <v>144</v>
      </c>
      <c r="B151" s="127"/>
      <c r="C151" s="128"/>
      <c r="D151" s="417"/>
      <c r="E151" s="418"/>
      <c r="F151" s="129">
        <v>0</v>
      </c>
      <c r="G151" s="337"/>
      <c r="H151" s="337"/>
      <c r="I151" s="337"/>
      <c r="J151" s="337"/>
      <c r="K151" s="336">
        <f t="shared" si="24"/>
        <v>0</v>
      </c>
      <c r="L151" s="130">
        <f t="shared" si="25"/>
        <v>0</v>
      </c>
      <c r="M151" s="131" t="str">
        <f t="shared" si="26"/>
        <v/>
      </c>
      <c r="N151" s="132">
        <v>0</v>
      </c>
      <c r="O151" s="133">
        <f t="shared" si="27"/>
        <v>0</v>
      </c>
      <c r="P151" s="133">
        <f t="shared" si="28"/>
        <v>0</v>
      </c>
      <c r="Q151" s="131" t="str">
        <f t="shared" si="29"/>
        <v/>
      </c>
    </row>
    <row r="152" spans="1:17" ht="13">
      <c r="A152" s="126">
        <v>145</v>
      </c>
      <c r="B152" s="127"/>
      <c r="C152" s="128"/>
      <c r="D152" s="417"/>
      <c r="E152" s="418"/>
      <c r="F152" s="129">
        <v>0</v>
      </c>
      <c r="G152" s="337"/>
      <c r="H152" s="337"/>
      <c r="I152" s="337"/>
      <c r="J152" s="337"/>
      <c r="K152" s="336">
        <f t="shared" si="24"/>
        <v>0</v>
      </c>
      <c r="L152" s="130">
        <f t="shared" si="25"/>
        <v>0</v>
      </c>
      <c r="M152" s="131" t="str">
        <f t="shared" si="26"/>
        <v/>
      </c>
      <c r="N152" s="132">
        <v>0</v>
      </c>
      <c r="O152" s="133">
        <f t="shared" si="27"/>
        <v>0</v>
      </c>
      <c r="P152" s="133">
        <f t="shared" si="28"/>
        <v>0</v>
      </c>
      <c r="Q152" s="131" t="str">
        <f t="shared" si="29"/>
        <v/>
      </c>
    </row>
    <row r="153" spans="1:17" ht="13">
      <c r="A153" s="126">
        <v>146</v>
      </c>
      <c r="B153" s="127"/>
      <c r="C153" s="128"/>
      <c r="D153" s="417"/>
      <c r="E153" s="418"/>
      <c r="F153" s="129">
        <v>0</v>
      </c>
      <c r="G153" s="337"/>
      <c r="H153" s="337"/>
      <c r="I153" s="337"/>
      <c r="J153" s="337"/>
      <c r="K153" s="336">
        <f t="shared" si="24"/>
        <v>0</v>
      </c>
      <c r="L153" s="130">
        <f t="shared" si="25"/>
        <v>0</v>
      </c>
      <c r="M153" s="131" t="str">
        <f t="shared" si="26"/>
        <v/>
      </c>
      <c r="N153" s="132">
        <v>0</v>
      </c>
      <c r="O153" s="133">
        <f t="shared" si="27"/>
        <v>0</v>
      </c>
      <c r="P153" s="133">
        <f t="shared" si="28"/>
        <v>0</v>
      </c>
      <c r="Q153" s="131" t="str">
        <f t="shared" si="29"/>
        <v/>
      </c>
    </row>
    <row r="154" spans="1:17" ht="13">
      <c r="A154" s="126">
        <v>147</v>
      </c>
      <c r="B154" s="127"/>
      <c r="C154" s="128"/>
      <c r="D154" s="417"/>
      <c r="E154" s="418"/>
      <c r="F154" s="129">
        <v>0</v>
      </c>
      <c r="G154" s="337"/>
      <c r="H154" s="337"/>
      <c r="I154" s="337"/>
      <c r="J154" s="337"/>
      <c r="K154" s="336">
        <f t="shared" si="24"/>
        <v>0</v>
      </c>
      <c r="L154" s="130">
        <f t="shared" si="25"/>
        <v>0</v>
      </c>
      <c r="M154" s="131" t="str">
        <f t="shared" si="26"/>
        <v/>
      </c>
      <c r="N154" s="132">
        <v>0</v>
      </c>
      <c r="O154" s="133">
        <f t="shared" si="27"/>
        <v>0</v>
      </c>
      <c r="P154" s="133">
        <f t="shared" si="28"/>
        <v>0</v>
      </c>
      <c r="Q154" s="131" t="str">
        <f t="shared" si="29"/>
        <v/>
      </c>
    </row>
    <row r="155" spans="1:17" ht="13">
      <c r="A155" s="126">
        <v>148</v>
      </c>
      <c r="B155" s="127"/>
      <c r="C155" s="128"/>
      <c r="D155" s="417"/>
      <c r="E155" s="418"/>
      <c r="F155" s="129">
        <v>0</v>
      </c>
      <c r="G155" s="337"/>
      <c r="H155" s="337"/>
      <c r="I155" s="337"/>
      <c r="J155" s="337"/>
      <c r="K155" s="336">
        <f t="shared" si="24"/>
        <v>0</v>
      </c>
      <c r="L155" s="130">
        <f t="shared" si="25"/>
        <v>0</v>
      </c>
      <c r="M155" s="131" t="str">
        <f t="shared" si="26"/>
        <v/>
      </c>
      <c r="N155" s="132">
        <v>0</v>
      </c>
      <c r="O155" s="133">
        <f t="shared" si="27"/>
        <v>0</v>
      </c>
      <c r="P155" s="133">
        <f t="shared" si="28"/>
        <v>0</v>
      </c>
      <c r="Q155" s="131" t="str">
        <f t="shared" si="29"/>
        <v/>
      </c>
    </row>
    <row r="156" spans="1:17" ht="13">
      <c r="A156" s="126">
        <v>149</v>
      </c>
      <c r="B156" s="127"/>
      <c r="C156" s="128"/>
      <c r="D156" s="417"/>
      <c r="E156" s="418"/>
      <c r="F156" s="129">
        <v>0</v>
      </c>
      <c r="G156" s="337"/>
      <c r="H156" s="337"/>
      <c r="I156" s="337"/>
      <c r="J156" s="337"/>
      <c r="K156" s="336">
        <f t="shared" si="24"/>
        <v>0</v>
      </c>
      <c r="L156" s="130">
        <f t="shared" si="25"/>
        <v>0</v>
      </c>
      <c r="M156" s="131" t="str">
        <f t="shared" si="26"/>
        <v/>
      </c>
      <c r="N156" s="132">
        <v>0</v>
      </c>
      <c r="O156" s="133">
        <f t="shared" si="27"/>
        <v>0</v>
      </c>
      <c r="P156" s="133">
        <f t="shared" si="28"/>
        <v>0</v>
      </c>
      <c r="Q156" s="131" t="str">
        <f t="shared" si="29"/>
        <v/>
      </c>
    </row>
    <row r="157" spans="1:17" ht="13">
      <c r="A157" s="126">
        <v>150</v>
      </c>
      <c r="B157" s="127"/>
      <c r="C157" s="128"/>
      <c r="D157" s="417"/>
      <c r="E157" s="418"/>
      <c r="F157" s="129">
        <v>0</v>
      </c>
      <c r="G157" s="337"/>
      <c r="H157" s="337"/>
      <c r="I157" s="337"/>
      <c r="J157" s="337"/>
      <c r="K157" s="336">
        <f t="shared" si="24"/>
        <v>0</v>
      </c>
      <c r="L157" s="130">
        <f t="shared" si="25"/>
        <v>0</v>
      </c>
      <c r="M157" s="131" t="str">
        <f t="shared" si="26"/>
        <v/>
      </c>
      <c r="N157" s="132">
        <v>0</v>
      </c>
      <c r="O157" s="133">
        <f t="shared" si="27"/>
        <v>0</v>
      </c>
      <c r="P157" s="133">
        <f t="shared" si="28"/>
        <v>0</v>
      </c>
      <c r="Q157" s="131" t="str">
        <f t="shared" si="29"/>
        <v/>
      </c>
    </row>
    <row r="158" spans="1:17" ht="13">
      <c r="A158" s="126">
        <v>151</v>
      </c>
      <c r="B158" s="127"/>
      <c r="C158" s="128"/>
      <c r="D158" s="417"/>
      <c r="E158" s="418"/>
      <c r="F158" s="129">
        <v>0</v>
      </c>
      <c r="G158" s="337"/>
      <c r="H158" s="337"/>
      <c r="I158" s="337"/>
      <c r="J158" s="337"/>
      <c r="K158" s="336">
        <f t="shared" si="24"/>
        <v>0</v>
      </c>
      <c r="L158" s="130">
        <f t="shared" si="25"/>
        <v>0</v>
      </c>
      <c r="M158" s="131" t="str">
        <f t="shared" si="26"/>
        <v/>
      </c>
      <c r="N158" s="132">
        <v>0</v>
      </c>
      <c r="O158" s="133">
        <f t="shared" si="27"/>
        <v>0</v>
      </c>
      <c r="P158" s="133">
        <f t="shared" si="28"/>
        <v>0</v>
      </c>
      <c r="Q158" s="131" t="str">
        <f t="shared" si="29"/>
        <v/>
      </c>
    </row>
    <row r="159" spans="1:17" ht="13">
      <c r="A159" s="126">
        <v>152</v>
      </c>
      <c r="B159" s="127"/>
      <c r="C159" s="128"/>
      <c r="D159" s="417"/>
      <c r="E159" s="418"/>
      <c r="F159" s="129">
        <v>0</v>
      </c>
      <c r="G159" s="337"/>
      <c r="H159" s="337"/>
      <c r="I159" s="337"/>
      <c r="J159" s="337"/>
      <c r="K159" s="336">
        <f t="shared" si="24"/>
        <v>0</v>
      </c>
      <c r="L159" s="130">
        <f t="shared" si="25"/>
        <v>0</v>
      </c>
      <c r="M159" s="131" t="str">
        <f t="shared" si="26"/>
        <v/>
      </c>
      <c r="N159" s="132">
        <v>0</v>
      </c>
      <c r="O159" s="133">
        <f t="shared" si="27"/>
        <v>0</v>
      </c>
      <c r="P159" s="133">
        <f t="shared" si="28"/>
        <v>0</v>
      </c>
      <c r="Q159" s="131" t="str">
        <f t="shared" si="29"/>
        <v/>
      </c>
    </row>
    <row r="160" spans="1:17" ht="13">
      <c r="A160" s="126">
        <v>153</v>
      </c>
      <c r="B160" s="127"/>
      <c r="C160" s="128"/>
      <c r="D160" s="417"/>
      <c r="E160" s="418"/>
      <c r="F160" s="129">
        <v>0</v>
      </c>
      <c r="G160" s="337"/>
      <c r="H160" s="337"/>
      <c r="I160" s="337"/>
      <c r="J160" s="337"/>
      <c r="K160" s="336">
        <f t="shared" si="24"/>
        <v>0</v>
      </c>
      <c r="L160" s="130">
        <f t="shared" si="25"/>
        <v>0</v>
      </c>
      <c r="M160" s="131" t="str">
        <f t="shared" si="26"/>
        <v/>
      </c>
      <c r="N160" s="132">
        <v>0</v>
      </c>
      <c r="O160" s="133">
        <f t="shared" si="27"/>
        <v>0</v>
      </c>
      <c r="P160" s="133">
        <f t="shared" si="28"/>
        <v>0</v>
      </c>
      <c r="Q160" s="131" t="str">
        <f t="shared" si="29"/>
        <v/>
      </c>
    </row>
    <row r="161" spans="1:17" ht="13">
      <c r="A161" s="126">
        <v>154</v>
      </c>
      <c r="B161" s="127"/>
      <c r="C161" s="128"/>
      <c r="D161" s="417"/>
      <c r="E161" s="418"/>
      <c r="F161" s="129">
        <v>0</v>
      </c>
      <c r="G161" s="337"/>
      <c r="H161" s="337"/>
      <c r="I161" s="337"/>
      <c r="J161" s="337"/>
      <c r="K161" s="336">
        <f t="shared" si="24"/>
        <v>0</v>
      </c>
      <c r="L161" s="130">
        <f t="shared" si="25"/>
        <v>0</v>
      </c>
      <c r="M161" s="131" t="str">
        <f t="shared" si="26"/>
        <v/>
      </c>
      <c r="N161" s="132">
        <v>0</v>
      </c>
      <c r="O161" s="133">
        <f t="shared" si="27"/>
        <v>0</v>
      </c>
      <c r="P161" s="133">
        <f t="shared" si="28"/>
        <v>0</v>
      </c>
      <c r="Q161" s="131" t="str">
        <f t="shared" si="29"/>
        <v/>
      </c>
    </row>
    <row r="162" spans="1:17" ht="13">
      <c r="A162" s="126">
        <v>155</v>
      </c>
      <c r="B162" s="127"/>
      <c r="C162" s="128"/>
      <c r="D162" s="417"/>
      <c r="E162" s="418"/>
      <c r="F162" s="129">
        <v>0</v>
      </c>
      <c r="G162" s="337"/>
      <c r="H162" s="337"/>
      <c r="I162" s="337"/>
      <c r="J162" s="337"/>
      <c r="K162" s="336">
        <f t="shared" si="24"/>
        <v>0</v>
      </c>
      <c r="L162" s="130">
        <f t="shared" si="25"/>
        <v>0</v>
      </c>
      <c r="M162" s="131" t="str">
        <f t="shared" si="26"/>
        <v/>
      </c>
      <c r="N162" s="132">
        <v>0</v>
      </c>
      <c r="O162" s="133">
        <f t="shared" si="27"/>
        <v>0</v>
      </c>
      <c r="P162" s="133">
        <f t="shared" si="28"/>
        <v>0</v>
      </c>
      <c r="Q162" s="131" t="str">
        <f t="shared" si="29"/>
        <v/>
      </c>
    </row>
    <row r="163" spans="1:17" ht="13">
      <c r="A163" s="126">
        <v>156</v>
      </c>
      <c r="B163" s="127"/>
      <c r="C163" s="128"/>
      <c r="D163" s="417"/>
      <c r="E163" s="418"/>
      <c r="F163" s="129">
        <v>0</v>
      </c>
      <c r="G163" s="337"/>
      <c r="H163" s="337"/>
      <c r="I163" s="337"/>
      <c r="J163" s="337"/>
      <c r="K163" s="336">
        <f t="shared" si="24"/>
        <v>0</v>
      </c>
      <c r="L163" s="130">
        <f t="shared" si="25"/>
        <v>0</v>
      </c>
      <c r="M163" s="131" t="str">
        <f t="shared" si="26"/>
        <v/>
      </c>
      <c r="N163" s="132">
        <v>0</v>
      </c>
      <c r="O163" s="133">
        <f t="shared" si="27"/>
        <v>0</v>
      </c>
      <c r="P163" s="133">
        <f t="shared" si="28"/>
        <v>0</v>
      </c>
      <c r="Q163" s="131" t="str">
        <f t="shared" si="29"/>
        <v/>
      </c>
    </row>
    <row r="164" spans="1:17" ht="13">
      <c r="A164" s="126">
        <v>157</v>
      </c>
      <c r="B164" s="127"/>
      <c r="C164" s="128"/>
      <c r="D164" s="417"/>
      <c r="E164" s="418"/>
      <c r="F164" s="129">
        <v>0</v>
      </c>
      <c r="G164" s="337"/>
      <c r="H164" s="337"/>
      <c r="I164" s="337"/>
      <c r="J164" s="337"/>
      <c r="K164" s="336">
        <f t="shared" si="24"/>
        <v>0</v>
      </c>
      <c r="L164" s="130">
        <f t="shared" si="25"/>
        <v>0</v>
      </c>
      <c r="M164" s="131" t="str">
        <f t="shared" si="26"/>
        <v/>
      </c>
      <c r="N164" s="132">
        <v>0</v>
      </c>
      <c r="O164" s="133">
        <f t="shared" si="27"/>
        <v>0</v>
      </c>
      <c r="P164" s="133">
        <f t="shared" si="28"/>
        <v>0</v>
      </c>
      <c r="Q164" s="131" t="str">
        <f t="shared" si="29"/>
        <v/>
      </c>
    </row>
    <row r="165" spans="1:17" ht="13">
      <c r="A165" s="126">
        <v>158</v>
      </c>
      <c r="B165" s="127"/>
      <c r="C165" s="128"/>
      <c r="D165" s="417"/>
      <c r="E165" s="418"/>
      <c r="F165" s="129">
        <v>0</v>
      </c>
      <c r="G165" s="337"/>
      <c r="H165" s="337"/>
      <c r="I165" s="337"/>
      <c r="J165" s="337"/>
      <c r="K165" s="336">
        <f t="shared" si="24"/>
        <v>0</v>
      </c>
      <c r="L165" s="130">
        <f t="shared" si="25"/>
        <v>0</v>
      </c>
      <c r="M165" s="131" t="str">
        <f t="shared" si="26"/>
        <v/>
      </c>
      <c r="N165" s="132">
        <v>0</v>
      </c>
      <c r="O165" s="133">
        <f t="shared" si="27"/>
        <v>0</v>
      </c>
      <c r="P165" s="133">
        <f t="shared" si="28"/>
        <v>0</v>
      </c>
      <c r="Q165" s="131" t="str">
        <f t="shared" si="29"/>
        <v/>
      </c>
    </row>
    <row r="166" spans="1:17" ht="13">
      <c r="A166" s="126">
        <v>159</v>
      </c>
      <c r="B166" s="127"/>
      <c r="C166" s="128"/>
      <c r="D166" s="417"/>
      <c r="E166" s="418"/>
      <c r="F166" s="129">
        <v>0</v>
      </c>
      <c r="G166" s="337"/>
      <c r="H166" s="337"/>
      <c r="I166" s="337"/>
      <c r="J166" s="337"/>
      <c r="K166" s="336">
        <f t="shared" si="24"/>
        <v>0</v>
      </c>
      <c r="L166" s="130">
        <f t="shared" si="25"/>
        <v>0</v>
      </c>
      <c r="M166" s="131" t="str">
        <f t="shared" si="26"/>
        <v/>
      </c>
      <c r="N166" s="132">
        <v>0</v>
      </c>
      <c r="O166" s="133">
        <f t="shared" si="27"/>
        <v>0</v>
      </c>
      <c r="P166" s="133">
        <f t="shared" si="28"/>
        <v>0</v>
      </c>
      <c r="Q166" s="131" t="str">
        <f t="shared" si="29"/>
        <v/>
      </c>
    </row>
    <row r="167" spans="1:17" ht="13">
      <c r="A167" s="126">
        <v>160</v>
      </c>
      <c r="B167" s="127"/>
      <c r="C167" s="128"/>
      <c r="D167" s="417"/>
      <c r="E167" s="418"/>
      <c r="F167" s="129">
        <v>0</v>
      </c>
      <c r="G167" s="337"/>
      <c r="H167" s="337"/>
      <c r="I167" s="337"/>
      <c r="J167" s="337"/>
      <c r="K167" s="336">
        <f t="shared" si="24"/>
        <v>0</v>
      </c>
      <c r="L167" s="130">
        <f t="shared" si="25"/>
        <v>0</v>
      </c>
      <c r="M167" s="131" t="str">
        <f t="shared" si="26"/>
        <v/>
      </c>
      <c r="N167" s="132">
        <v>0</v>
      </c>
      <c r="O167" s="133">
        <f t="shared" si="27"/>
        <v>0</v>
      </c>
      <c r="P167" s="133">
        <f t="shared" si="28"/>
        <v>0</v>
      </c>
      <c r="Q167" s="131" t="str">
        <f t="shared" si="29"/>
        <v/>
      </c>
    </row>
    <row r="168" spans="1:17" ht="13">
      <c r="A168" s="126">
        <v>161</v>
      </c>
      <c r="B168" s="127"/>
      <c r="C168" s="128"/>
      <c r="D168" s="417"/>
      <c r="E168" s="418"/>
      <c r="F168" s="129">
        <v>0</v>
      </c>
      <c r="G168" s="337"/>
      <c r="H168" s="337"/>
      <c r="I168" s="337"/>
      <c r="J168" s="337"/>
      <c r="K168" s="336">
        <f t="shared" ref="K168:K199" si="30">MAXA(G168:J168)</f>
        <v>0</v>
      </c>
      <c r="L168" s="130">
        <f t="shared" ref="L168:L199" si="31">F168*K168</f>
        <v>0</v>
      </c>
      <c r="M168" s="131" t="str">
        <f t="shared" ref="M168:M199" si="32">IF(L168&gt;0,RANK(L168,L$8:L$207),"")</f>
        <v/>
      </c>
      <c r="N168" s="132">
        <v>0</v>
      </c>
      <c r="O168" s="133">
        <f t="shared" ref="O168:O199" si="33">N168*SensibO</f>
        <v>0</v>
      </c>
      <c r="P168" s="133">
        <f t="shared" ref="P168:P199" si="34">F168*O168</f>
        <v>0</v>
      </c>
      <c r="Q168" s="131" t="str">
        <f t="shared" ref="Q168:Q199" si="35">IF(P168&gt;0,RANK(P168,OportPreVE,0),"")</f>
        <v/>
      </c>
    </row>
    <row r="169" spans="1:17" ht="13">
      <c r="A169" s="126">
        <v>162</v>
      </c>
      <c r="B169" s="127"/>
      <c r="C169" s="128"/>
      <c r="D169" s="417"/>
      <c r="E169" s="418"/>
      <c r="F169" s="129">
        <v>0</v>
      </c>
      <c r="G169" s="337"/>
      <c r="H169" s="337"/>
      <c r="I169" s="337"/>
      <c r="J169" s="337"/>
      <c r="K169" s="336">
        <f t="shared" si="30"/>
        <v>0</v>
      </c>
      <c r="L169" s="130">
        <f t="shared" si="31"/>
        <v>0</v>
      </c>
      <c r="M169" s="131" t="str">
        <f t="shared" si="32"/>
        <v/>
      </c>
      <c r="N169" s="132">
        <v>0</v>
      </c>
      <c r="O169" s="133">
        <f t="shared" si="33"/>
        <v>0</v>
      </c>
      <c r="P169" s="133">
        <f t="shared" si="34"/>
        <v>0</v>
      </c>
      <c r="Q169" s="131" t="str">
        <f t="shared" si="35"/>
        <v/>
      </c>
    </row>
    <row r="170" spans="1:17" ht="13">
      <c r="A170" s="126">
        <v>163</v>
      </c>
      <c r="B170" s="127"/>
      <c r="C170" s="128"/>
      <c r="D170" s="417"/>
      <c r="E170" s="418"/>
      <c r="F170" s="129">
        <v>0</v>
      </c>
      <c r="G170" s="337"/>
      <c r="H170" s="337"/>
      <c r="I170" s="337"/>
      <c r="J170" s="337"/>
      <c r="K170" s="336">
        <f t="shared" si="30"/>
        <v>0</v>
      </c>
      <c r="L170" s="130">
        <f t="shared" si="31"/>
        <v>0</v>
      </c>
      <c r="M170" s="131" t="str">
        <f t="shared" si="32"/>
        <v/>
      </c>
      <c r="N170" s="132">
        <v>0</v>
      </c>
      <c r="O170" s="133">
        <f t="shared" si="33"/>
        <v>0</v>
      </c>
      <c r="P170" s="133">
        <f t="shared" si="34"/>
        <v>0</v>
      </c>
      <c r="Q170" s="131" t="str">
        <f t="shared" si="35"/>
        <v/>
      </c>
    </row>
    <row r="171" spans="1:17" ht="13">
      <c r="A171" s="126">
        <v>164</v>
      </c>
      <c r="B171" s="127"/>
      <c r="C171" s="128"/>
      <c r="D171" s="417"/>
      <c r="E171" s="418"/>
      <c r="F171" s="129">
        <v>0</v>
      </c>
      <c r="G171" s="337"/>
      <c r="H171" s="337"/>
      <c r="I171" s="337"/>
      <c r="J171" s="337"/>
      <c r="K171" s="336">
        <f t="shared" si="30"/>
        <v>0</v>
      </c>
      <c r="L171" s="130">
        <f t="shared" si="31"/>
        <v>0</v>
      </c>
      <c r="M171" s="131" t="str">
        <f t="shared" si="32"/>
        <v/>
      </c>
      <c r="N171" s="132">
        <v>0</v>
      </c>
      <c r="O171" s="133">
        <f t="shared" si="33"/>
        <v>0</v>
      </c>
      <c r="P171" s="133">
        <f t="shared" si="34"/>
        <v>0</v>
      </c>
      <c r="Q171" s="131" t="str">
        <f t="shared" si="35"/>
        <v/>
      </c>
    </row>
    <row r="172" spans="1:17" ht="13">
      <c r="A172" s="126">
        <v>165</v>
      </c>
      <c r="B172" s="127"/>
      <c r="C172" s="128"/>
      <c r="D172" s="417"/>
      <c r="E172" s="418"/>
      <c r="F172" s="129">
        <v>0</v>
      </c>
      <c r="G172" s="337"/>
      <c r="H172" s="337"/>
      <c r="I172" s="337"/>
      <c r="J172" s="337"/>
      <c r="K172" s="336">
        <f t="shared" si="30"/>
        <v>0</v>
      </c>
      <c r="L172" s="130">
        <f t="shared" si="31"/>
        <v>0</v>
      </c>
      <c r="M172" s="131" t="str">
        <f t="shared" si="32"/>
        <v/>
      </c>
      <c r="N172" s="132">
        <v>0</v>
      </c>
      <c r="O172" s="133">
        <f t="shared" si="33"/>
        <v>0</v>
      </c>
      <c r="P172" s="133">
        <f t="shared" si="34"/>
        <v>0</v>
      </c>
      <c r="Q172" s="131" t="str">
        <f t="shared" si="35"/>
        <v/>
      </c>
    </row>
    <row r="173" spans="1:17" ht="13">
      <c r="A173" s="126">
        <v>166</v>
      </c>
      <c r="B173" s="127"/>
      <c r="C173" s="128"/>
      <c r="D173" s="417"/>
      <c r="E173" s="418"/>
      <c r="F173" s="129">
        <v>0</v>
      </c>
      <c r="G173" s="337"/>
      <c r="H173" s="337"/>
      <c r="I173" s="337"/>
      <c r="J173" s="337"/>
      <c r="K173" s="336">
        <f t="shared" si="30"/>
        <v>0</v>
      </c>
      <c r="L173" s="130">
        <f t="shared" si="31"/>
        <v>0</v>
      </c>
      <c r="M173" s="131" t="str">
        <f t="shared" si="32"/>
        <v/>
      </c>
      <c r="N173" s="132">
        <v>0</v>
      </c>
      <c r="O173" s="133">
        <f t="shared" si="33"/>
        <v>0</v>
      </c>
      <c r="P173" s="133">
        <f t="shared" si="34"/>
        <v>0</v>
      </c>
      <c r="Q173" s="131" t="str">
        <f t="shared" si="35"/>
        <v/>
      </c>
    </row>
    <row r="174" spans="1:17" ht="13">
      <c r="A174" s="126">
        <v>167</v>
      </c>
      <c r="B174" s="127"/>
      <c r="C174" s="128"/>
      <c r="D174" s="417"/>
      <c r="E174" s="418"/>
      <c r="F174" s="129">
        <v>0</v>
      </c>
      <c r="G174" s="337"/>
      <c r="H174" s="337"/>
      <c r="I174" s="337"/>
      <c r="J174" s="337"/>
      <c r="K174" s="336">
        <f t="shared" si="30"/>
        <v>0</v>
      </c>
      <c r="L174" s="130">
        <f t="shared" si="31"/>
        <v>0</v>
      </c>
      <c r="M174" s="131" t="str">
        <f t="shared" si="32"/>
        <v/>
      </c>
      <c r="N174" s="132">
        <v>0</v>
      </c>
      <c r="O174" s="133">
        <f t="shared" si="33"/>
        <v>0</v>
      </c>
      <c r="P174" s="133">
        <f t="shared" si="34"/>
        <v>0</v>
      </c>
      <c r="Q174" s="131" t="str">
        <f t="shared" si="35"/>
        <v/>
      </c>
    </row>
    <row r="175" spans="1:17" ht="13">
      <c r="A175" s="126">
        <v>168</v>
      </c>
      <c r="B175" s="127"/>
      <c r="C175" s="128"/>
      <c r="D175" s="417"/>
      <c r="E175" s="418"/>
      <c r="F175" s="129">
        <v>0</v>
      </c>
      <c r="G175" s="337"/>
      <c r="H175" s="337"/>
      <c r="I175" s="337"/>
      <c r="J175" s="337"/>
      <c r="K175" s="336">
        <f t="shared" si="30"/>
        <v>0</v>
      </c>
      <c r="L175" s="130">
        <f t="shared" si="31"/>
        <v>0</v>
      </c>
      <c r="M175" s="131" t="str">
        <f t="shared" si="32"/>
        <v/>
      </c>
      <c r="N175" s="132">
        <v>0</v>
      </c>
      <c r="O175" s="133">
        <f t="shared" si="33"/>
        <v>0</v>
      </c>
      <c r="P175" s="133">
        <f t="shared" si="34"/>
        <v>0</v>
      </c>
      <c r="Q175" s="131" t="str">
        <f t="shared" si="35"/>
        <v/>
      </c>
    </row>
    <row r="176" spans="1:17" ht="13">
      <c r="A176" s="126">
        <v>169</v>
      </c>
      <c r="B176" s="127"/>
      <c r="C176" s="128"/>
      <c r="D176" s="417"/>
      <c r="E176" s="418"/>
      <c r="F176" s="129">
        <v>0</v>
      </c>
      <c r="G176" s="337"/>
      <c r="H176" s="337"/>
      <c r="I176" s="337"/>
      <c r="J176" s="337"/>
      <c r="K176" s="336">
        <f t="shared" si="30"/>
        <v>0</v>
      </c>
      <c r="L176" s="130">
        <f t="shared" si="31"/>
        <v>0</v>
      </c>
      <c r="M176" s="131" t="str">
        <f t="shared" si="32"/>
        <v/>
      </c>
      <c r="N176" s="132">
        <v>0</v>
      </c>
      <c r="O176" s="133">
        <f t="shared" si="33"/>
        <v>0</v>
      </c>
      <c r="P176" s="133">
        <f t="shared" si="34"/>
        <v>0</v>
      </c>
      <c r="Q176" s="131" t="str">
        <f t="shared" si="35"/>
        <v/>
      </c>
    </row>
    <row r="177" spans="1:17" ht="13">
      <c r="A177" s="126">
        <v>170</v>
      </c>
      <c r="B177" s="127"/>
      <c r="C177" s="128"/>
      <c r="D177" s="417"/>
      <c r="E177" s="418"/>
      <c r="F177" s="129">
        <v>0</v>
      </c>
      <c r="G177" s="337"/>
      <c r="H177" s="337"/>
      <c r="I177" s="337"/>
      <c r="J177" s="337"/>
      <c r="K177" s="336">
        <f t="shared" si="30"/>
        <v>0</v>
      </c>
      <c r="L177" s="130">
        <f t="shared" si="31"/>
        <v>0</v>
      </c>
      <c r="M177" s="131" t="str">
        <f t="shared" si="32"/>
        <v/>
      </c>
      <c r="N177" s="132">
        <v>0</v>
      </c>
      <c r="O177" s="133">
        <f t="shared" si="33"/>
        <v>0</v>
      </c>
      <c r="P177" s="133">
        <f t="shared" si="34"/>
        <v>0</v>
      </c>
      <c r="Q177" s="131" t="str">
        <f t="shared" si="35"/>
        <v/>
      </c>
    </row>
    <row r="178" spans="1:17" ht="13">
      <c r="A178" s="126">
        <v>171</v>
      </c>
      <c r="B178" s="127"/>
      <c r="C178" s="128"/>
      <c r="D178" s="417"/>
      <c r="E178" s="418"/>
      <c r="F178" s="129">
        <v>0</v>
      </c>
      <c r="G178" s="337"/>
      <c r="H178" s="337"/>
      <c r="I178" s="337"/>
      <c r="J178" s="337"/>
      <c r="K178" s="336">
        <f t="shared" si="30"/>
        <v>0</v>
      </c>
      <c r="L178" s="130">
        <f t="shared" si="31"/>
        <v>0</v>
      </c>
      <c r="M178" s="131" t="str">
        <f t="shared" si="32"/>
        <v/>
      </c>
      <c r="N178" s="132">
        <v>0</v>
      </c>
      <c r="O178" s="133">
        <f t="shared" si="33"/>
        <v>0</v>
      </c>
      <c r="P178" s="133">
        <f t="shared" si="34"/>
        <v>0</v>
      </c>
      <c r="Q178" s="131" t="str">
        <f t="shared" si="35"/>
        <v/>
      </c>
    </row>
    <row r="179" spans="1:17" ht="13">
      <c r="A179" s="126">
        <v>172</v>
      </c>
      <c r="B179" s="127"/>
      <c r="C179" s="128"/>
      <c r="D179" s="417"/>
      <c r="E179" s="418"/>
      <c r="F179" s="129">
        <v>0</v>
      </c>
      <c r="G179" s="337"/>
      <c r="H179" s="337"/>
      <c r="I179" s="337"/>
      <c r="J179" s="337"/>
      <c r="K179" s="336">
        <f t="shared" si="30"/>
        <v>0</v>
      </c>
      <c r="L179" s="130">
        <f t="shared" si="31"/>
        <v>0</v>
      </c>
      <c r="M179" s="131" t="str">
        <f t="shared" si="32"/>
        <v/>
      </c>
      <c r="N179" s="132">
        <v>0</v>
      </c>
      <c r="O179" s="133">
        <f t="shared" si="33"/>
        <v>0</v>
      </c>
      <c r="P179" s="133">
        <f t="shared" si="34"/>
        <v>0</v>
      </c>
      <c r="Q179" s="131" t="str">
        <f t="shared" si="35"/>
        <v/>
      </c>
    </row>
    <row r="180" spans="1:17" ht="13">
      <c r="A180" s="126">
        <v>173</v>
      </c>
      <c r="B180" s="127"/>
      <c r="C180" s="128"/>
      <c r="D180" s="417"/>
      <c r="E180" s="418"/>
      <c r="F180" s="129">
        <v>0</v>
      </c>
      <c r="G180" s="337"/>
      <c r="H180" s="337"/>
      <c r="I180" s="337"/>
      <c r="J180" s="337"/>
      <c r="K180" s="336">
        <f t="shared" si="30"/>
        <v>0</v>
      </c>
      <c r="L180" s="130">
        <f t="shared" si="31"/>
        <v>0</v>
      </c>
      <c r="M180" s="131" t="str">
        <f t="shared" si="32"/>
        <v/>
      </c>
      <c r="N180" s="132">
        <v>0</v>
      </c>
      <c r="O180" s="133">
        <f t="shared" si="33"/>
        <v>0</v>
      </c>
      <c r="P180" s="133">
        <f t="shared" si="34"/>
        <v>0</v>
      </c>
      <c r="Q180" s="131" t="str">
        <f t="shared" si="35"/>
        <v/>
      </c>
    </row>
    <row r="181" spans="1:17" ht="13">
      <c r="A181" s="126">
        <v>174</v>
      </c>
      <c r="B181" s="127"/>
      <c r="C181" s="128"/>
      <c r="D181" s="417"/>
      <c r="E181" s="418"/>
      <c r="F181" s="129">
        <v>0</v>
      </c>
      <c r="G181" s="337"/>
      <c r="H181" s="337"/>
      <c r="I181" s="337"/>
      <c r="J181" s="337"/>
      <c r="K181" s="336">
        <f t="shared" si="30"/>
        <v>0</v>
      </c>
      <c r="L181" s="130">
        <f t="shared" si="31"/>
        <v>0</v>
      </c>
      <c r="M181" s="131" t="str">
        <f t="shared" si="32"/>
        <v/>
      </c>
      <c r="N181" s="132">
        <v>0</v>
      </c>
      <c r="O181" s="133">
        <f t="shared" si="33"/>
        <v>0</v>
      </c>
      <c r="P181" s="133">
        <f t="shared" si="34"/>
        <v>0</v>
      </c>
      <c r="Q181" s="131" t="str">
        <f t="shared" si="35"/>
        <v/>
      </c>
    </row>
    <row r="182" spans="1:17" ht="13">
      <c r="A182" s="126">
        <v>175</v>
      </c>
      <c r="B182" s="127"/>
      <c r="C182" s="128"/>
      <c r="D182" s="417"/>
      <c r="E182" s="418"/>
      <c r="F182" s="129">
        <v>0</v>
      </c>
      <c r="G182" s="337"/>
      <c r="H182" s="337"/>
      <c r="I182" s="337"/>
      <c r="J182" s="337"/>
      <c r="K182" s="336">
        <f t="shared" si="30"/>
        <v>0</v>
      </c>
      <c r="L182" s="130">
        <f t="shared" si="31"/>
        <v>0</v>
      </c>
      <c r="M182" s="131" t="str">
        <f t="shared" si="32"/>
        <v/>
      </c>
      <c r="N182" s="132">
        <v>0</v>
      </c>
      <c r="O182" s="133">
        <f t="shared" si="33"/>
        <v>0</v>
      </c>
      <c r="P182" s="133">
        <f t="shared" si="34"/>
        <v>0</v>
      </c>
      <c r="Q182" s="131" t="str">
        <f t="shared" si="35"/>
        <v/>
      </c>
    </row>
    <row r="183" spans="1:17" ht="13">
      <c r="A183" s="126">
        <v>176</v>
      </c>
      <c r="B183" s="127"/>
      <c r="C183" s="128"/>
      <c r="D183" s="417"/>
      <c r="E183" s="418"/>
      <c r="F183" s="129">
        <v>0</v>
      </c>
      <c r="G183" s="337"/>
      <c r="H183" s="337"/>
      <c r="I183" s="337"/>
      <c r="J183" s="337"/>
      <c r="K183" s="336">
        <f t="shared" si="30"/>
        <v>0</v>
      </c>
      <c r="L183" s="130">
        <f t="shared" si="31"/>
        <v>0</v>
      </c>
      <c r="M183" s="131" t="str">
        <f t="shared" si="32"/>
        <v/>
      </c>
      <c r="N183" s="132">
        <v>0</v>
      </c>
      <c r="O183" s="133">
        <f t="shared" si="33"/>
        <v>0</v>
      </c>
      <c r="P183" s="133">
        <f t="shared" si="34"/>
        <v>0</v>
      </c>
      <c r="Q183" s="131" t="str">
        <f t="shared" si="35"/>
        <v/>
      </c>
    </row>
    <row r="184" spans="1:17" ht="13">
      <c r="A184" s="126">
        <v>177</v>
      </c>
      <c r="B184" s="127"/>
      <c r="C184" s="128"/>
      <c r="D184" s="417"/>
      <c r="E184" s="418"/>
      <c r="F184" s="129">
        <v>0</v>
      </c>
      <c r="G184" s="337"/>
      <c r="H184" s="337"/>
      <c r="I184" s="337"/>
      <c r="J184" s="337"/>
      <c r="K184" s="336">
        <f t="shared" si="30"/>
        <v>0</v>
      </c>
      <c r="L184" s="130">
        <f t="shared" si="31"/>
        <v>0</v>
      </c>
      <c r="M184" s="131" t="str">
        <f t="shared" si="32"/>
        <v/>
      </c>
      <c r="N184" s="132">
        <v>0</v>
      </c>
      <c r="O184" s="133">
        <f t="shared" si="33"/>
        <v>0</v>
      </c>
      <c r="P184" s="133">
        <f t="shared" si="34"/>
        <v>0</v>
      </c>
      <c r="Q184" s="131" t="str">
        <f t="shared" si="35"/>
        <v/>
      </c>
    </row>
    <row r="185" spans="1:17" ht="13">
      <c r="A185" s="126">
        <v>178</v>
      </c>
      <c r="B185" s="127"/>
      <c r="C185" s="128"/>
      <c r="D185" s="417"/>
      <c r="E185" s="418"/>
      <c r="F185" s="129">
        <v>0</v>
      </c>
      <c r="G185" s="337"/>
      <c r="H185" s="337"/>
      <c r="I185" s="337"/>
      <c r="J185" s="337"/>
      <c r="K185" s="336">
        <f t="shared" si="30"/>
        <v>0</v>
      </c>
      <c r="L185" s="130">
        <f t="shared" si="31"/>
        <v>0</v>
      </c>
      <c r="M185" s="131" t="str">
        <f t="shared" si="32"/>
        <v/>
      </c>
      <c r="N185" s="132">
        <v>0</v>
      </c>
      <c r="O185" s="133">
        <f t="shared" si="33"/>
        <v>0</v>
      </c>
      <c r="P185" s="133">
        <f t="shared" si="34"/>
        <v>0</v>
      </c>
      <c r="Q185" s="131" t="str">
        <f t="shared" si="35"/>
        <v/>
      </c>
    </row>
    <row r="186" spans="1:17" ht="13">
      <c r="A186" s="126">
        <v>179</v>
      </c>
      <c r="B186" s="127"/>
      <c r="C186" s="128"/>
      <c r="D186" s="417"/>
      <c r="E186" s="418"/>
      <c r="F186" s="129">
        <v>0</v>
      </c>
      <c r="G186" s="337"/>
      <c r="H186" s="337"/>
      <c r="I186" s="337"/>
      <c r="J186" s="337"/>
      <c r="K186" s="336">
        <f t="shared" si="30"/>
        <v>0</v>
      </c>
      <c r="L186" s="130">
        <f t="shared" si="31"/>
        <v>0</v>
      </c>
      <c r="M186" s="131" t="str">
        <f t="shared" si="32"/>
        <v/>
      </c>
      <c r="N186" s="132">
        <v>0</v>
      </c>
      <c r="O186" s="133">
        <f t="shared" si="33"/>
        <v>0</v>
      </c>
      <c r="P186" s="133">
        <f t="shared" si="34"/>
        <v>0</v>
      </c>
      <c r="Q186" s="131" t="str">
        <f t="shared" si="35"/>
        <v/>
      </c>
    </row>
    <row r="187" spans="1:17" ht="13">
      <c r="A187" s="126">
        <v>180</v>
      </c>
      <c r="B187" s="127"/>
      <c r="C187" s="128"/>
      <c r="D187" s="417"/>
      <c r="E187" s="418"/>
      <c r="F187" s="129">
        <v>0</v>
      </c>
      <c r="G187" s="337"/>
      <c r="H187" s="337"/>
      <c r="I187" s="337"/>
      <c r="J187" s="337"/>
      <c r="K187" s="336">
        <f t="shared" si="30"/>
        <v>0</v>
      </c>
      <c r="L187" s="130">
        <f t="shared" si="31"/>
        <v>0</v>
      </c>
      <c r="M187" s="131" t="str">
        <f t="shared" si="32"/>
        <v/>
      </c>
      <c r="N187" s="132">
        <v>0</v>
      </c>
      <c r="O187" s="133">
        <f t="shared" si="33"/>
        <v>0</v>
      </c>
      <c r="P187" s="133">
        <f t="shared" si="34"/>
        <v>0</v>
      </c>
      <c r="Q187" s="131" t="str">
        <f t="shared" si="35"/>
        <v/>
      </c>
    </row>
    <row r="188" spans="1:17" ht="13">
      <c r="A188" s="126">
        <v>181</v>
      </c>
      <c r="B188" s="127"/>
      <c r="C188" s="128"/>
      <c r="D188" s="417"/>
      <c r="E188" s="418"/>
      <c r="F188" s="129">
        <v>0</v>
      </c>
      <c r="G188" s="337"/>
      <c r="H188" s="337"/>
      <c r="I188" s="337"/>
      <c r="J188" s="337"/>
      <c r="K188" s="336">
        <f t="shared" si="30"/>
        <v>0</v>
      </c>
      <c r="L188" s="130">
        <f t="shared" si="31"/>
        <v>0</v>
      </c>
      <c r="M188" s="131" t="str">
        <f t="shared" si="32"/>
        <v/>
      </c>
      <c r="N188" s="132">
        <v>0</v>
      </c>
      <c r="O188" s="133">
        <f t="shared" si="33"/>
        <v>0</v>
      </c>
      <c r="P188" s="133">
        <f t="shared" si="34"/>
        <v>0</v>
      </c>
      <c r="Q188" s="131" t="str">
        <f t="shared" si="35"/>
        <v/>
      </c>
    </row>
    <row r="189" spans="1:17" ht="13">
      <c r="A189" s="126">
        <v>182</v>
      </c>
      <c r="B189" s="127"/>
      <c r="C189" s="128"/>
      <c r="D189" s="417"/>
      <c r="E189" s="418"/>
      <c r="F189" s="129">
        <v>0</v>
      </c>
      <c r="G189" s="337"/>
      <c r="H189" s="337"/>
      <c r="I189" s="337"/>
      <c r="J189" s="337"/>
      <c r="K189" s="336">
        <f t="shared" si="30"/>
        <v>0</v>
      </c>
      <c r="L189" s="130">
        <f t="shared" si="31"/>
        <v>0</v>
      </c>
      <c r="M189" s="131" t="str">
        <f t="shared" si="32"/>
        <v/>
      </c>
      <c r="N189" s="132">
        <v>0</v>
      </c>
      <c r="O189" s="133">
        <f t="shared" si="33"/>
        <v>0</v>
      </c>
      <c r="P189" s="133">
        <f t="shared" si="34"/>
        <v>0</v>
      </c>
      <c r="Q189" s="131" t="str">
        <f t="shared" si="35"/>
        <v/>
      </c>
    </row>
    <row r="190" spans="1:17" ht="13">
      <c r="A190" s="126">
        <v>183</v>
      </c>
      <c r="B190" s="127"/>
      <c r="C190" s="128"/>
      <c r="D190" s="417"/>
      <c r="E190" s="418"/>
      <c r="F190" s="129">
        <v>0</v>
      </c>
      <c r="G190" s="337"/>
      <c r="H190" s="337"/>
      <c r="I190" s="337"/>
      <c r="J190" s="337"/>
      <c r="K190" s="336">
        <f t="shared" si="30"/>
        <v>0</v>
      </c>
      <c r="L190" s="130">
        <f t="shared" si="31"/>
        <v>0</v>
      </c>
      <c r="M190" s="131" t="str">
        <f t="shared" si="32"/>
        <v/>
      </c>
      <c r="N190" s="132">
        <v>0</v>
      </c>
      <c r="O190" s="133">
        <f t="shared" si="33"/>
        <v>0</v>
      </c>
      <c r="P190" s="133">
        <f t="shared" si="34"/>
        <v>0</v>
      </c>
      <c r="Q190" s="131" t="str">
        <f t="shared" si="35"/>
        <v/>
      </c>
    </row>
    <row r="191" spans="1:17" ht="13">
      <c r="A191" s="126">
        <v>184</v>
      </c>
      <c r="B191" s="127"/>
      <c r="C191" s="128"/>
      <c r="D191" s="417"/>
      <c r="E191" s="418"/>
      <c r="F191" s="129">
        <v>0</v>
      </c>
      <c r="G191" s="337"/>
      <c r="H191" s="337"/>
      <c r="I191" s="337"/>
      <c r="J191" s="337"/>
      <c r="K191" s="336">
        <f t="shared" si="30"/>
        <v>0</v>
      </c>
      <c r="L191" s="130">
        <f t="shared" si="31"/>
        <v>0</v>
      </c>
      <c r="M191" s="131" t="str">
        <f t="shared" si="32"/>
        <v/>
      </c>
      <c r="N191" s="132">
        <v>0</v>
      </c>
      <c r="O191" s="133">
        <f t="shared" si="33"/>
        <v>0</v>
      </c>
      <c r="P191" s="133">
        <f t="shared" si="34"/>
        <v>0</v>
      </c>
      <c r="Q191" s="131" t="str">
        <f t="shared" si="35"/>
        <v/>
      </c>
    </row>
    <row r="192" spans="1:17" ht="13">
      <c r="A192" s="126">
        <v>185</v>
      </c>
      <c r="B192" s="127"/>
      <c r="C192" s="128"/>
      <c r="D192" s="417"/>
      <c r="E192" s="418"/>
      <c r="F192" s="129">
        <v>0</v>
      </c>
      <c r="G192" s="337"/>
      <c r="H192" s="337"/>
      <c r="I192" s="337"/>
      <c r="J192" s="337"/>
      <c r="K192" s="336">
        <f t="shared" si="30"/>
        <v>0</v>
      </c>
      <c r="L192" s="130">
        <f t="shared" si="31"/>
        <v>0</v>
      </c>
      <c r="M192" s="131" t="str">
        <f t="shared" si="32"/>
        <v/>
      </c>
      <c r="N192" s="132">
        <v>0</v>
      </c>
      <c r="O192" s="133">
        <f t="shared" si="33"/>
        <v>0</v>
      </c>
      <c r="P192" s="133">
        <f t="shared" si="34"/>
        <v>0</v>
      </c>
      <c r="Q192" s="131" t="str">
        <f t="shared" si="35"/>
        <v/>
      </c>
    </row>
    <row r="193" spans="1:17" ht="13">
      <c r="A193" s="126">
        <v>186</v>
      </c>
      <c r="B193" s="127"/>
      <c r="C193" s="128"/>
      <c r="D193" s="417"/>
      <c r="E193" s="418"/>
      <c r="F193" s="129">
        <v>0</v>
      </c>
      <c r="G193" s="337"/>
      <c r="H193" s="337"/>
      <c r="I193" s="337"/>
      <c r="J193" s="337"/>
      <c r="K193" s="336">
        <f t="shared" si="30"/>
        <v>0</v>
      </c>
      <c r="L193" s="130">
        <f t="shared" si="31"/>
        <v>0</v>
      </c>
      <c r="M193" s="131" t="str">
        <f t="shared" si="32"/>
        <v/>
      </c>
      <c r="N193" s="132">
        <v>0</v>
      </c>
      <c r="O193" s="133">
        <f t="shared" si="33"/>
        <v>0</v>
      </c>
      <c r="P193" s="133">
        <f t="shared" si="34"/>
        <v>0</v>
      </c>
      <c r="Q193" s="131" t="str">
        <f t="shared" si="35"/>
        <v/>
      </c>
    </row>
    <row r="194" spans="1:17" ht="13">
      <c r="A194" s="126">
        <v>187</v>
      </c>
      <c r="B194" s="127"/>
      <c r="C194" s="128"/>
      <c r="D194" s="417"/>
      <c r="E194" s="418"/>
      <c r="F194" s="129">
        <v>0</v>
      </c>
      <c r="G194" s="337"/>
      <c r="H194" s="337"/>
      <c r="I194" s="337"/>
      <c r="J194" s="337"/>
      <c r="K194" s="336">
        <f t="shared" si="30"/>
        <v>0</v>
      </c>
      <c r="L194" s="130">
        <f t="shared" si="31"/>
        <v>0</v>
      </c>
      <c r="M194" s="131" t="str">
        <f t="shared" si="32"/>
        <v/>
      </c>
      <c r="N194" s="132">
        <v>0</v>
      </c>
      <c r="O194" s="133">
        <f t="shared" si="33"/>
        <v>0</v>
      </c>
      <c r="P194" s="133">
        <f t="shared" si="34"/>
        <v>0</v>
      </c>
      <c r="Q194" s="131" t="str">
        <f t="shared" si="35"/>
        <v/>
      </c>
    </row>
    <row r="195" spans="1:17" ht="13">
      <c r="A195" s="126">
        <v>188</v>
      </c>
      <c r="B195" s="127"/>
      <c r="C195" s="128"/>
      <c r="D195" s="417"/>
      <c r="E195" s="418"/>
      <c r="F195" s="129">
        <v>0</v>
      </c>
      <c r="G195" s="337"/>
      <c r="H195" s="337"/>
      <c r="I195" s="337"/>
      <c r="J195" s="337"/>
      <c r="K195" s="336">
        <f t="shared" si="30"/>
        <v>0</v>
      </c>
      <c r="L195" s="130">
        <f t="shared" si="31"/>
        <v>0</v>
      </c>
      <c r="M195" s="131" t="str">
        <f t="shared" si="32"/>
        <v/>
      </c>
      <c r="N195" s="132">
        <v>0</v>
      </c>
      <c r="O195" s="133">
        <f t="shared" si="33"/>
        <v>0</v>
      </c>
      <c r="P195" s="133">
        <f t="shared" si="34"/>
        <v>0</v>
      </c>
      <c r="Q195" s="131" t="str">
        <f t="shared" si="35"/>
        <v/>
      </c>
    </row>
    <row r="196" spans="1:17" ht="13">
      <c r="A196" s="126">
        <v>189</v>
      </c>
      <c r="B196" s="127"/>
      <c r="C196" s="128"/>
      <c r="D196" s="417"/>
      <c r="E196" s="418"/>
      <c r="F196" s="129">
        <v>0</v>
      </c>
      <c r="G196" s="337"/>
      <c r="H196" s="337"/>
      <c r="I196" s="337"/>
      <c r="J196" s="337"/>
      <c r="K196" s="336">
        <f t="shared" si="30"/>
        <v>0</v>
      </c>
      <c r="L196" s="130">
        <f t="shared" si="31"/>
        <v>0</v>
      </c>
      <c r="M196" s="131" t="str">
        <f t="shared" si="32"/>
        <v/>
      </c>
      <c r="N196" s="132">
        <v>0</v>
      </c>
      <c r="O196" s="133">
        <f t="shared" si="33"/>
        <v>0</v>
      </c>
      <c r="P196" s="133">
        <f t="shared" si="34"/>
        <v>0</v>
      </c>
      <c r="Q196" s="131" t="str">
        <f t="shared" si="35"/>
        <v/>
      </c>
    </row>
    <row r="197" spans="1:17" ht="13">
      <c r="A197" s="126">
        <v>190</v>
      </c>
      <c r="B197" s="127"/>
      <c r="C197" s="128"/>
      <c r="D197" s="417"/>
      <c r="E197" s="418"/>
      <c r="F197" s="129">
        <v>0</v>
      </c>
      <c r="G197" s="337"/>
      <c r="H197" s="337"/>
      <c r="I197" s="337"/>
      <c r="J197" s="337"/>
      <c r="K197" s="336">
        <f t="shared" si="30"/>
        <v>0</v>
      </c>
      <c r="L197" s="130">
        <f t="shared" si="31"/>
        <v>0</v>
      </c>
      <c r="M197" s="131" t="str">
        <f t="shared" si="32"/>
        <v/>
      </c>
      <c r="N197" s="132">
        <v>0</v>
      </c>
      <c r="O197" s="133">
        <f t="shared" si="33"/>
        <v>0</v>
      </c>
      <c r="P197" s="133">
        <f t="shared" si="34"/>
        <v>0</v>
      </c>
      <c r="Q197" s="131" t="str">
        <f t="shared" si="35"/>
        <v/>
      </c>
    </row>
    <row r="198" spans="1:17" ht="13">
      <c r="A198" s="126">
        <v>191</v>
      </c>
      <c r="B198" s="127"/>
      <c r="C198" s="128"/>
      <c r="D198" s="417"/>
      <c r="E198" s="418"/>
      <c r="F198" s="129">
        <v>0</v>
      </c>
      <c r="G198" s="337"/>
      <c r="H198" s="337"/>
      <c r="I198" s="337"/>
      <c r="J198" s="337"/>
      <c r="K198" s="336">
        <f t="shared" si="30"/>
        <v>0</v>
      </c>
      <c r="L198" s="130">
        <f t="shared" si="31"/>
        <v>0</v>
      </c>
      <c r="M198" s="131" t="str">
        <f t="shared" si="32"/>
        <v/>
      </c>
      <c r="N198" s="132">
        <v>0</v>
      </c>
      <c r="O198" s="133">
        <f t="shared" si="33"/>
        <v>0</v>
      </c>
      <c r="P198" s="133">
        <f t="shared" si="34"/>
        <v>0</v>
      </c>
      <c r="Q198" s="131" t="str">
        <f t="shared" si="35"/>
        <v/>
      </c>
    </row>
    <row r="199" spans="1:17" ht="13">
      <c r="A199" s="126">
        <v>192</v>
      </c>
      <c r="B199" s="127"/>
      <c r="C199" s="128"/>
      <c r="D199" s="417"/>
      <c r="E199" s="418"/>
      <c r="F199" s="129">
        <v>0</v>
      </c>
      <c r="G199" s="337"/>
      <c r="H199" s="337"/>
      <c r="I199" s="337"/>
      <c r="J199" s="337"/>
      <c r="K199" s="336">
        <f t="shared" si="30"/>
        <v>0</v>
      </c>
      <c r="L199" s="130">
        <f t="shared" si="31"/>
        <v>0</v>
      </c>
      <c r="M199" s="131" t="str">
        <f t="shared" si="32"/>
        <v/>
      </c>
      <c r="N199" s="132">
        <v>0</v>
      </c>
      <c r="O199" s="133">
        <f t="shared" si="33"/>
        <v>0</v>
      </c>
      <c r="P199" s="133">
        <f t="shared" si="34"/>
        <v>0</v>
      </c>
      <c r="Q199" s="131" t="str">
        <f t="shared" si="35"/>
        <v/>
      </c>
    </row>
    <row r="200" spans="1:17" ht="13">
      <c r="A200" s="126">
        <v>193</v>
      </c>
      <c r="B200" s="127"/>
      <c r="C200" s="128"/>
      <c r="D200" s="417"/>
      <c r="E200" s="418"/>
      <c r="F200" s="129">
        <v>0</v>
      </c>
      <c r="G200" s="337"/>
      <c r="H200" s="337"/>
      <c r="I200" s="337"/>
      <c r="J200" s="337"/>
      <c r="K200" s="336">
        <f t="shared" ref="K200:K207" si="36">MAXA(G200:J200)</f>
        <v>0</v>
      </c>
      <c r="L200" s="130">
        <f t="shared" ref="L200:L207" si="37">F200*K200</f>
        <v>0</v>
      </c>
      <c r="M200" s="131" t="str">
        <f t="shared" ref="M200:M207" si="38">IF(L200&gt;0,RANK(L200,L$8:L$207),"")</f>
        <v/>
      </c>
      <c r="N200" s="132">
        <v>0</v>
      </c>
      <c r="O200" s="133">
        <f t="shared" ref="O200:O207" si="39">N200*SensibO</f>
        <v>0</v>
      </c>
      <c r="P200" s="133">
        <f t="shared" ref="P200:P207" si="40">F200*O200</f>
        <v>0</v>
      </c>
      <c r="Q200" s="131" t="str">
        <f t="shared" ref="Q200:Q207" si="41">IF(P200&gt;0,RANK(P200,OportPreVE,0),"")</f>
        <v/>
      </c>
    </row>
    <row r="201" spans="1:17" ht="13">
      <c r="A201" s="126">
        <v>194</v>
      </c>
      <c r="B201" s="127"/>
      <c r="C201" s="128"/>
      <c r="D201" s="417"/>
      <c r="E201" s="418"/>
      <c r="F201" s="129">
        <v>0</v>
      </c>
      <c r="G201" s="337"/>
      <c r="H201" s="337"/>
      <c r="I201" s="337"/>
      <c r="J201" s="337"/>
      <c r="K201" s="336">
        <f t="shared" si="36"/>
        <v>0</v>
      </c>
      <c r="L201" s="130">
        <f t="shared" si="37"/>
        <v>0</v>
      </c>
      <c r="M201" s="131" t="str">
        <f t="shared" si="38"/>
        <v/>
      </c>
      <c r="N201" s="132">
        <v>0</v>
      </c>
      <c r="O201" s="133">
        <f t="shared" si="39"/>
        <v>0</v>
      </c>
      <c r="P201" s="133">
        <f t="shared" si="40"/>
        <v>0</v>
      </c>
      <c r="Q201" s="131" t="str">
        <f t="shared" si="41"/>
        <v/>
      </c>
    </row>
    <row r="202" spans="1:17" ht="13">
      <c r="A202" s="126">
        <v>195</v>
      </c>
      <c r="B202" s="127"/>
      <c r="C202" s="128"/>
      <c r="D202" s="417"/>
      <c r="E202" s="418"/>
      <c r="F202" s="129">
        <v>0</v>
      </c>
      <c r="G202" s="337"/>
      <c r="H202" s="337"/>
      <c r="I202" s="337"/>
      <c r="J202" s="337"/>
      <c r="K202" s="336">
        <f t="shared" si="36"/>
        <v>0</v>
      </c>
      <c r="L202" s="130">
        <f t="shared" si="37"/>
        <v>0</v>
      </c>
      <c r="M202" s="131" t="str">
        <f t="shared" si="38"/>
        <v/>
      </c>
      <c r="N202" s="132">
        <v>0</v>
      </c>
      <c r="O202" s="133">
        <f t="shared" si="39"/>
        <v>0</v>
      </c>
      <c r="P202" s="133">
        <f t="shared" si="40"/>
        <v>0</v>
      </c>
      <c r="Q202" s="131" t="str">
        <f t="shared" si="41"/>
        <v/>
      </c>
    </row>
    <row r="203" spans="1:17" ht="13">
      <c r="A203" s="126">
        <v>196</v>
      </c>
      <c r="B203" s="127"/>
      <c r="C203" s="128"/>
      <c r="D203" s="417"/>
      <c r="E203" s="418"/>
      <c r="F203" s="129">
        <v>0</v>
      </c>
      <c r="G203" s="337"/>
      <c r="H203" s="337"/>
      <c r="I203" s="337"/>
      <c r="J203" s="337"/>
      <c r="K203" s="336">
        <f t="shared" si="36"/>
        <v>0</v>
      </c>
      <c r="L203" s="130">
        <f t="shared" si="37"/>
        <v>0</v>
      </c>
      <c r="M203" s="131" t="str">
        <f t="shared" si="38"/>
        <v/>
      </c>
      <c r="N203" s="132">
        <v>0</v>
      </c>
      <c r="O203" s="133">
        <f t="shared" si="39"/>
        <v>0</v>
      </c>
      <c r="P203" s="133">
        <f t="shared" si="40"/>
        <v>0</v>
      </c>
      <c r="Q203" s="131" t="str">
        <f t="shared" si="41"/>
        <v/>
      </c>
    </row>
    <row r="204" spans="1:17" ht="13">
      <c r="A204" s="126">
        <v>197</v>
      </c>
      <c r="B204" s="127"/>
      <c r="C204" s="128"/>
      <c r="D204" s="417"/>
      <c r="E204" s="418"/>
      <c r="F204" s="129">
        <v>0</v>
      </c>
      <c r="G204" s="337"/>
      <c r="H204" s="337"/>
      <c r="I204" s="337"/>
      <c r="J204" s="337"/>
      <c r="K204" s="336">
        <f t="shared" si="36"/>
        <v>0</v>
      </c>
      <c r="L204" s="130">
        <f t="shared" si="37"/>
        <v>0</v>
      </c>
      <c r="M204" s="131" t="str">
        <f t="shared" si="38"/>
        <v/>
      </c>
      <c r="N204" s="132">
        <v>0</v>
      </c>
      <c r="O204" s="133">
        <f t="shared" si="39"/>
        <v>0</v>
      </c>
      <c r="P204" s="133">
        <f t="shared" si="40"/>
        <v>0</v>
      </c>
      <c r="Q204" s="131" t="str">
        <f t="shared" si="41"/>
        <v/>
      </c>
    </row>
    <row r="205" spans="1:17" ht="13">
      <c r="A205" s="126">
        <v>198</v>
      </c>
      <c r="B205" s="127"/>
      <c r="C205" s="128"/>
      <c r="D205" s="417"/>
      <c r="E205" s="418"/>
      <c r="F205" s="129">
        <v>0</v>
      </c>
      <c r="G205" s="337"/>
      <c r="H205" s="337"/>
      <c r="I205" s="337"/>
      <c r="J205" s="337"/>
      <c r="K205" s="336">
        <f t="shared" si="36"/>
        <v>0</v>
      </c>
      <c r="L205" s="130">
        <f t="shared" si="37"/>
        <v>0</v>
      </c>
      <c r="M205" s="131" t="str">
        <f t="shared" si="38"/>
        <v/>
      </c>
      <c r="N205" s="132">
        <v>0</v>
      </c>
      <c r="O205" s="133">
        <f t="shared" si="39"/>
        <v>0</v>
      </c>
      <c r="P205" s="133">
        <f t="shared" si="40"/>
        <v>0</v>
      </c>
      <c r="Q205" s="131" t="str">
        <f t="shared" si="41"/>
        <v/>
      </c>
    </row>
    <row r="206" spans="1:17" ht="13">
      <c r="A206" s="126">
        <v>199</v>
      </c>
      <c r="B206" s="127"/>
      <c r="C206" s="128"/>
      <c r="D206" s="417"/>
      <c r="E206" s="418"/>
      <c r="F206" s="129">
        <v>0</v>
      </c>
      <c r="G206" s="337"/>
      <c r="H206" s="337"/>
      <c r="I206" s="337"/>
      <c r="J206" s="337"/>
      <c r="K206" s="336">
        <f t="shared" si="36"/>
        <v>0</v>
      </c>
      <c r="L206" s="130">
        <f t="shared" si="37"/>
        <v>0</v>
      </c>
      <c r="M206" s="131" t="str">
        <f t="shared" si="38"/>
        <v/>
      </c>
      <c r="N206" s="132">
        <v>0</v>
      </c>
      <c r="O206" s="133">
        <f t="shared" si="39"/>
        <v>0</v>
      </c>
      <c r="P206" s="133">
        <f t="shared" si="40"/>
        <v>0</v>
      </c>
      <c r="Q206" s="131" t="str">
        <f t="shared" si="41"/>
        <v/>
      </c>
    </row>
    <row r="207" spans="1:17" ht="13">
      <c r="A207" s="126">
        <v>200</v>
      </c>
      <c r="B207" s="127"/>
      <c r="C207" s="128"/>
      <c r="D207" s="417"/>
      <c r="E207" s="418"/>
      <c r="F207" s="129">
        <v>0</v>
      </c>
      <c r="G207" s="337"/>
      <c r="H207" s="337"/>
      <c r="I207" s="337"/>
      <c r="J207" s="337"/>
      <c r="K207" s="336">
        <f t="shared" si="36"/>
        <v>0</v>
      </c>
      <c r="L207" s="130">
        <f t="shared" si="37"/>
        <v>0</v>
      </c>
      <c r="M207" s="131" t="str">
        <f t="shared" si="38"/>
        <v/>
      </c>
      <c r="N207" s="132">
        <v>0</v>
      </c>
      <c r="O207" s="133">
        <f t="shared" si="39"/>
        <v>0</v>
      </c>
      <c r="P207" s="133">
        <f t="shared" si="40"/>
        <v>0</v>
      </c>
      <c r="Q207" s="131" t="str">
        <f t="shared" si="41"/>
        <v/>
      </c>
    </row>
    <row r="209" spans="1:106" s="14" customFormat="1" ht="13">
      <c r="A209" s="136" t="s">
        <v>28</v>
      </c>
      <c r="B209" s="137"/>
      <c r="C209" s="138" t="s">
        <v>13</v>
      </c>
      <c r="D209" s="139"/>
      <c r="E209" s="139"/>
      <c r="F209" s="138"/>
      <c r="G209" s="13"/>
      <c r="H209" s="13"/>
      <c r="I209" s="13"/>
      <c r="J209" s="13"/>
      <c r="K209" s="13"/>
      <c r="L209" s="138"/>
      <c r="M209" s="13"/>
      <c r="N209" s="13"/>
      <c r="O209" s="7"/>
      <c r="P209" s="9"/>
      <c r="Q209" s="9"/>
      <c r="R209" s="1"/>
      <c r="S209" s="1"/>
      <c r="T209" s="1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  <c r="DB209" s="9"/>
    </row>
    <row r="210" spans="1:106" s="14" customFormat="1">
      <c r="A210" s="7"/>
      <c r="B210" s="64"/>
      <c r="C210" s="138"/>
      <c r="D210" s="139"/>
      <c r="E210" s="139"/>
      <c r="F210" s="138"/>
      <c r="G210" s="13"/>
      <c r="H210" s="13"/>
      <c r="I210" s="13"/>
      <c r="J210" s="13"/>
      <c r="K210" s="13"/>
      <c r="L210" s="138"/>
      <c r="M210" s="13"/>
      <c r="N210" s="13"/>
      <c r="O210" s="7"/>
      <c r="P210" s="9"/>
      <c r="Q210" s="9"/>
      <c r="R210" s="1"/>
      <c r="S210" s="1"/>
      <c r="T210" s="1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  <c r="DB210" s="9"/>
    </row>
    <row r="211" spans="1:106" s="14" customFormat="1" ht="13">
      <c r="A211" s="136" t="s">
        <v>10</v>
      </c>
      <c r="B211" s="137"/>
      <c r="C211" s="138" t="s">
        <v>40</v>
      </c>
      <c r="D211" s="139"/>
      <c r="E211" s="139"/>
      <c r="F211" s="138"/>
      <c r="G211" s="138"/>
      <c r="H211" s="138"/>
      <c r="I211" s="138"/>
      <c r="J211" s="138"/>
      <c r="K211" s="138"/>
      <c r="L211" s="138"/>
      <c r="M211" s="13"/>
      <c r="N211" s="13"/>
      <c r="O211" s="7"/>
      <c r="P211" s="9"/>
      <c r="Q211" s="9"/>
      <c r="R211" s="1"/>
      <c r="S211" s="1"/>
      <c r="T211" s="1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L211" s="9"/>
      <c r="CM211" s="9"/>
      <c r="CN211" s="9"/>
      <c r="CO211" s="9"/>
      <c r="CP211" s="9"/>
      <c r="CQ211" s="9"/>
      <c r="CR211" s="9"/>
      <c r="CS211" s="9"/>
      <c r="CT211" s="9"/>
      <c r="CU211" s="9"/>
      <c r="CV211" s="9"/>
      <c r="CW211" s="9"/>
      <c r="CX211" s="9"/>
      <c r="CY211" s="9"/>
      <c r="CZ211" s="9"/>
      <c r="DA211" s="9"/>
      <c r="DB211" s="9"/>
    </row>
  </sheetData>
  <dataConsolidate/>
  <mergeCells count="202">
    <mergeCell ref="D13:E13"/>
    <mergeCell ref="D14:E14"/>
    <mergeCell ref="D15:E15"/>
    <mergeCell ref="D16:E16"/>
    <mergeCell ref="D17:E17"/>
    <mergeCell ref="D18:E18"/>
    <mergeCell ref="D6:E6"/>
    <mergeCell ref="D8:E8"/>
    <mergeCell ref="D9:E9"/>
    <mergeCell ref="D10:E10"/>
    <mergeCell ref="D11:E11"/>
    <mergeCell ref="D12:E12"/>
    <mergeCell ref="D7:E7"/>
    <mergeCell ref="D25:E25"/>
    <mergeCell ref="D26:E26"/>
    <mergeCell ref="D27:E27"/>
    <mergeCell ref="D28:E28"/>
    <mergeCell ref="D29:E29"/>
    <mergeCell ref="D30:E30"/>
    <mergeCell ref="D19:E19"/>
    <mergeCell ref="D20:E20"/>
    <mergeCell ref="D21:E21"/>
    <mergeCell ref="D22:E22"/>
    <mergeCell ref="D23:E23"/>
    <mergeCell ref="D24:E24"/>
    <mergeCell ref="D37:E37"/>
    <mergeCell ref="D38:E38"/>
    <mergeCell ref="D39:E39"/>
    <mergeCell ref="D40:E40"/>
    <mergeCell ref="D41:E41"/>
    <mergeCell ref="D42:E42"/>
    <mergeCell ref="D31:E31"/>
    <mergeCell ref="D32:E32"/>
    <mergeCell ref="D33:E33"/>
    <mergeCell ref="D34:E34"/>
    <mergeCell ref="D35:E35"/>
    <mergeCell ref="D36:E36"/>
    <mergeCell ref="D49:E49"/>
    <mergeCell ref="D50:E50"/>
    <mergeCell ref="D51:E51"/>
    <mergeCell ref="D52:E52"/>
    <mergeCell ref="D53:E53"/>
    <mergeCell ref="D54:E54"/>
    <mergeCell ref="D43:E43"/>
    <mergeCell ref="D44:E44"/>
    <mergeCell ref="D45:E45"/>
    <mergeCell ref="D46:E46"/>
    <mergeCell ref="D47:E47"/>
    <mergeCell ref="D48:E48"/>
    <mergeCell ref="D61:E61"/>
    <mergeCell ref="D62:E62"/>
    <mergeCell ref="D63:E63"/>
    <mergeCell ref="D64:E64"/>
    <mergeCell ref="D65:E65"/>
    <mergeCell ref="D66:E66"/>
    <mergeCell ref="D55:E55"/>
    <mergeCell ref="D56:E56"/>
    <mergeCell ref="D57:E57"/>
    <mergeCell ref="D58:E58"/>
    <mergeCell ref="D59:E59"/>
    <mergeCell ref="D60:E60"/>
    <mergeCell ref="D73:E73"/>
    <mergeCell ref="D74:E74"/>
    <mergeCell ref="D75:E75"/>
    <mergeCell ref="D76:E76"/>
    <mergeCell ref="D77:E77"/>
    <mergeCell ref="D78:E78"/>
    <mergeCell ref="D67:E67"/>
    <mergeCell ref="D68:E68"/>
    <mergeCell ref="D69:E69"/>
    <mergeCell ref="D70:E70"/>
    <mergeCell ref="D71:E71"/>
    <mergeCell ref="D72:E72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109:E109"/>
    <mergeCell ref="D110:E110"/>
    <mergeCell ref="D111:E111"/>
    <mergeCell ref="D112:E112"/>
    <mergeCell ref="D113:E113"/>
    <mergeCell ref="D114:E114"/>
    <mergeCell ref="D103:E103"/>
    <mergeCell ref="D104:E104"/>
    <mergeCell ref="D105:E105"/>
    <mergeCell ref="D106:E106"/>
    <mergeCell ref="D107:E107"/>
    <mergeCell ref="D108:E108"/>
    <mergeCell ref="D121:E121"/>
    <mergeCell ref="D122:E122"/>
    <mergeCell ref="D123:E123"/>
    <mergeCell ref="D124:E124"/>
    <mergeCell ref="D125:E125"/>
    <mergeCell ref="D126:E126"/>
    <mergeCell ref="D115:E115"/>
    <mergeCell ref="D116:E116"/>
    <mergeCell ref="D117:E117"/>
    <mergeCell ref="D118:E118"/>
    <mergeCell ref="D119:E119"/>
    <mergeCell ref="D120:E120"/>
    <mergeCell ref="D133:E133"/>
    <mergeCell ref="D134:E134"/>
    <mergeCell ref="D135:E135"/>
    <mergeCell ref="D136:E136"/>
    <mergeCell ref="D137:E137"/>
    <mergeCell ref="D138:E138"/>
    <mergeCell ref="D127:E127"/>
    <mergeCell ref="D128:E128"/>
    <mergeCell ref="D129:E129"/>
    <mergeCell ref="D130:E130"/>
    <mergeCell ref="D131:E131"/>
    <mergeCell ref="D132:E132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D157:E157"/>
    <mergeCell ref="D158:E158"/>
    <mergeCell ref="D159:E159"/>
    <mergeCell ref="D160:E160"/>
    <mergeCell ref="D161:E161"/>
    <mergeCell ref="D162:E162"/>
    <mergeCell ref="D151:E151"/>
    <mergeCell ref="D152:E152"/>
    <mergeCell ref="D153:E153"/>
    <mergeCell ref="D154:E154"/>
    <mergeCell ref="D155:E155"/>
    <mergeCell ref="D156:E156"/>
    <mergeCell ref="D169:E169"/>
    <mergeCell ref="D170:E170"/>
    <mergeCell ref="D171:E171"/>
    <mergeCell ref="D172:E172"/>
    <mergeCell ref="D173:E173"/>
    <mergeCell ref="D174:E174"/>
    <mergeCell ref="D163:E163"/>
    <mergeCell ref="D164:E164"/>
    <mergeCell ref="D165:E165"/>
    <mergeCell ref="D166:E166"/>
    <mergeCell ref="D167:E167"/>
    <mergeCell ref="D168:E168"/>
    <mergeCell ref="D181:E181"/>
    <mergeCell ref="D182:E182"/>
    <mergeCell ref="D183:E183"/>
    <mergeCell ref="D184:E184"/>
    <mergeCell ref="D185:E185"/>
    <mergeCell ref="D186:E186"/>
    <mergeCell ref="D175:E175"/>
    <mergeCell ref="D176:E176"/>
    <mergeCell ref="D177:E177"/>
    <mergeCell ref="D178:E178"/>
    <mergeCell ref="D179:E179"/>
    <mergeCell ref="D180:E180"/>
    <mergeCell ref="D193:E193"/>
    <mergeCell ref="D194:E194"/>
    <mergeCell ref="D195:E195"/>
    <mergeCell ref="D196:E196"/>
    <mergeCell ref="D197:E197"/>
    <mergeCell ref="D198:E198"/>
    <mergeCell ref="D187:E187"/>
    <mergeCell ref="D188:E188"/>
    <mergeCell ref="D189:E189"/>
    <mergeCell ref="D190:E190"/>
    <mergeCell ref="D191:E191"/>
    <mergeCell ref="D192:E192"/>
    <mergeCell ref="D205:E205"/>
    <mergeCell ref="D206:E206"/>
    <mergeCell ref="D207:E207"/>
    <mergeCell ref="D199:E199"/>
    <mergeCell ref="D200:E200"/>
    <mergeCell ref="D201:E201"/>
    <mergeCell ref="D202:E202"/>
    <mergeCell ref="D203:E203"/>
    <mergeCell ref="D204:E204"/>
  </mergeCells>
  <phoneticPr fontId="0" type="noConversion"/>
  <conditionalFormatting sqref="L8:L207">
    <cfRule type="cellIs" dxfId="403" priority="7" stopIfTrue="1" operator="equal">
      <formula>0</formula>
    </cfRule>
  </conditionalFormatting>
  <conditionalFormatting sqref="L8:L207">
    <cfRule type="cellIs" dxfId="402" priority="9" stopIfTrue="1" operator="between">
      <formula>0.0001</formula>
      <formula>$T$4</formula>
    </cfRule>
    <cfRule type="cellIs" dxfId="401" priority="10" stopIfTrue="1" operator="between">
      <formula>$T$4</formula>
      <formula>$T$5</formula>
    </cfRule>
    <cfRule type="cellIs" dxfId="400" priority="11" operator="greaterThan">
      <formula>$T$5</formula>
    </cfRule>
  </conditionalFormatting>
  <dataValidations count="1">
    <dataValidation type="list" allowBlank="1" showInputMessage="1" showErrorMessage="1" sqref="G8:J207" xr:uid="{00000000-0002-0000-0300-000000000000}">
      <formula1>$U$1:$U$5</formula1>
    </dataValidation>
  </dataValidations>
  <pageMargins left="0.78740157499999996" right="0.78740157499999996" top="0.984251969" bottom="0.984251969" header="0.49212598499999999" footer="0.49212598499999999"/>
  <pageSetup paperSize="9" scale="75" orientation="landscape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Botao1">
              <controlPr defaultSize="0" print="0" autoFill="0" autoPict="0" macro="[0]!Classifica_rank_oport">
                <anchor moveWithCells="1" sizeWithCells="1">
                  <from>
                    <xdr:col>12</xdr:col>
                    <xdr:colOff>76200</xdr:colOff>
                    <xdr:row>3</xdr:row>
                    <xdr:rowOff>76200</xdr:rowOff>
                  </from>
                  <to>
                    <xdr:col>12</xdr:col>
                    <xdr:colOff>679450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F12"/>
  <sheetViews>
    <sheetView workbookViewId="0">
      <selection activeCell="B10" sqref="B10"/>
    </sheetView>
  </sheetViews>
  <sheetFormatPr defaultColWidth="9.09765625" defaultRowHeight="12.5"/>
  <cols>
    <col min="1" max="1" width="37.3984375" style="7" customWidth="1"/>
    <col min="2" max="2" width="24.8984375" style="7" customWidth="1"/>
    <col min="3" max="3" width="15.8984375" style="7" bestFit="1" customWidth="1"/>
    <col min="4" max="4" width="29.09765625" style="7" customWidth="1"/>
    <col min="5" max="5" width="23" style="7" customWidth="1"/>
    <col min="6" max="6" width="6" style="28" customWidth="1"/>
    <col min="7" max="16384" width="9.09765625" style="1"/>
  </cols>
  <sheetData>
    <row r="1" spans="1:6" ht="18">
      <c r="A1" s="141" t="s">
        <v>138</v>
      </c>
      <c r="B1" s="143"/>
      <c r="C1" s="143"/>
      <c r="D1" s="143"/>
      <c r="E1" s="96"/>
    </row>
    <row r="2" spans="1:6" s="15" customFormat="1" ht="14">
      <c r="A2" s="174" t="s">
        <v>0</v>
      </c>
      <c r="B2" s="81" t="str">
        <f>Abertura!B6</f>
        <v>Projeto Realização do Churrasco da Turma</v>
      </c>
      <c r="C2" s="81"/>
      <c r="D2" s="175">
        <f>Abertura!B9</f>
        <v>45277</v>
      </c>
      <c r="E2" s="176" t="s">
        <v>10</v>
      </c>
      <c r="F2" s="29"/>
    </row>
    <row r="3" spans="1:6" s="15" customFormat="1" ht="14">
      <c r="A3" s="174" t="s">
        <v>14</v>
      </c>
      <c r="B3" s="81" t="str">
        <f>Abertura!B7</f>
        <v>Turma MBA GP18</v>
      </c>
      <c r="C3" s="81"/>
      <c r="D3" s="94" t="s">
        <v>55</v>
      </c>
      <c r="E3" s="177">
        <f>Sensib</f>
        <v>1</v>
      </c>
      <c r="F3" s="30"/>
    </row>
    <row r="4" spans="1:6" s="15" customFormat="1" ht="14">
      <c r="A4" s="178" t="s">
        <v>15</v>
      </c>
      <c r="B4" s="179" t="str">
        <f>Abertura!B8</f>
        <v>Vicente</v>
      </c>
      <c r="C4" s="179"/>
      <c r="D4" s="180" t="s">
        <v>56</v>
      </c>
      <c r="E4" s="181">
        <f>SensibO</f>
        <v>1</v>
      </c>
      <c r="F4" s="31"/>
    </row>
    <row r="5" spans="1:6" s="15" customFormat="1" ht="14">
      <c r="A5" s="32"/>
      <c r="B5" s="32"/>
      <c r="C5" s="32"/>
      <c r="D5" s="33"/>
      <c r="E5" s="33"/>
      <c r="F5" s="31"/>
    </row>
    <row r="6" spans="1:6" s="34" customFormat="1" ht="14">
      <c r="A6" s="182" t="str">
        <f>Abertura!$B$12</f>
        <v>Análise por Custos</v>
      </c>
      <c r="B6" s="183" t="s">
        <v>57</v>
      </c>
      <c r="C6" s="184" t="s">
        <v>69</v>
      </c>
      <c r="D6" s="185" t="s">
        <v>19</v>
      </c>
      <c r="E6" s="186"/>
      <c r="F6" s="32"/>
    </row>
    <row r="7" spans="1:6" s="15" customFormat="1" ht="14">
      <c r="A7" s="191" t="s">
        <v>34</v>
      </c>
      <c r="B7" s="192">
        <f>Abertura!B13</f>
        <v>7000</v>
      </c>
      <c r="C7" s="193">
        <v>1</v>
      </c>
      <c r="D7" s="194" t="s">
        <v>20</v>
      </c>
      <c r="E7" s="195"/>
      <c r="F7" s="29"/>
    </row>
    <row r="8" spans="1:6" s="15" customFormat="1" ht="14">
      <c r="A8" s="191" t="s">
        <v>21</v>
      </c>
      <c r="B8" s="192">
        <f>'Ameacas-Pré'!P5 * Abertura!N12</f>
        <v>13545</v>
      </c>
      <c r="C8" s="193">
        <f>B8/B7</f>
        <v>1.9350000000000001</v>
      </c>
      <c r="D8" s="196" t="s">
        <v>142</v>
      </c>
      <c r="E8" s="197"/>
      <c r="F8" s="29"/>
    </row>
    <row r="9" spans="1:6" s="15" customFormat="1" ht="14.5" thickBot="1">
      <c r="A9" s="191" t="s">
        <v>22</v>
      </c>
      <c r="B9" s="192">
        <f>-'Oport-Pré'!P5  * Abertura!N12</f>
        <v>-2750</v>
      </c>
      <c r="C9" s="193">
        <f>B9/B7</f>
        <v>-0.39285714285714285</v>
      </c>
      <c r="D9" s="196" t="s">
        <v>142</v>
      </c>
      <c r="E9" s="198"/>
      <c r="F9" s="29"/>
    </row>
    <row r="10" spans="1:6" s="15" customFormat="1" ht="14.5" thickBot="1">
      <c r="A10" s="187" t="s">
        <v>139</v>
      </c>
      <c r="B10" s="188">
        <f>SUM(B7:B9)</f>
        <v>17795</v>
      </c>
      <c r="C10" s="189">
        <f>B10/B7-C7</f>
        <v>1.5421428571428573</v>
      </c>
      <c r="D10" s="190"/>
      <c r="E10" s="342" t="s">
        <v>58</v>
      </c>
      <c r="F10" s="29"/>
    </row>
    <row r="11" spans="1:6" s="15" customFormat="1" ht="14">
      <c r="A11" s="191" t="s">
        <v>172</v>
      </c>
      <c r="B11" s="192">
        <f>B7-(E11*Abertura!N12)</f>
        <v>3500</v>
      </c>
      <c r="C11" s="193">
        <f>B11/B7-C7</f>
        <v>-0.5</v>
      </c>
      <c r="D11" s="340" t="s">
        <v>59</v>
      </c>
      <c r="E11" s="343">
        <f>'Oport-Pré'!O5</f>
        <v>3500</v>
      </c>
      <c r="F11" s="29"/>
    </row>
    <row r="12" spans="1:6" s="15" customFormat="1" ht="14.5" thickBot="1">
      <c r="A12" s="191" t="s">
        <v>173</v>
      </c>
      <c r="B12" s="192">
        <f>B7+(E12*Abertura!N12)</f>
        <v>37450</v>
      </c>
      <c r="C12" s="193">
        <f>B12/B7-C7</f>
        <v>4.3499999999999996</v>
      </c>
      <c r="D12" s="341" t="s">
        <v>60</v>
      </c>
      <c r="E12" s="344">
        <f>'Ameacas-Pré'!O5</f>
        <v>30450</v>
      </c>
      <c r="F12" s="29"/>
    </row>
  </sheetData>
  <phoneticPr fontId="0" type="noConversion"/>
  <pageMargins left="0.78740157499999996" right="0.78740157499999996" top="0.984251969" bottom="0.984251969" header="0.49212598499999999" footer="0.49212598499999999"/>
  <pageSetup paperSize="9" orientation="landscape" horizontalDpi="360" vertic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7"/>
  <dimension ref="A1:BO1059"/>
  <sheetViews>
    <sheetView zoomScale="70" zoomScaleNormal="70" workbookViewId="0">
      <pane ySplit="10" topLeftCell="A11" activePane="bottomLeft" state="frozen"/>
      <selection pane="bottomLeft" activeCell="G15" sqref="G15"/>
    </sheetView>
  </sheetViews>
  <sheetFormatPr defaultColWidth="9.09765625" defaultRowHeight="12.5"/>
  <cols>
    <col min="1" max="1" width="5" style="7" customWidth="1"/>
    <col min="2" max="2" width="12.296875" style="64" customWidth="1"/>
    <col min="3" max="3" width="16.3984375" style="7" customWidth="1"/>
    <col min="4" max="4" width="31.3984375" style="6" customWidth="1"/>
    <col min="5" max="5" width="20.3984375" style="6" customWidth="1"/>
    <col min="6" max="6" width="13.296875" style="400" customWidth="1"/>
    <col min="7" max="7" width="80.59765625" style="7" bestFit="1" customWidth="1"/>
    <col min="8" max="8" width="13.3984375" style="40" customWidth="1"/>
    <col min="9" max="9" width="12.296875" style="7" customWidth="1"/>
    <col min="10" max="10" width="10.3984375" style="12" customWidth="1"/>
    <col min="11" max="11" width="15.8984375" style="12" customWidth="1"/>
    <col min="12" max="12" width="15.296875" style="12" customWidth="1"/>
    <col min="13" max="13" width="30.09765625" style="7" customWidth="1"/>
    <col min="14" max="14" width="12.69921875" style="7" customWidth="1"/>
    <col min="15" max="15" width="46.3984375" style="7" customWidth="1"/>
    <col min="16" max="17" width="9.09765625" style="1"/>
    <col min="18" max="18" width="15" style="1" customWidth="1"/>
    <col min="19" max="19" width="11.3984375" style="1" customWidth="1"/>
    <col min="20" max="16384" width="9.09765625" style="1"/>
  </cols>
  <sheetData>
    <row r="1" spans="1:67" ht="18">
      <c r="A1" s="141" t="s">
        <v>143</v>
      </c>
      <c r="B1" s="142"/>
      <c r="C1" s="143"/>
      <c r="D1" s="144"/>
      <c r="E1" s="91"/>
      <c r="F1" s="393"/>
      <c r="G1" s="146"/>
      <c r="H1" s="119"/>
      <c r="I1" s="96"/>
      <c r="J1" s="119" t="s">
        <v>11</v>
      </c>
      <c r="K1" s="146"/>
      <c r="L1" s="119"/>
      <c r="M1" s="146"/>
      <c r="N1" s="96"/>
      <c r="O1" s="145"/>
      <c r="R1" s="425" t="s">
        <v>39</v>
      </c>
      <c r="S1" s="425"/>
    </row>
    <row r="2" spans="1:67" ht="13">
      <c r="A2" s="98"/>
      <c r="B2" s="89"/>
      <c r="C2" s="147" t="s">
        <v>0</v>
      </c>
      <c r="D2" s="96" t="str">
        <f>Abertura!B6</f>
        <v>Projeto Realização do Churrasco da Turma</v>
      </c>
      <c r="E2" s="96"/>
      <c r="F2" s="393"/>
      <c r="G2" s="89"/>
      <c r="H2" s="199"/>
      <c r="I2" s="89"/>
      <c r="J2" s="200"/>
      <c r="K2" s="200"/>
      <c r="L2" s="200"/>
      <c r="M2" s="89"/>
      <c r="N2" s="89"/>
      <c r="O2" s="89"/>
      <c r="R2" s="36"/>
      <c r="S2" s="36"/>
    </row>
    <row r="3" spans="1:67" ht="13">
      <c r="A3" s="98"/>
      <c r="B3" s="89"/>
      <c r="C3" s="147" t="s">
        <v>14</v>
      </c>
      <c r="D3" s="96" t="str">
        <f>Abertura!B7</f>
        <v>Turma MBA GP18</v>
      </c>
      <c r="E3" s="96"/>
      <c r="F3" s="393"/>
      <c r="G3" s="96"/>
      <c r="H3" s="89">
        <f>Abertura!B9</f>
        <v>45277</v>
      </c>
      <c r="I3" s="96"/>
      <c r="J3" s="119"/>
      <c r="K3" s="119"/>
      <c r="L3" s="119"/>
      <c r="M3" s="96"/>
      <c r="N3" s="96"/>
      <c r="O3" s="96"/>
      <c r="R3" s="36" t="s">
        <v>62</v>
      </c>
      <c r="S3" s="36"/>
    </row>
    <row r="4" spans="1:67" ht="13">
      <c r="A4" s="103"/>
      <c r="B4" s="148"/>
      <c r="C4" s="121" t="s">
        <v>15</v>
      </c>
      <c r="D4" s="105" t="str">
        <f>Abertura!B8</f>
        <v>Vicente</v>
      </c>
      <c r="E4" s="105"/>
      <c r="F4" s="394"/>
      <c r="G4" s="125"/>
      <c r="H4" s="105" t="s">
        <v>145</v>
      </c>
      <c r="I4" s="125"/>
      <c r="J4" s="125"/>
      <c r="K4" s="125"/>
      <c r="L4" s="125"/>
      <c r="M4" s="125"/>
      <c r="N4" s="125"/>
      <c r="O4" s="125"/>
      <c r="R4" s="36" t="s">
        <v>63</v>
      </c>
      <c r="S4" s="36"/>
    </row>
    <row r="5" spans="1:67" s="12" customFormat="1" ht="13">
      <c r="A5" s="37"/>
      <c r="B5" s="62"/>
      <c r="C5" s="37"/>
      <c r="D5" s="38"/>
      <c r="E5" s="38"/>
      <c r="F5" s="395"/>
      <c r="G5" s="39"/>
      <c r="H5" s="39"/>
      <c r="I5" s="39"/>
      <c r="J5" s="1"/>
      <c r="K5" s="1"/>
      <c r="L5" s="1"/>
      <c r="M5" s="39"/>
      <c r="N5" s="39"/>
      <c r="O5" s="39"/>
      <c r="P5" s="1"/>
      <c r="Q5" s="1"/>
      <c r="R5" s="36" t="s">
        <v>38</v>
      </c>
      <c r="S5" s="36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</row>
    <row r="6" spans="1:67" s="65" customFormat="1" ht="14">
      <c r="A6" s="201" t="s">
        <v>144</v>
      </c>
      <c r="B6" s="202"/>
      <c r="C6" s="203"/>
      <c r="D6" s="204"/>
      <c r="E6" s="205"/>
      <c r="F6" s="396">
        <f>SUM(F11:F210)</f>
        <v>13545</v>
      </c>
      <c r="G6" s="207"/>
      <c r="H6" s="208"/>
      <c r="I6" s="206">
        <f>SUM(I11:I210)</f>
        <v>1750</v>
      </c>
      <c r="J6" s="348" t="s">
        <v>11</v>
      </c>
      <c r="K6" s="368">
        <f>SUM(K11:K210)</f>
        <v>15750</v>
      </c>
      <c r="L6" s="368">
        <f>SUM(L11:L210)</f>
        <v>3797.5</v>
      </c>
      <c r="M6" s="207"/>
      <c r="N6" s="206">
        <f>SUM(N11:N210)</f>
        <v>0</v>
      </c>
      <c r="O6" s="206"/>
      <c r="R6" s="69" t="s">
        <v>64</v>
      </c>
      <c r="S6" s="66"/>
    </row>
    <row r="7" spans="1:67" ht="13">
      <c r="A7" s="59"/>
      <c r="B7" s="63"/>
      <c r="C7" s="59"/>
      <c r="D7" s="38"/>
      <c r="E7" s="38"/>
      <c r="F7" s="397"/>
      <c r="G7" s="366" t="s">
        <v>184</v>
      </c>
      <c r="H7" s="367"/>
      <c r="I7" s="60"/>
      <c r="J7" s="366" t="s">
        <v>183</v>
      </c>
      <c r="K7" s="365"/>
      <c r="L7" s="364"/>
      <c r="M7" s="61"/>
      <c r="N7" s="60"/>
      <c r="O7" s="60"/>
      <c r="R7" s="36" t="s">
        <v>83</v>
      </c>
      <c r="S7" s="36"/>
    </row>
    <row r="8" spans="1:67" s="12" customFormat="1" ht="18">
      <c r="A8" s="209" t="s">
        <v>23</v>
      </c>
      <c r="B8" s="210"/>
      <c r="C8" s="96"/>
      <c r="D8" s="211" t="s">
        <v>148</v>
      </c>
      <c r="E8" s="91"/>
      <c r="F8" s="393"/>
      <c r="G8" s="212" t="s">
        <v>151</v>
      </c>
      <c r="H8" s="119"/>
      <c r="I8" s="119"/>
      <c r="J8" s="345"/>
      <c r="K8" s="346" t="s">
        <v>174</v>
      </c>
      <c r="L8" s="347"/>
      <c r="M8" s="201" t="s">
        <v>200</v>
      </c>
      <c r="N8" s="119"/>
      <c r="O8" s="119"/>
      <c r="P8" s="1"/>
      <c r="Q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</row>
    <row r="9" spans="1:67" ht="13">
      <c r="A9" s="213" t="s">
        <v>1</v>
      </c>
      <c r="B9" s="214" t="s">
        <v>32</v>
      </c>
      <c r="C9" s="215" t="s">
        <v>2</v>
      </c>
      <c r="D9" s="428" t="s">
        <v>50</v>
      </c>
      <c r="E9" s="429"/>
      <c r="F9" s="217" t="s">
        <v>29</v>
      </c>
      <c r="G9" s="426" t="s">
        <v>147</v>
      </c>
      <c r="H9" s="426" t="s">
        <v>61</v>
      </c>
      <c r="I9" s="218" t="s">
        <v>36</v>
      </c>
      <c r="J9" s="348" t="s">
        <v>6</v>
      </c>
      <c r="K9" s="349" t="s">
        <v>3</v>
      </c>
      <c r="L9" s="349" t="s">
        <v>29</v>
      </c>
      <c r="M9" s="426" t="s">
        <v>147</v>
      </c>
      <c r="N9" s="218" t="s">
        <v>36</v>
      </c>
      <c r="O9" s="431" t="s">
        <v>19</v>
      </c>
    </row>
    <row r="10" spans="1:67" ht="13">
      <c r="A10" s="121"/>
      <c r="B10" s="219" t="s">
        <v>33</v>
      </c>
      <c r="C10" s="123"/>
      <c r="D10" s="432" t="s">
        <v>195</v>
      </c>
      <c r="E10" s="433"/>
      <c r="F10" s="220" t="s">
        <v>9</v>
      </c>
      <c r="G10" s="427"/>
      <c r="H10" s="427"/>
      <c r="I10" s="221" t="s">
        <v>146</v>
      </c>
      <c r="J10" s="350" t="s">
        <v>7</v>
      </c>
      <c r="K10" s="351"/>
      <c r="L10" s="351" t="s">
        <v>9</v>
      </c>
      <c r="M10" s="430"/>
      <c r="N10" s="221" t="s">
        <v>182</v>
      </c>
      <c r="O10" s="427"/>
    </row>
    <row r="11" spans="1:67" s="402" customFormat="1" ht="56.25" customHeight="1">
      <c r="A11" s="126">
        <f>'Ameacas-Pré'!A8</f>
        <v>1</v>
      </c>
      <c r="B11" s="401" t="str">
        <f>IF(('Ameacas-Pré'!B8)&gt;0,'Ameacas-Pré'!B8,"")</f>
        <v/>
      </c>
      <c r="C11" s="233" t="str">
        <f>IF(('Ameacas-Pré'!C8)&gt;0,'Ameacas-Pré'!C8,"")</f>
        <v>Externo</v>
      </c>
      <c r="D11" s="434" t="str">
        <f>IF(('Ameacas-Pré'!D8)&gt;0,'Ameacas-Pré'!D8,"")</f>
        <v>Dificuldade de acesso ao local - Temporal não esperado no período, ocasionando no cancelamento do churrasco</v>
      </c>
      <c r="E11" s="418"/>
      <c r="F11" s="398">
        <f>IF(('Ameacas-Pré'!F8)&gt;0,'Ameacas-Pré'!P8,"")</f>
        <v>2100</v>
      </c>
      <c r="G11" s="226" t="s">
        <v>236</v>
      </c>
      <c r="H11" s="227" t="s">
        <v>83</v>
      </c>
      <c r="I11" s="228">
        <v>1500</v>
      </c>
      <c r="J11" s="129">
        <v>0</v>
      </c>
      <c r="K11" s="132" t="str">
        <f>IF(J11=0,"0",'Ameacas-Pré'!O8)</f>
        <v>0</v>
      </c>
      <c r="L11" s="229">
        <f>J11*K11</f>
        <v>0</v>
      </c>
      <c r="M11" s="321"/>
      <c r="N11" s="228">
        <v>0</v>
      </c>
      <c r="O11" s="228"/>
    </row>
    <row r="12" spans="1:67" s="402" customFormat="1" ht="58" customHeight="1">
      <c r="A12" s="126">
        <f>'Ameacas-Pré'!A9</f>
        <v>2</v>
      </c>
      <c r="B12" s="401" t="str">
        <f>IF(('Ameacas-Pré'!B9)&gt;0,'Ameacas-Pré'!B9,"")</f>
        <v/>
      </c>
      <c r="C12" s="233" t="str">
        <f>IF(('Ameacas-Pré'!C9)&gt;0,'Ameacas-Pré'!C9,"")</f>
        <v>Externo</v>
      </c>
      <c r="D12" s="434" t="str">
        <f>IF(('Ameacas-Pré'!D9)&gt;0,'Ameacas-Pré'!D9,"")</f>
        <v>Aumento do custo do churrasco - Aumento do valor do churrasqueiro, ocasionando baixa adesão</v>
      </c>
      <c r="E12" s="418"/>
      <c r="F12" s="398">
        <f>IF(('Ameacas-Pré'!F9)&gt;0,'Ameacas-Pré'!P9,"")</f>
        <v>1750</v>
      </c>
      <c r="G12" s="226" t="s">
        <v>229</v>
      </c>
      <c r="H12" s="227" t="s">
        <v>83</v>
      </c>
      <c r="I12" s="228">
        <v>0</v>
      </c>
      <c r="J12" s="129">
        <v>0</v>
      </c>
      <c r="K12" s="132" t="str">
        <f>IF(J12=0,"0",'Ameacas-Pré'!O9)</f>
        <v>0</v>
      </c>
      <c r="L12" s="229">
        <f>J12*K12</f>
        <v>0</v>
      </c>
      <c r="M12" s="226"/>
      <c r="N12" s="228">
        <v>0</v>
      </c>
      <c r="O12" s="228"/>
    </row>
    <row r="13" spans="1:67" s="402" customFormat="1" ht="98" customHeight="1">
      <c r="A13" s="126">
        <f>'Ameacas-Pré'!A10</f>
        <v>3</v>
      </c>
      <c r="B13" s="401" t="str">
        <f>IF(('Ameacas-Pré'!B10)&gt;0,'Ameacas-Pré'!B10,"")</f>
        <v/>
      </c>
      <c r="C13" s="233" t="str">
        <f>IF(('Ameacas-Pré'!C10)&gt;0,'Ameacas-Pré'!C10,"")</f>
        <v>Técnico</v>
      </c>
      <c r="D13" s="434" t="str">
        <f>IF(('Ameacas-Pré'!D10)&gt;0,'Ameacas-Pré'!D10,"")</f>
        <v>Reclamações - Comida insuficiente, ocasionando na insatisfação dos participantes</v>
      </c>
      <c r="E13" s="418"/>
      <c r="F13" s="398">
        <f>IF(('Ameacas-Pré'!F10)&gt;0,'Ameacas-Pré'!P10,"")</f>
        <v>210</v>
      </c>
      <c r="G13" s="226" t="s">
        <v>237</v>
      </c>
      <c r="H13" s="227" t="s">
        <v>38</v>
      </c>
      <c r="I13" s="228">
        <v>0</v>
      </c>
      <c r="J13" s="129">
        <v>0.1</v>
      </c>
      <c r="K13" s="132">
        <f>IF(J13=0,"0",'Ameacas-Pré'!O10)</f>
        <v>700</v>
      </c>
      <c r="L13" s="229">
        <f>J13*K13</f>
        <v>70</v>
      </c>
      <c r="M13" s="226"/>
      <c r="N13" s="228">
        <v>0</v>
      </c>
      <c r="O13" s="228"/>
    </row>
    <row r="14" spans="1:67" s="402" customFormat="1" ht="118" customHeight="1">
      <c r="A14" s="126">
        <f>'Ameacas-Pré'!A11</f>
        <v>4</v>
      </c>
      <c r="B14" s="401" t="str">
        <f>IF(('Ameacas-Pré'!B11)&gt;0,'Ameacas-Pré'!B11,"")</f>
        <v/>
      </c>
      <c r="C14" s="233" t="str">
        <f>IF(('Ameacas-Pré'!C11)&gt;0,'Ameacas-Pré'!C11,"")</f>
        <v>Técnico</v>
      </c>
      <c r="D14" s="434" t="str">
        <f>IF(('Ameacas-Pré'!D11)&gt;0,'Ameacas-Pré'!D11,"")</f>
        <v>Reclamações - Playlist inadequada, gerando insatisfação dos participantes</v>
      </c>
      <c r="E14" s="418"/>
      <c r="F14" s="398">
        <f>IF(('Ameacas-Pré'!F11)&gt;0,'Ameacas-Pré'!P11,"")</f>
        <v>315</v>
      </c>
      <c r="G14" s="226" t="s">
        <v>238</v>
      </c>
      <c r="H14" s="227" t="s">
        <v>38</v>
      </c>
      <c r="I14" s="228">
        <v>0</v>
      </c>
      <c r="J14" s="129">
        <v>0.45</v>
      </c>
      <c r="K14" s="132">
        <f>IF(J14=0,"0",'Ameacas-Pré'!O11)</f>
        <v>350</v>
      </c>
      <c r="L14" s="229">
        <f>J14*K14</f>
        <v>157.5</v>
      </c>
      <c r="M14" s="226"/>
      <c r="N14" s="228">
        <v>0</v>
      </c>
      <c r="O14" s="228"/>
    </row>
    <row r="15" spans="1:67" s="402" customFormat="1" ht="107.5" customHeight="1">
      <c r="A15" s="126">
        <f>'Ameacas-Pré'!A12</f>
        <v>5</v>
      </c>
      <c r="B15" s="401" t="str">
        <f>IF(('Ameacas-Pré'!B12)&gt;0,'Ameacas-Pré'!B12,"")</f>
        <v/>
      </c>
      <c r="C15" s="233" t="str">
        <f>IF(('Ameacas-Pré'!C12)&gt;0,'Ameacas-Pré'!C12,"")</f>
        <v>Organizacional</v>
      </c>
      <c r="D15" s="434" t="str">
        <f>IF(('Ameacas-Pré'!D12)&gt;0,'Ameacas-Pré'!D12,"")</f>
        <v>Inadimplência - Má indole, resultando em prejuízo</v>
      </c>
      <c r="E15" s="418"/>
      <c r="F15" s="398">
        <f>IF(('Ameacas-Pré'!F12)&gt;0,'Ameacas-Pré'!P12,"")</f>
        <v>1750</v>
      </c>
      <c r="G15" s="226" t="s">
        <v>239</v>
      </c>
      <c r="H15" s="227" t="s">
        <v>83</v>
      </c>
      <c r="I15" s="228">
        <v>0</v>
      </c>
      <c r="J15" s="129">
        <v>0</v>
      </c>
      <c r="K15" s="132" t="str">
        <f>IF(J15=0,"0",'Ameacas-Pré'!O12)</f>
        <v>0</v>
      </c>
      <c r="L15" s="229">
        <f t="shared" ref="L15:L78" si="0">J15*K15</f>
        <v>0</v>
      </c>
      <c r="M15" s="226"/>
      <c r="N15" s="228">
        <v>0</v>
      </c>
      <c r="O15" s="228"/>
    </row>
    <row r="16" spans="1:67" s="402" customFormat="1" ht="108" customHeight="1">
      <c r="A16" s="126">
        <f>'Ameacas-Pré'!A13</f>
        <v>6</v>
      </c>
      <c r="B16" s="401" t="str">
        <f>IF(('Ameacas-Pré'!B13)&gt;0,'Ameacas-Pré'!B13,"")</f>
        <v/>
      </c>
      <c r="C16" s="233" t="str">
        <f>IF(('Ameacas-Pré'!C13)&gt;0,'Ameacas-Pré'!C13,"")</f>
        <v>Organizacional</v>
      </c>
      <c r="D16" s="434" t="str">
        <f>IF(('Ameacas-Pré'!D13)&gt;0,'Ameacas-Pré'!D13,"")</f>
        <v>Baixa adesão ao churrasco, pois concorre com outros eventos e, consequentemente, resultando no cancelamento do churrasco</v>
      </c>
      <c r="E16" s="418"/>
      <c r="F16" s="398">
        <f>IF(('Ameacas-Pré'!F13)&gt;0,'Ameacas-Pré'!P13,"")</f>
        <v>2100</v>
      </c>
      <c r="G16" s="226" t="s">
        <v>240</v>
      </c>
      <c r="H16" s="227" t="s">
        <v>38</v>
      </c>
      <c r="I16" s="228">
        <v>0</v>
      </c>
      <c r="J16" s="129">
        <v>0.15</v>
      </c>
      <c r="K16" s="132">
        <f>IF(J16=0,"0",'Ameacas-Pré'!O13)</f>
        <v>7000</v>
      </c>
      <c r="L16" s="229">
        <f t="shared" si="0"/>
        <v>1050</v>
      </c>
      <c r="M16" s="226"/>
      <c r="N16" s="228">
        <v>0</v>
      </c>
      <c r="O16" s="228"/>
    </row>
    <row r="17" spans="1:15" s="402" customFormat="1" ht="112" customHeight="1">
      <c r="A17" s="126">
        <f>'Ameacas-Pré'!A14</f>
        <v>7</v>
      </c>
      <c r="B17" s="401" t="str">
        <f>IF(('Ameacas-Pré'!B14)&gt;0,'Ameacas-Pré'!B14,"")</f>
        <v/>
      </c>
      <c r="C17" s="233" t="str">
        <f>IF(('Ameacas-Pré'!C14)&gt;0,'Ameacas-Pré'!C14,"")</f>
        <v>Organizacional</v>
      </c>
      <c r="D17" s="434" t="str">
        <f>IF(('Ameacas-Pré'!D14)&gt;0,'Ameacas-Pré'!D14,"")</f>
        <v>Baixa adesão - devido ao conflito com data e horário, resultando no cancelamento do churrasco</v>
      </c>
      <c r="E17" s="418"/>
      <c r="F17" s="398">
        <f>IF(('Ameacas-Pré'!F14)&gt;0,'Ameacas-Pré'!P14,"")</f>
        <v>4900</v>
      </c>
      <c r="G17" s="226" t="s">
        <v>243</v>
      </c>
      <c r="H17" s="227" t="s">
        <v>38</v>
      </c>
      <c r="I17" s="228">
        <v>0</v>
      </c>
      <c r="J17" s="129">
        <v>0.35</v>
      </c>
      <c r="K17" s="132">
        <f>IF(J17=0,"0",'Ameacas-Pré'!O14)</f>
        <v>7000</v>
      </c>
      <c r="L17" s="229">
        <f t="shared" si="0"/>
        <v>2450</v>
      </c>
      <c r="M17" s="226"/>
      <c r="N17" s="228">
        <v>0</v>
      </c>
      <c r="O17" s="228"/>
    </row>
    <row r="18" spans="1:15" s="402" customFormat="1" ht="50.5" customHeight="1">
      <c r="A18" s="126">
        <f>'Ameacas-Pré'!A15</f>
        <v>8</v>
      </c>
      <c r="B18" s="401" t="str">
        <f>IF(('Ameacas-Pré'!B15)&gt;0,'Ameacas-Pré'!B15,"")</f>
        <v/>
      </c>
      <c r="C18" s="233" t="str">
        <f>IF(('Ameacas-Pré'!C15)&gt;0,'Ameacas-Pré'!C15,"")</f>
        <v>Técnico</v>
      </c>
      <c r="D18" s="434" t="str">
        <f>IF(('Ameacas-Pré'!D15)&gt;0,'Ameacas-Pré'!D15,"")</f>
        <v>Churrasqueiro ruim - Churrasqueiro sem habilidade, ocasionando insatisfação dos convidados</v>
      </c>
      <c r="E18" s="418"/>
      <c r="F18" s="398">
        <f>IF(('Ameacas-Pré'!F15)&gt;0,'Ameacas-Pré'!P15,"")</f>
        <v>0</v>
      </c>
      <c r="G18" s="226"/>
      <c r="H18" s="227" t="s">
        <v>63</v>
      </c>
      <c r="I18" s="228">
        <v>0</v>
      </c>
      <c r="J18" s="129">
        <f>'Ameacas-Pré'!F15</f>
        <v>0.3</v>
      </c>
      <c r="K18" s="132">
        <f>IF(J18=0,"0",'Ameacas-Pré'!O15)</f>
        <v>0</v>
      </c>
      <c r="L18" s="229">
        <f t="shared" si="0"/>
        <v>0</v>
      </c>
      <c r="M18" s="226"/>
      <c r="N18" s="228">
        <v>0</v>
      </c>
      <c r="O18" s="228"/>
    </row>
    <row r="19" spans="1:15" s="402" customFormat="1" ht="52.5" customHeight="1">
      <c r="A19" s="126">
        <f>'Ameacas-Pré'!A16</f>
        <v>9</v>
      </c>
      <c r="B19" s="401" t="str">
        <f>IF(('Ameacas-Pré'!B16)&gt;0,'Ameacas-Pré'!B16,"")</f>
        <v/>
      </c>
      <c r="C19" s="233" t="str">
        <f>IF(('Ameacas-Pré'!C16)&gt;0,'Ameacas-Pré'!C16,"")</f>
        <v>Técnico</v>
      </c>
      <c r="D19" s="434" t="str">
        <f>IF(('Ameacas-Pré'!D16)&gt;0,'Ameacas-Pré'!D16,"")</f>
        <v>Churrasqueiro não compareceu - Sofreu acidente, logo o churrasco irá atrasar</v>
      </c>
      <c r="E19" s="418"/>
      <c r="F19" s="398">
        <f>IF(('Ameacas-Pré'!F16)&gt;0,'Ameacas-Pré'!P16,"")</f>
        <v>0</v>
      </c>
      <c r="G19" s="226" t="s">
        <v>242</v>
      </c>
      <c r="H19" s="227" t="s">
        <v>62</v>
      </c>
      <c r="I19" s="228">
        <v>100</v>
      </c>
      <c r="J19" s="129">
        <f>'Ameacas-Pré'!F16</f>
        <v>0.1</v>
      </c>
      <c r="K19" s="132">
        <f>IF(J19=0,"0",'Ameacas-Pré'!O16)</f>
        <v>0</v>
      </c>
      <c r="L19" s="229">
        <f t="shared" si="0"/>
        <v>0</v>
      </c>
      <c r="M19" s="226"/>
      <c r="N19" s="228">
        <v>0</v>
      </c>
      <c r="O19" s="228"/>
    </row>
    <row r="20" spans="1:15" s="402" customFormat="1" ht="59" customHeight="1">
      <c r="A20" s="126">
        <f>'Ameacas-Pré'!A17</f>
        <v>10</v>
      </c>
      <c r="B20" s="401" t="str">
        <f>IF(('Ameacas-Pré'!B17)&gt;0,'Ameacas-Pré'!B17,"")</f>
        <v/>
      </c>
      <c r="C20" s="233" t="str">
        <f>IF(('Ameacas-Pré'!C17)&gt;0,'Ameacas-Pré'!C17,"")</f>
        <v>Técnico</v>
      </c>
      <c r="D20" s="434" t="str">
        <f>IF(('Ameacas-Pré'!D17)&gt;0,'Ameacas-Pré'!D17,"")</f>
        <v>Bebida quente - Pois a geladeira quebrou, logo gera instatisfação nos convidados</v>
      </c>
      <c r="E20" s="418"/>
      <c r="F20" s="398">
        <f>IF(('Ameacas-Pré'!F17)&gt;0,'Ameacas-Pré'!P17,"")</f>
        <v>210</v>
      </c>
      <c r="G20" s="226" t="s">
        <v>241</v>
      </c>
      <c r="H20" s="227" t="s">
        <v>83</v>
      </c>
      <c r="I20" s="228">
        <v>150</v>
      </c>
      <c r="J20" s="129">
        <v>0</v>
      </c>
      <c r="K20" s="132" t="str">
        <f>IF(J20=0,"0",'Ameacas-Pré'!O17)</f>
        <v>0</v>
      </c>
      <c r="L20" s="229">
        <f t="shared" si="0"/>
        <v>0</v>
      </c>
      <c r="M20" s="226"/>
      <c r="N20" s="228">
        <v>0</v>
      </c>
      <c r="O20" s="228"/>
    </row>
    <row r="21" spans="1:15" s="402" customFormat="1" ht="51" customHeight="1">
      <c r="A21" s="126">
        <f>'Ameacas-Pré'!A18</f>
        <v>11</v>
      </c>
      <c r="B21" s="401" t="str">
        <f>IF(('Ameacas-Pré'!B18)&gt;0,'Ameacas-Pré'!B18,"")</f>
        <v/>
      </c>
      <c r="C21" s="233" t="str">
        <f>IF(('Ameacas-Pré'!C18)&gt;0,'Ameacas-Pré'!C18,"")</f>
        <v>Técnico</v>
      </c>
      <c r="D21" s="434" t="str">
        <f>IF(('Ameacas-Pré'!D18)&gt;0,'Ameacas-Pré'!D18,"")</f>
        <v>Reclamações - Bebida insuficiente, ocasionando na insatisfação dos participantes</v>
      </c>
      <c r="E21" s="418"/>
      <c r="F21" s="398">
        <f>IF(('Ameacas-Pré'!F18)&gt;0,'Ameacas-Pré'!P18,"")</f>
        <v>210</v>
      </c>
      <c r="G21" s="226" t="s">
        <v>232</v>
      </c>
      <c r="H21" s="227" t="s">
        <v>38</v>
      </c>
      <c r="I21" s="228">
        <v>0</v>
      </c>
      <c r="J21" s="129">
        <v>0.1</v>
      </c>
      <c r="K21" s="132">
        <f>IF(J21=0,"0",'Ameacas-Pré'!O18)</f>
        <v>700</v>
      </c>
      <c r="L21" s="229">
        <f t="shared" si="0"/>
        <v>70</v>
      </c>
      <c r="M21" s="226"/>
      <c r="N21" s="228">
        <v>0</v>
      </c>
      <c r="O21" s="228"/>
    </row>
    <row r="22" spans="1:15" s="402" customFormat="1" ht="13">
      <c r="A22" s="126">
        <f>'Ameacas-Pré'!A19</f>
        <v>12</v>
      </c>
      <c r="B22" s="401" t="str">
        <f>IF(('Ameacas-Pré'!B19)&gt;0,'Ameacas-Pré'!B19,"")</f>
        <v/>
      </c>
      <c r="C22" s="233" t="str">
        <f>IF(('Ameacas-Pré'!C19)&gt;0,'Ameacas-Pré'!C19,"")</f>
        <v/>
      </c>
      <c r="D22" s="434" t="str">
        <f>IF(('Ameacas-Pré'!D19)&gt;0,'Ameacas-Pré'!D19,"")</f>
        <v/>
      </c>
      <c r="E22" s="418"/>
      <c r="F22" s="398" t="str">
        <f>IF(('Ameacas-Pré'!F19)&gt;0,'Ameacas-Pré'!P19,"")</f>
        <v/>
      </c>
      <c r="G22" s="226"/>
      <c r="H22" s="227"/>
      <c r="I22" s="228">
        <v>0</v>
      </c>
      <c r="J22" s="129">
        <f>'Ameacas-Pré'!F19</f>
        <v>0</v>
      </c>
      <c r="K22" s="132" t="str">
        <f>IF(J22=0,"0",'Ameacas-Pré'!O19)</f>
        <v>0</v>
      </c>
      <c r="L22" s="229">
        <f t="shared" si="0"/>
        <v>0</v>
      </c>
      <c r="M22" s="226"/>
      <c r="N22" s="228">
        <v>0</v>
      </c>
      <c r="O22" s="228"/>
    </row>
    <row r="23" spans="1:15" s="402" customFormat="1" ht="13">
      <c r="A23" s="126">
        <f>'Ameacas-Pré'!A20</f>
        <v>13</v>
      </c>
      <c r="B23" s="401" t="str">
        <f>IF(('Ameacas-Pré'!B20)&gt;0,'Ameacas-Pré'!B20,"")</f>
        <v/>
      </c>
      <c r="C23" s="233" t="str">
        <f>IF(('Ameacas-Pré'!C20)&gt;0,'Ameacas-Pré'!C20,"")</f>
        <v/>
      </c>
      <c r="D23" s="434" t="str">
        <f>IF(('Ameacas-Pré'!D20)&gt;0,'Ameacas-Pré'!D20,"")</f>
        <v/>
      </c>
      <c r="E23" s="418"/>
      <c r="F23" s="398" t="str">
        <f>IF(('Ameacas-Pré'!F20)&gt;0,'Ameacas-Pré'!P20,"")</f>
        <v/>
      </c>
      <c r="G23" s="226"/>
      <c r="H23" s="227"/>
      <c r="I23" s="228">
        <v>0</v>
      </c>
      <c r="J23" s="129">
        <f>'Ameacas-Pré'!F20</f>
        <v>0</v>
      </c>
      <c r="K23" s="132" t="str">
        <f>IF(J23=0,"0",'Ameacas-Pré'!O20)</f>
        <v>0</v>
      </c>
      <c r="L23" s="229">
        <f t="shared" si="0"/>
        <v>0</v>
      </c>
      <c r="M23" s="226"/>
      <c r="N23" s="228">
        <v>0</v>
      </c>
      <c r="O23" s="228"/>
    </row>
    <row r="24" spans="1:15" s="402" customFormat="1" ht="13">
      <c r="A24" s="126">
        <f>'Ameacas-Pré'!A21</f>
        <v>14</v>
      </c>
      <c r="B24" s="401" t="str">
        <f>IF(('Ameacas-Pré'!B21)&gt;0,'Ameacas-Pré'!B21,"")</f>
        <v/>
      </c>
      <c r="C24" s="233" t="str">
        <f>IF(('Ameacas-Pré'!C21)&gt;0,'Ameacas-Pré'!C21,"")</f>
        <v/>
      </c>
      <c r="D24" s="434" t="str">
        <f>IF(('Ameacas-Pré'!D21)&gt;0,'Ameacas-Pré'!D21,"")</f>
        <v/>
      </c>
      <c r="E24" s="418"/>
      <c r="F24" s="398" t="str">
        <f>IF(('Ameacas-Pré'!F21)&gt;0,'Ameacas-Pré'!P21,"")</f>
        <v/>
      </c>
      <c r="G24" s="226"/>
      <c r="H24" s="227"/>
      <c r="I24" s="228">
        <v>0</v>
      </c>
      <c r="J24" s="129">
        <f>'Ameacas-Pré'!F21</f>
        <v>0</v>
      </c>
      <c r="K24" s="132" t="str">
        <f>IF(J24=0,"0",'Ameacas-Pré'!O21)</f>
        <v>0</v>
      </c>
      <c r="L24" s="229">
        <f t="shared" si="0"/>
        <v>0</v>
      </c>
      <c r="M24" s="226"/>
      <c r="N24" s="228">
        <v>0</v>
      </c>
      <c r="O24" s="228"/>
    </row>
    <row r="25" spans="1:15" s="402" customFormat="1" ht="13">
      <c r="A25" s="126">
        <f>'Ameacas-Pré'!A22</f>
        <v>15</v>
      </c>
      <c r="B25" s="401" t="str">
        <f>IF(('Ameacas-Pré'!B22)&gt;0,'Ameacas-Pré'!B22,"")</f>
        <v/>
      </c>
      <c r="C25" s="233" t="str">
        <f>IF(('Ameacas-Pré'!C22)&gt;0,'Ameacas-Pré'!C22,"")</f>
        <v/>
      </c>
      <c r="D25" s="434" t="str">
        <f>IF(('Ameacas-Pré'!D22)&gt;0,'Ameacas-Pré'!D22,"")</f>
        <v/>
      </c>
      <c r="E25" s="418"/>
      <c r="F25" s="398" t="str">
        <f>IF(('Ameacas-Pré'!F22)&gt;0,'Ameacas-Pré'!P22,"")</f>
        <v/>
      </c>
      <c r="G25" s="226"/>
      <c r="H25" s="227"/>
      <c r="I25" s="228">
        <v>0</v>
      </c>
      <c r="J25" s="129">
        <f>'Ameacas-Pré'!F22</f>
        <v>0</v>
      </c>
      <c r="K25" s="132" t="str">
        <f>IF(J25=0,"0",'Ameacas-Pré'!O22)</f>
        <v>0</v>
      </c>
      <c r="L25" s="229">
        <f t="shared" si="0"/>
        <v>0</v>
      </c>
      <c r="M25" s="226"/>
      <c r="N25" s="228">
        <v>0</v>
      </c>
      <c r="O25" s="228"/>
    </row>
    <row r="26" spans="1:15" s="402" customFormat="1" ht="13">
      <c r="A26" s="126">
        <f>'Ameacas-Pré'!A23</f>
        <v>16</v>
      </c>
      <c r="B26" s="401" t="str">
        <f>IF(('Ameacas-Pré'!B23)&gt;0,'Ameacas-Pré'!B23,"")</f>
        <v/>
      </c>
      <c r="C26" s="233" t="str">
        <f>IF(('Ameacas-Pré'!C23)&gt;0,'Ameacas-Pré'!C23,"")</f>
        <v/>
      </c>
      <c r="D26" s="434" t="str">
        <f>IF(('Ameacas-Pré'!D23)&gt;0,'Ameacas-Pré'!D23,"")</f>
        <v/>
      </c>
      <c r="E26" s="418"/>
      <c r="F26" s="398" t="str">
        <f>IF(('Ameacas-Pré'!F23)&gt;0,'Ameacas-Pré'!P23,"")</f>
        <v/>
      </c>
      <c r="G26" s="226"/>
      <c r="H26" s="227"/>
      <c r="I26" s="228">
        <v>0</v>
      </c>
      <c r="J26" s="129">
        <f>'Ameacas-Pré'!F23</f>
        <v>0</v>
      </c>
      <c r="K26" s="132" t="str">
        <f>IF(J26=0,"0",'Ameacas-Pré'!O23)</f>
        <v>0</v>
      </c>
      <c r="L26" s="229">
        <f t="shared" si="0"/>
        <v>0</v>
      </c>
      <c r="M26" s="226"/>
      <c r="N26" s="228">
        <v>0</v>
      </c>
      <c r="O26" s="228"/>
    </row>
    <row r="27" spans="1:15" s="402" customFormat="1" ht="13">
      <c r="A27" s="126">
        <f>'Ameacas-Pré'!A24</f>
        <v>17</v>
      </c>
      <c r="B27" s="401" t="str">
        <f>IF(('Ameacas-Pré'!B24)&gt;0,'Ameacas-Pré'!B24,"")</f>
        <v/>
      </c>
      <c r="C27" s="233" t="str">
        <f>IF(('Ameacas-Pré'!C24)&gt;0,'Ameacas-Pré'!C24,"")</f>
        <v/>
      </c>
      <c r="D27" s="434" t="str">
        <f>IF(('Ameacas-Pré'!D24)&gt;0,'Ameacas-Pré'!D24,"")</f>
        <v/>
      </c>
      <c r="E27" s="418"/>
      <c r="F27" s="398" t="str">
        <f>IF(('Ameacas-Pré'!F24)&gt;0,'Ameacas-Pré'!P24,"")</f>
        <v/>
      </c>
      <c r="G27" s="226"/>
      <c r="H27" s="227"/>
      <c r="I27" s="228">
        <v>0</v>
      </c>
      <c r="J27" s="129">
        <f>'Ameacas-Pré'!F24</f>
        <v>0</v>
      </c>
      <c r="K27" s="132" t="str">
        <f>IF(J27=0,"0",'Ameacas-Pré'!O24)</f>
        <v>0</v>
      </c>
      <c r="L27" s="229">
        <f t="shared" si="0"/>
        <v>0</v>
      </c>
      <c r="M27" s="226"/>
      <c r="N27" s="228">
        <v>0</v>
      </c>
      <c r="O27" s="228"/>
    </row>
    <row r="28" spans="1:15" s="402" customFormat="1" ht="13">
      <c r="A28" s="126">
        <f>'Ameacas-Pré'!A25</f>
        <v>18</v>
      </c>
      <c r="B28" s="401" t="str">
        <f>IF(('Ameacas-Pré'!B25)&gt;0,'Ameacas-Pré'!B25,"")</f>
        <v/>
      </c>
      <c r="C28" s="233" t="str">
        <f>IF(('Ameacas-Pré'!C25)&gt;0,'Ameacas-Pré'!C25,"")</f>
        <v/>
      </c>
      <c r="D28" s="434" t="str">
        <f>IF(('Ameacas-Pré'!D25)&gt;0,'Ameacas-Pré'!D25,"")</f>
        <v/>
      </c>
      <c r="E28" s="418"/>
      <c r="F28" s="398" t="str">
        <f>IF(('Ameacas-Pré'!F25)&gt;0,'Ameacas-Pré'!P25,"")</f>
        <v/>
      </c>
      <c r="G28" s="226"/>
      <c r="H28" s="227"/>
      <c r="I28" s="228">
        <v>0</v>
      </c>
      <c r="J28" s="129">
        <f>'Ameacas-Pré'!F25</f>
        <v>0</v>
      </c>
      <c r="K28" s="132" t="str">
        <f>IF(J28=0,"0",'Ameacas-Pré'!O25)</f>
        <v>0</v>
      </c>
      <c r="L28" s="229">
        <f t="shared" si="0"/>
        <v>0</v>
      </c>
      <c r="M28" s="226"/>
      <c r="N28" s="228">
        <v>0</v>
      </c>
      <c r="O28" s="228"/>
    </row>
    <row r="29" spans="1:15" s="402" customFormat="1" ht="13">
      <c r="A29" s="126">
        <f>'Ameacas-Pré'!A26</f>
        <v>19</v>
      </c>
      <c r="B29" s="401" t="str">
        <f>IF(('Ameacas-Pré'!B26)&gt;0,'Ameacas-Pré'!B26,"")</f>
        <v/>
      </c>
      <c r="C29" s="233" t="str">
        <f>IF(('Ameacas-Pré'!C26)&gt;0,'Ameacas-Pré'!C26,"")</f>
        <v/>
      </c>
      <c r="D29" s="434" t="str">
        <f>IF(('Ameacas-Pré'!D26)&gt;0,'Ameacas-Pré'!D26,"")</f>
        <v/>
      </c>
      <c r="E29" s="418"/>
      <c r="F29" s="398" t="str">
        <f>IF(('Ameacas-Pré'!F26)&gt;0,'Ameacas-Pré'!P26,"")</f>
        <v/>
      </c>
      <c r="G29" s="226"/>
      <c r="H29" s="227"/>
      <c r="I29" s="228">
        <v>0</v>
      </c>
      <c r="J29" s="129">
        <f>'Ameacas-Pré'!F26</f>
        <v>0</v>
      </c>
      <c r="K29" s="132" t="str">
        <f>IF(J29=0,"0",'Ameacas-Pré'!O26)</f>
        <v>0</v>
      </c>
      <c r="L29" s="229">
        <f t="shared" si="0"/>
        <v>0</v>
      </c>
      <c r="M29" s="226"/>
      <c r="N29" s="228">
        <v>0</v>
      </c>
      <c r="O29" s="228"/>
    </row>
    <row r="30" spans="1:15" s="402" customFormat="1" ht="13">
      <c r="A30" s="126">
        <f>'Ameacas-Pré'!A27</f>
        <v>20</v>
      </c>
      <c r="B30" s="401" t="str">
        <f>IF(('Ameacas-Pré'!B27)&gt;0,'Ameacas-Pré'!B27,"")</f>
        <v/>
      </c>
      <c r="C30" s="233" t="str">
        <f>IF(('Ameacas-Pré'!C27)&gt;0,'Ameacas-Pré'!C27,"")</f>
        <v/>
      </c>
      <c r="D30" s="434" t="str">
        <f>IF(('Ameacas-Pré'!D27)&gt;0,'Ameacas-Pré'!D27,"")</f>
        <v/>
      </c>
      <c r="E30" s="418"/>
      <c r="F30" s="398" t="str">
        <f>IF(('Ameacas-Pré'!F27)&gt;0,'Ameacas-Pré'!P27,"")</f>
        <v/>
      </c>
      <c r="G30" s="226"/>
      <c r="H30" s="227"/>
      <c r="I30" s="228">
        <v>0</v>
      </c>
      <c r="J30" s="129">
        <f>'Ameacas-Pré'!F27</f>
        <v>0</v>
      </c>
      <c r="K30" s="132" t="str">
        <f>IF(J30=0,"0",'Ameacas-Pré'!O27)</f>
        <v>0</v>
      </c>
      <c r="L30" s="229">
        <f t="shared" si="0"/>
        <v>0</v>
      </c>
      <c r="M30" s="226"/>
      <c r="N30" s="228">
        <v>0</v>
      </c>
      <c r="O30" s="228"/>
    </row>
    <row r="31" spans="1:15" s="402" customFormat="1" ht="13">
      <c r="A31" s="126">
        <f>'Ameacas-Pré'!A28</f>
        <v>21</v>
      </c>
      <c r="B31" s="401" t="str">
        <f>IF(('Ameacas-Pré'!B28)&gt;0,'Ameacas-Pré'!B28,"")</f>
        <v/>
      </c>
      <c r="C31" s="233" t="str">
        <f>IF(('Ameacas-Pré'!C28)&gt;0,'Ameacas-Pré'!C28,"")</f>
        <v/>
      </c>
      <c r="D31" s="434" t="str">
        <f>IF(('Ameacas-Pré'!D28)&gt;0,'Ameacas-Pré'!D28,"")</f>
        <v/>
      </c>
      <c r="E31" s="418"/>
      <c r="F31" s="398" t="str">
        <f>IF(('Ameacas-Pré'!F28)&gt;0,'Ameacas-Pré'!P28,"")</f>
        <v/>
      </c>
      <c r="G31" s="226"/>
      <c r="H31" s="227"/>
      <c r="I31" s="228">
        <v>0</v>
      </c>
      <c r="J31" s="129">
        <f>'Ameacas-Pré'!F28</f>
        <v>0</v>
      </c>
      <c r="K31" s="132" t="str">
        <f>IF(J31=0,"0",'Ameacas-Pré'!O28)</f>
        <v>0</v>
      </c>
      <c r="L31" s="229">
        <f t="shared" si="0"/>
        <v>0</v>
      </c>
      <c r="M31" s="226"/>
      <c r="N31" s="228">
        <v>0</v>
      </c>
      <c r="O31" s="228"/>
    </row>
    <row r="32" spans="1:15" s="402" customFormat="1" ht="13">
      <c r="A32" s="126">
        <f>'Ameacas-Pré'!A29</f>
        <v>22</v>
      </c>
      <c r="B32" s="401" t="str">
        <f>IF(('Ameacas-Pré'!B29)&gt;0,'Ameacas-Pré'!B29,"")</f>
        <v/>
      </c>
      <c r="C32" s="233" t="str">
        <f>IF(('Ameacas-Pré'!C29)&gt;0,'Ameacas-Pré'!C29,"")</f>
        <v/>
      </c>
      <c r="D32" s="434" t="str">
        <f>IF(('Ameacas-Pré'!D29)&gt;0,'Ameacas-Pré'!D29,"")</f>
        <v/>
      </c>
      <c r="E32" s="418"/>
      <c r="F32" s="398" t="str">
        <f>IF(('Ameacas-Pré'!F29)&gt;0,'Ameacas-Pré'!P29,"")</f>
        <v/>
      </c>
      <c r="G32" s="226"/>
      <c r="H32" s="227"/>
      <c r="I32" s="228">
        <v>0</v>
      </c>
      <c r="J32" s="129">
        <f>'Ameacas-Pré'!F29</f>
        <v>0</v>
      </c>
      <c r="K32" s="132" t="str">
        <f>IF(J32=0,"0",'Ameacas-Pré'!O29)</f>
        <v>0</v>
      </c>
      <c r="L32" s="229">
        <f t="shared" si="0"/>
        <v>0</v>
      </c>
      <c r="M32" s="226"/>
      <c r="N32" s="228">
        <v>0</v>
      </c>
      <c r="O32" s="228"/>
    </row>
    <row r="33" spans="1:15" s="402" customFormat="1" ht="13">
      <c r="A33" s="126">
        <f>'Ameacas-Pré'!A30</f>
        <v>23</v>
      </c>
      <c r="B33" s="401" t="str">
        <f>IF(('Ameacas-Pré'!B30)&gt;0,'Ameacas-Pré'!B30,"")</f>
        <v/>
      </c>
      <c r="C33" s="233" t="str">
        <f>IF(('Ameacas-Pré'!C30)&gt;0,'Ameacas-Pré'!C30,"")</f>
        <v/>
      </c>
      <c r="D33" s="434" t="str">
        <f>IF(('Ameacas-Pré'!D30)&gt;0,'Ameacas-Pré'!D30,"")</f>
        <v/>
      </c>
      <c r="E33" s="418"/>
      <c r="F33" s="398" t="str">
        <f>IF(('Ameacas-Pré'!F30)&gt;0,'Ameacas-Pré'!P30,"")</f>
        <v/>
      </c>
      <c r="G33" s="226"/>
      <c r="H33" s="227"/>
      <c r="I33" s="228">
        <v>0</v>
      </c>
      <c r="J33" s="129">
        <f>'Ameacas-Pré'!F30</f>
        <v>0</v>
      </c>
      <c r="K33" s="132" t="str">
        <f>IF(J33=0,"0",'Ameacas-Pré'!O30)</f>
        <v>0</v>
      </c>
      <c r="L33" s="229">
        <f t="shared" si="0"/>
        <v>0</v>
      </c>
      <c r="M33" s="226"/>
      <c r="N33" s="228">
        <v>0</v>
      </c>
      <c r="O33" s="228"/>
    </row>
    <row r="34" spans="1:15" s="402" customFormat="1" ht="13">
      <c r="A34" s="126">
        <f>'Ameacas-Pré'!A31</f>
        <v>24</v>
      </c>
      <c r="B34" s="401" t="str">
        <f>IF(('Ameacas-Pré'!B31)&gt;0,'Ameacas-Pré'!B31,"")</f>
        <v/>
      </c>
      <c r="C34" s="233" t="str">
        <f>IF(('Ameacas-Pré'!C31)&gt;0,'Ameacas-Pré'!C31,"")</f>
        <v/>
      </c>
      <c r="D34" s="434" t="str">
        <f>IF(('Ameacas-Pré'!D31)&gt;0,'Ameacas-Pré'!D31,"")</f>
        <v/>
      </c>
      <c r="E34" s="418"/>
      <c r="F34" s="398" t="str">
        <f>IF(('Ameacas-Pré'!F31)&gt;0,'Ameacas-Pré'!P31,"")</f>
        <v/>
      </c>
      <c r="G34" s="226"/>
      <c r="H34" s="227"/>
      <c r="I34" s="228">
        <v>0</v>
      </c>
      <c r="J34" s="129">
        <f>'Ameacas-Pré'!F31</f>
        <v>0</v>
      </c>
      <c r="K34" s="132" t="str">
        <f>IF(J34=0,"0",'Ameacas-Pré'!O31)</f>
        <v>0</v>
      </c>
      <c r="L34" s="229">
        <f t="shared" si="0"/>
        <v>0</v>
      </c>
      <c r="M34" s="226"/>
      <c r="N34" s="228">
        <v>0</v>
      </c>
      <c r="O34" s="228"/>
    </row>
    <row r="35" spans="1:15" s="402" customFormat="1" ht="13">
      <c r="A35" s="126">
        <f>'Ameacas-Pré'!A32</f>
        <v>25</v>
      </c>
      <c r="B35" s="401" t="str">
        <f>IF(('Ameacas-Pré'!B32)&gt;0,'Ameacas-Pré'!B32,"")</f>
        <v/>
      </c>
      <c r="C35" s="233" t="str">
        <f>IF(('Ameacas-Pré'!C32)&gt;0,'Ameacas-Pré'!C32,"")</f>
        <v/>
      </c>
      <c r="D35" s="434" t="str">
        <f>IF(('Ameacas-Pré'!D32)&gt;0,'Ameacas-Pré'!D32,"")</f>
        <v/>
      </c>
      <c r="E35" s="418"/>
      <c r="F35" s="398" t="str">
        <f>IF(('Ameacas-Pré'!F32)&gt;0,'Ameacas-Pré'!P32,"")</f>
        <v/>
      </c>
      <c r="G35" s="226"/>
      <c r="H35" s="227"/>
      <c r="I35" s="228">
        <v>0</v>
      </c>
      <c r="J35" s="129">
        <f>'Ameacas-Pré'!F32</f>
        <v>0</v>
      </c>
      <c r="K35" s="132" t="str">
        <f>IF(J35=0,"0",'Ameacas-Pré'!O32)</f>
        <v>0</v>
      </c>
      <c r="L35" s="229">
        <f t="shared" si="0"/>
        <v>0</v>
      </c>
      <c r="M35" s="226"/>
      <c r="N35" s="228">
        <v>0</v>
      </c>
      <c r="O35" s="228"/>
    </row>
    <row r="36" spans="1:15" s="402" customFormat="1" ht="13">
      <c r="A36" s="126">
        <f>'Ameacas-Pré'!A33</f>
        <v>26</v>
      </c>
      <c r="B36" s="401" t="str">
        <f>IF(('Ameacas-Pré'!B33)&gt;0,'Ameacas-Pré'!B33,"")</f>
        <v/>
      </c>
      <c r="C36" s="233" t="str">
        <f>IF(('Ameacas-Pré'!C33)&gt;0,'Ameacas-Pré'!C33,"")</f>
        <v/>
      </c>
      <c r="D36" s="434" t="str">
        <f>IF(('Ameacas-Pré'!D33)&gt;0,'Ameacas-Pré'!D33,"")</f>
        <v/>
      </c>
      <c r="E36" s="418"/>
      <c r="F36" s="398" t="str">
        <f>IF(('Ameacas-Pré'!F33)&gt;0,'Ameacas-Pré'!P33,"")</f>
        <v/>
      </c>
      <c r="G36" s="226"/>
      <c r="H36" s="227"/>
      <c r="I36" s="228">
        <v>0</v>
      </c>
      <c r="J36" s="129">
        <f>'Ameacas-Pré'!F33</f>
        <v>0</v>
      </c>
      <c r="K36" s="132" t="str">
        <f>IF(J36=0,"0",'Ameacas-Pré'!O33)</f>
        <v>0</v>
      </c>
      <c r="L36" s="229">
        <f t="shared" si="0"/>
        <v>0</v>
      </c>
      <c r="M36" s="226"/>
      <c r="N36" s="228">
        <v>0</v>
      </c>
      <c r="O36" s="228"/>
    </row>
    <row r="37" spans="1:15" s="402" customFormat="1" ht="13">
      <c r="A37" s="126">
        <f>'Ameacas-Pré'!A34</f>
        <v>27</v>
      </c>
      <c r="B37" s="401" t="str">
        <f>IF(('Ameacas-Pré'!B34)&gt;0,'Ameacas-Pré'!B34,"")</f>
        <v/>
      </c>
      <c r="C37" s="233" t="str">
        <f>IF(('Ameacas-Pré'!C34)&gt;0,'Ameacas-Pré'!C34,"")</f>
        <v/>
      </c>
      <c r="D37" s="434" t="str">
        <f>IF(('Ameacas-Pré'!D34)&gt;0,'Ameacas-Pré'!D34,"")</f>
        <v/>
      </c>
      <c r="E37" s="418"/>
      <c r="F37" s="398" t="str">
        <f>IF(('Ameacas-Pré'!F34)&gt;0,'Ameacas-Pré'!P34,"")</f>
        <v/>
      </c>
      <c r="G37" s="226"/>
      <c r="H37" s="227"/>
      <c r="I37" s="228">
        <v>0</v>
      </c>
      <c r="J37" s="129">
        <f>'Ameacas-Pré'!F34</f>
        <v>0</v>
      </c>
      <c r="K37" s="132" t="str">
        <f>IF(J37=0,"0",'Ameacas-Pré'!O34)</f>
        <v>0</v>
      </c>
      <c r="L37" s="229">
        <f t="shared" si="0"/>
        <v>0</v>
      </c>
      <c r="M37" s="226"/>
      <c r="N37" s="228">
        <v>0</v>
      </c>
      <c r="O37" s="228"/>
    </row>
    <row r="38" spans="1:15" s="402" customFormat="1" ht="13">
      <c r="A38" s="126">
        <f>'Ameacas-Pré'!A35</f>
        <v>28</v>
      </c>
      <c r="B38" s="401" t="str">
        <f>IF(('Ameacas-Pré'!B35)&gt;0,'Ameacas-Pré'!B35,"")</f>
        <v/>
      </c>
      <c r="C38" s="233" t="str">
        <f>IF(('Ameacas-Pré'!C35)&gt;0,'Ameacas-Pré'!C35,"")</f>
        <v/>
      </c>
      <c r="D38" s="434" t="str">
        <f>IF(('Ameacas-Pré'!D35)&gt;0,'Ameacas-Pré'!D35,"")</f>
        <v/>
      </c>
      <c r="E38" s="418"/>
      <c r="F38" s="398" t="str">
        <f>IF(('Ameacas-Pré'!F35)&gt;0,'Ameacas-Pré'!P35,"")</f>
        <v/>
      </c>
      <c r="G38" s="226"/>
      <c r="H38" s="227"/>
      <c r="I38" s="228">
        <v>0</v>
      </c>
      <c r="J38" s="129">
        <f>'Ameacas-Pré'!F35</f>
        <v>0</v>
      </c>
      <c r="K38" s="132" t="str">
        <f>IF(J38=0,"0",'Ameacas-Pré'!O35)</f>
        <v>0</v>
      </c>
      <c r="L38" s="229">
        <f t="shared" si="0"/>
        <v>0</v>
      </c>
      <c r="M38" s="226"/>
      <c r="N38" s="228">
        <v>0</v>
      </c>
      <c r="O38" s="228"/>
    </row>
    <row r="39" spans="1:15" s="402" customFormat="1" ht="13">
      <c r="A39" s="126">
        <f>'Ameacas-Pré'!A36</f>
        <v>29</v>
      </c>
      <c r="B39" s="401" t="str">
        <f>IF(('Ameacas-Pré'!B36)&gt;0,'Ameacas-Pré'!B36,"")</f>
        <v/>
      </c>
      <c r="C39" s="233" t="str">
        <f>IF(('Ameacas-Pré'!C36)&gt;0,'Ameacas-Pré'!C36,"")</f>
        <v/>
      </c>
      <c r="D39" s="434" t="str">
        <f>IF(('Ameacas-Pré'!D36)&gt;0,'Ameacas-Pré'!D36,"")</f>
        <v/>
      </c>
      <c r="E39" s="418"/>
      <c r="F39" s="398" t="str">
        <f>IF(('Ameacas-Pré'!F36)&gt;0,'Ameacas-Pré'!P36,"")</f>
        <v/>
      </c>
      <c r="G39" s="226"/>
      <c r="H39" s="227"/>
      <c r="I39" s="228">
        <v>0</v>
      </c>
      <c r="J39" s="129">
        <f>'Ameacas-Pré'!F36</f>
        <v>0</v>
      </c>
      <c r="K39" s="132" t="str">
        <f>IF(J39=0,"0",'Ameacas-Pré'!O36)</f>
        <v>0</v>
      </c>
      <c r="L39" s="229">
        <f t="shared" si="0"/>
        <v>0</v>
      </c>
      <c r="M39" s="226"/>
      <c r="N39" s="228">
        <v>0</v>
      </c>
      <c r="O39" s="228"/>
    </row>
    <row r="40" spans="1:15" s="402" customFormat="1" ht="13">
      <c r="A40" s="126">
        <f>'Ameacas-Pré'!A37</f>
        <v>30</v>
      </c>
      <c r="B40" s="401" t="str">
        <f>IF(('Ameacas-Pré'!B37)&gt;0,'Ameacas-Pré'!B37,"")</f>
        <v/>
      </c>
      <c r="C40" s="233" t="str">
        <f>IF(('Ameacas-Pré'!C37)&gt;0,'Ameacas-Pré'!C37,"")</f>
        <v/>
      </c>
      <c r="D40" s="434" t="str">
        <f>IF(('Ameacas-Pré'!D37)&gt;0,'Ameacas-Pré'!D37,"")</f>
        <v/>
      </c>
      <c r="E40" s="418"/>
      <c r="F40" s="398" t="str">
        <f>IF(('Ameacas-Pré'!F37)&gt;0,'Ameacas-Pré'!P37,"")</f>
        <v/>
      </c>
      <c r="G40" s="226"/>
      <c r="H40" s="227"/>
      <c r="I40" s="228">
        <v>0</v>
      </c>
      <c r="J40" s="129">
        <f>'Ameacas-Pré'!F37</f>
        <v>0</v>
      </c>
      <c r="K40" s="132" t="str">
        <f>IF(J40=0,"0",'Ameacas-Pré'!O37)</f>
        <v>0</v>
      </c>
      <c r="L40" s="229">
        <f t="shared" si="0"/>
        <v>0</v>
      </c>
      <c r="M40" s="226"/>
      <c r="N40" s="228">
        <v>0</v>
      </c>
      <c r="O40" s="228"/>
    </row>
    <row r="41" spans="1:15" s="402" customFormat="1" ht="13">
      <c r="A41" s="126">
        <f>'Ameacas-Pré'!A38</f>
        <v>31</v>
      </c>
      <c r="B41" s="401" t="str">
        <f>IF(('Ameacas-Pré'!B38)&gt;0,'Ameacas-Pré'!B38,"")</f>
        <v/>
      </c>
      <c r="C41" s="233" t="str">
        <f>IF(('Ameacas-Pré'!C38)&gt;0,'Ameacas-Pré'!C38,"")</f>
        <v/>
      </c>
      <c r="D41" s="434" t="str">
        <f>IF(('Ameacas-Pré'!D38)&gt;0,'Ameacas-Pré'!D38,"")</f>
        <v/>
      </c>
      <c r="E41" s="418"/>
      <c r="F41" s="398" t="str">
        <f>IF(('Ameacas-Pré'!F38)&gt;0,'Ameacas-Pré'!P38,"")</f>
        <v/>
      </c>
      <c r="G41" s="226"/>
      <c r="H41" s="227"/>
      <c r="I41" s="228">
        <v>0</v>
      </c>
      <c r="J41" s="129">
        <f>'Ameacas-Pré'!F38</f>
        <v>0</v>
      </c>
      <c r="K41" s="132" t="str">
        <f>IF(J41=0,"0",'Ameacas-Pré'!O38)</f>
        <v>0</v>
      </c>
      <c r="L41" s="229">
        <f t="shared" si="0"/>
        <v>0</v>
      </c>
      <c r="M41" s="226"/>
      <c r="N41" s="228">
        <v>0</v>
      </c>
      <c r="O41" s="228"/>
    </row>
    <row r="42" spans="1:15" s="402" customFormat="1" ht="13">
      <c r="A42" s="126">
        <f>'Ameacas-Pré'!A39</f>
        <v>32</v>
      </c>
      <c r="B42" s="401" t="str">
        <f>IF(('Ameacas-Pré'!B39)&gt;0,'Ameacas-Pré'!B39,"")</f>
        <v/>
      </c>
      <c r="C42" s="233" t="str">
        <f>IF(('Ameacas-Pré'!C39)&gt;0,'Ameacas-Pré'!C39,"")</f>
        <v/>
      </c>
      <c r="D42" s="434" t="str">
        <f>IF(('Ameacas-Pré'!D39)&gt;0,'Ameacas-Pré'!D39,"")</f>
        <v/>
      </c>
      <c r="E42" s="418"/>
      <c r="F42" s="398" t="str">
        <f>IF(('Ameacas-Pré'!F39)&gt;0,'Ameacas-Pré'!P39,"")</f>
        <v/>
      </c>
      <c r="G42" s="226"/>
      <c r="H42" s="227"/>
      <c r="I42" s="228">
        <v>0</v>
      </c>
      <c r="J42" s="129">
        <f>'Ameacas-Pré'!F39</f>
        <v>0</v>
      </c>
      <c r="K42" s="132" t="str">
        <f>IF(J42=0,"0",'Ameacas-Pré'!O39)</f>
        <v>0</v>
      </c>
      <c r="L42" s="229">
        <f t="shared" si="0"/>
        <v>0</v>
      </c>
      <c r="M42" s="226"/>
      <c r="N42" s="228">
        <v>0</v>
      </c>
      <c r="O42" s="228"/>
    </row>
    <row r="43" spans="1:15" s="402" customFormat="1" ht="13">
      <c r="A43" s="126">
        <f>'Ameacas-Pré'!A40</f>
        <v>33</v>
      </c>
      <c r="B43" s="401" t="str">
        <f>IF(('Ameacas-Pré'!B40)&gt;0,'Ameacas-Pré'!B40,"")</f>
        <v/>
      </c>
      <c r="C43" s="233" t="str">
        <f>IF(('Ameacas-Pré'!C40)&gt;0,'Ameacas-Pré'!C40,"")</f>
        <v/>
      </c>
      <c r="D43" s="434" t="str">
        <f>IF(('Ameacas-Pré'!D40)&gt;0,'Ameacas-Pré'!D40,"")</f>
        <v/>
      </c>
      <c r="E43" s="418"/>
      <c r="F43" s="398" t="str">
        <f>IF(('Ameacas-Pré'!F40)&gt;0,'Ameacas-Pré'!P40,"")</f>
        <v/>
      </c>
      <c r="G43" s="226"/>
      <c r="H43" s="227"/>
      <c r="I43" s="228">
        <v>0</v>
      </c>
      <c r="J43" s="129">
        <f>'Ameacas-Pré'!F40</f>
        <v>0</v>
      </c>
      <c r="K43" s="132" t="str">
        <f>IF(J43=0,"0",'Ameacas-Pré'!O40)</f>
        <v>0</v>
      </c>
      <c r="L43" s="229">
        <f t="shared" si="0"/>
        <v>0</v>
      </c>
      <c r="M43" s="226"/>
      <c r="N43" s="228">
        <v>0</v>
      </c>
      <c r="O43" s="228"/>
    </row>
    <row r="44" spans="1:15" s="402" customFormat="1" ht="13">
      <c r="A44" s="126">
        <f>'Ameacas-Pré'!A41</f>
        <v>34</v>
      </c>
      <c r="B44" s="401" t="str">
        <f>IF(('Ameacas-Pré'!B41)&gt;0,'Ameacas-Pré'!B41,"")</f>
        <v/>
      </c>
      <c r="C44" s="233" t="str">
        <f>IF(('Ameacas-Pré'!C41)&gt;0,'Ameacas-Pré'!C41,"")</f>
        <v/>
      </c>
      <c r="D44" s="434" t="str">
        <f>IF(('Ameacas-Pré'!D41)&gt;0,'Ameacas-Pré'!D41,"")</f>
        <v/>
      </c>
      <c r="E44" s="418"/>
      <c r="F44" s="398" t="str">
        <f>IF(('Ameacas-Pré'!F41)&gt;0,'Ameacas-Pré'!P41,"")</f>
        <v/>
      </c>
      <c r="G44" s="226"/>
      <c r="H44" s="227"/>
      <c r="I44" s="228">
        <v>0</v>
      </c>
      <c r="J44" s="129">
        <f>'Ameacas-Pré'!F41</f>
        <v>0</v>
      </c>
      <c r="K44" s="132" t="str">
        <f>IF(J44=0,"0",'Ameacas-Pré'!O41)</f>
        <v>0</v>
      </c>
      <c r="L44" s="229">
        <f t="shared" si="0"/>
        <v>0</v>
      </c>
      <c r="M44" s="226"/>
      <c r="N44" s="228">
        <v>0</v>
      </c>
      <c r="O44" s="228"/>
    </row>
    <row r="45" spans="1:15" s="402" customFormat="1" ht="13">
      <c r="A45" s="126">
        <f>'Ameacas-Pré'!A42</f>
        <v>35</v>
      </c>
      <c r="B45" s="401" t="str">
        <f>IF(('Ameacas-Pré'!B42)&gt;0,'Ameacas-Pré'!B42,"")</f>
        <v/>
      </c>
      <c r="C45" s="233" t="str">
        <f>IF(('Ameacas-Pré'!C42)&gt;0,'Ameacas-Pré'!C42,"")</f>
        <v/>
      </c>
      <c r="D45" s="434" t="str">
        <f>IF(('Ameacas-Pré'!D42)&gt;0,'Ameacas-Pré'!D42,"")</f>
        <v/>
      </c>
      <c r="E45" s="418"/>
      <c r="F45" s="398" t="str">
        <f>IF(('Ameacas-Pré'!F42)&gt;0,'Ameacas-Pré'!P42,"")</f>
        <v/>
      </c>
      <c r="G45" s="226"/>
      <c r="H45" s="227"/>
      <c r="I45" s="228">
        <v>0</v>
      </c>
      <c r="J45" s="129">
        <f>'Ameacas-Pré'!F42</f>
        <v>0</v>
      </c>
      <c r="K45" s="132" t="str">
        <f>IF(J45=0,"0",'Ameacas-Pré'!O42)</f>
        <v>0</v>
      </c>
      <c r="L45" s="229">
        <f t="shared" si="0"/>
        <v>0</v>
      </c>
      <c r="M45" s="226"/>
      <c r="N45" s="228">
        <v>0</v>
      </c>
      <c r="O45" s="228"/>
    </row>
    <row r="46" spans="1:15" s="402" customFormat="1" ht="13">
      <c r="A46" s="126">
        <f>'Ameacas-Pré'!A43</f>
        <v>36</v>
      </c>
      <c r="B46" s="401" t="str">
        <f>IF(('Ameacas-Pré'!B43)&gt;0,'Ameacas-Pré'!B43,"")</f>
        <v/>
      </c>
      <c r="C46" s="233" t="str">
        <f>IF(('Ameacas-Pré'!C43)&gt;0,'Ameacas-Pré'!C43,"")</f>
        <v/>
      </c>
      <c r="D46" s="434" t="str">
        <f>IF(('Ameacas-Pré'!D43)&gt;0,'Ameacas-Pré'!D43,"")</f>
        <v/>
      </c>
      <c r="E46" s="418"/>
      <c r="F46" s="398" t="str">
        <f>IF(('Ameacas-Pré'!F43)&gt;0,'Ameacas-Pré'!P43,"")</f>
        <v/>
      </c>
      <c r="G46" s="226"/>
      <c r="H46" s="227"/>
      <c r="I46" s="228">
        <v>0</v>
      </c>
      <c r="J46" s="129">
        <f>'Ameacas-Pré'!F43</f>
        <v>0</v>
      </c>
      <c r="K46" s="132" t="str">
        <f>IF(J46=0,"0",'Ameacas-Pré'!O43)</f>
        <v>0</v>
      </c>
      <c r="L46" s="229">
        <f t="shared" si="0"/>
        <v>0</v>
      </c>
      <c r="M46" s="226"/>
      <c r="N46" s="228">
        <v>0</v>
      </c>
      <c r="O46" s="228"/>
    </row>
    <row r="47" spans="1:15" s="402" customFormat="1" ht="13">
      <c r="A47" s="126">
        <f>'Ameacas-Pré'!A44</f>
        <v>37</v>
      </c>
      <c r="B47" s="401" t="str">
        <f>IF(('Ameacas-Pré'!B44)&gt;0,'Ameacas-Pré'!B44,"")</f>
        <v/>
      </c>
      <c r="C47" s="233" t="str">
        <f>IF(('Ameacas-Pré'!C44)&gt;0,'Ameacas-Pré'!C44,"")</f>
        <v/>
      </c>
      <c r="D47" s="434" t="str">
        <f>IF(('Ameacas-Pré'!D44)&gt;0,'Ameacas-Pré'!D44,"")</f>
        <v/>
      </c>
      <c r="E47" s="418"/>
      <c r="F47" s="398" t="str">
        <f>IF(('Ameacas-Pré'!F44)&gt;0,'Ameacas-Pré'!P44,"")</f>
        <v/>
      </c>
      <c r="G47" s="226"/>
      <c r="H47" s="227"/>
      <c r="I47" s="228">
        <v>0</v>
      </c>
      <c r="J47" s="129">
        <f>'Ameacas-Pré'!F44</f>
        <v>0</v>
      </c>
      <c r="K47" s="132" t="str">
        <f>IF(J47=0,"0",'Ameacas-Pré'!O44)</f>
        <v>0</v>
      </c>
      <c r="L47" s="229">
        <f t="shared" si="0"/>
        <v>0</v>
      </c>
      <c r="M47" s="226"/>
      <c r="N47" s="228">
        <v>0</v>
      </c>
      <c r="O47" s="228"/>
    </row>
    <row r="48" spans="1:15" s="402" customFormat="1" ht="13">
      <c r="A48" s="126">
        <f>'Ameacas-Pré'!A45</f>
        <v>38</v>
      </c>
      <c r="B48" s="401" t="str">
        <f>IF(('Ameacas-Pré'!B45)&gt;0,'Ameacas-Pré'!B45,"")</f>
        <v/>
      </c>
      <c r="C48" s="233" t="str">
        <f>IF(('Ameacas-Pré'!C45)&gt;0,'Ameacas-Pré'!C45,"")</f>
        <v/>
      </c>
      <c r="D48" s="434" t="str">
        <f>IF(('Ameacas-Pré'!D45)&gt;0,'Ameacas-Pré'!D45,"")</f>
        <v/>
      </c>
      <c r="E48" s="418"/>
      <c r="F48" s="398" t="str">
        <f>IF(('Ameacas-Pré'!F45)&gt;0,'Ameacas-Pré'!P45,"")</f>
        <v/>
      </c>
      <c r="G48" s="226"/>
      <c r="H48" s="227"/>
      <c r="I48" s="228">
        <v>0</v>
      </c>
      <c r="J48" s="129">
        <f>'Ameacas-Pré'!F45</f>
        <v>0</v>
      </c>
      <c r="K48" s="132" t="str">
        <f>IF(J48=0,"0",'Ameacas-Pré'!O45)</f>
        <v>0</v>
      </c>
      <c r="L48" s="229">
        <f t="shared" si="0"/>
        <v>0</v>
      </c>
      <c r="M48" s="226"/>
      <c r="N48" s="228">
        <v>0</v>
      </c>
      <c r="O48" s="228"/>
    </row>
    <row r="49" spans="1:15" s="402" customFormat="1" ht="13">
      <c r="A49" s="126">
        <f>'Ameacas-Pré'!A46</f>
        <v>39</v>
      </c>
      <c r="B49" s="401" t="str">
        <f>IF(('Ameacas-Pré'!B46)&gt;0,'Ameacas-Pré'!B46,"")</f>
        <v/>
      </c>
      <c r="C49" s="233" t="str">
        <f>IF(('Ameacas-Pré'!C46)&gt;0,'Ameacas-Pré'!C46,"")</f>
        <v/>
      </c>
      <c r="D49" s="434" t="str">
        <f>IF(('Ameacas-Pré'!D46)&gt;0,'Ameacas-Pré'!D46,"")</f>
        <v/>
      </c>
      <c r="E49" s="418"/>
      <c r="F49" s="398" t="str">
        <f>IF(('Ameacas-Pré'!F46)&gt;0,'Ameacas-Pré'!P46,"")</f>
        <v/>
      </c>
      <c r="G49" s="226"/>
      <c r="H49" s="227"/>
      <c r="I49" s="228">
        <v>0</v>
      </c>
      <c r="J49" s="129">
        <f>'Ameacas-Pré'!F46</f>
        <v>0</v>
      </c>
      <c r="K49" s="132" t="str">
        <f>IF(J49=0,"0",'Ameacas-Pré'!O46)</f>
        <v>0</v>
      </c>
      <c r="L49" s="229">
        <f t="shared" si="0"/>
        <v>0</v>
      </c>
      <c r="M49" s="226"/>
      <c r="N49" s="228">
        <v>0</v>
      </c>
      <c r="O49" s="228"/>
    </row>
    <row r="50" spans="1:15" s="402" customFormat="1" ht="13">
      <c r="A50" s="126">
        <f>'Ameacas-Pré'!A47</f>
        <v>40</v>
      </c>
      <c r="B50" s="401" t="str">
        <f>IF(('Ameacas-Pré'!B47)&gt;0,'Ameacas-Pré'!B47,"")</f>
        <v/>
      </c>
      <c r="C50" s="233" t="str">
        <f>IF(('Ameacas-Pré'!C47)&gt;0,'Ameacas-Pré'!C47,"")</f>
        <v/>
      </c>
      <c r="D50" s="434" t="str">
        <f>IF(('Ameacas-Pré'!D47)&gt;0,'Ameacas-Pré'!D47,"")</f>
        <v/>
      </c>
      <c r="E50" s="418"/>
      <c r="F50" s="398" t="str">
        <f>IF(('Ameacas-Pré'!F47)&gt;0,'Ameacas-Pré'!P47,"")</f>
        <v/>
      </c>
      <c r="G50" s="226"/>
      <c r="H50" s="227"/>
      <c r="I50" s="228">
        <v>0</v>
      </c>
      <c r="J50" s="129">
        <f>'Ameacas-Pré'!F47</f>
        <v>0</v>
      </c>
      <c r="K50" s="132" t="str">
        <f>IF(J50=0,"0",'Ameacas-Pré'!O47)</f>
        <v>0</v>
      </c>
      <c r="L50" s="229">
        <f t="shared" si="0"/>
        <v>0</v>
      </c>
      <c r="M50" s="226"/>
      <c r="N50" s="228">
        <v>0</v>
      </c>
      <c r="O50" s="228"/>
    </row>
    <row r="51" spans="1:15" s="402" customFormat="1" ht="13">
      <c r="A51" s="126">
        <f>'Ameacas-Pré'!A48</f>
        <v>41</v>
      </c>
      <c r="B51" s="401" t="str">
        <f>IF(('Ameacas-Pré'!B48)&gt;0,'Ameacas-Pré'!B48,"")</f>
        <v/>
      </c>
      <c r="C51" s="233" t="str">
        <f>IF(('Ameacas-Pré'!C48)&gt;0,'Ameacas-Pré'!C48,"")</f>
        <v/>
      </c>
      <c r="D51" s="434" t="str">
        <f>IF(('Ameacas-Pré'!D48)&gt;0,'Ameacas-Pré'!D48,"")</f>
        <v/>
      </c>
      <c r="E51" s="418"/>
      <c r="F51" s="398" t="str">
        <f>IF(('Ameacas-Pré'!F48)&gt;0,'Ameacas-Pré'!P48,"")</f>
        <v/>
      </c>
      <c r="G51" s="226"/>
      <c r="H51" s="227"/>
      <c r="I51" s="228">
        <v>0</v>
      </c>
      <c r="J51" s="129">
        <f>'Ameacas-Pré'!F48</f>
        <v>0</v>
      </c>
      <c r="K51" s="132" t="str">
        <f>IF(J51=0,"0",'Ameacas-Pré'!O48)</f>
        <v>0</v>
      </c>
      <c r="L51" s="229">
        <f t="shared" si="0"/>
        <v>0</v>
      </c>
      <c r="M51" s="226"/>
      <c r="N51" s="228">
        <v>0</v>
      </c>
      <c r="O51" s="228"/>
    </row>
    <row r="52" spans="1:15" s="402" customFormat="1" ht="13">
      <c r="A52" s="126">
        <f>'Ameacas-Pré'!A49</f>
        <v>42</v>
      </c>
      <c r="B52" s="401" t="str">
        <f>IF(('Ameacas-Pré'!B49)&gt;0,'Ameacas-Pré'!B49,"")</f>
        <v/>
      </c>
      <c r="C52" s="233" t="str">
        <f>IF(('Ameacas-Pré'!C49)&gt;0,'Ameacas-Pré'!C49,"")</f>
        <v/>
      </c>
      <c r="D52" s="434" t="str">
        <f>IF(('Ameacas-Pré'!D49)&gt;0,'Ameacas-Pré'!D49,"")</f>
        <v/>
      </c>
      <c r="E52" s="418"/>
      <c r="F52" s="398" t="str">
        <f>IF(('Ameacas-Pré'!F49)&gt;0,'Ameacas-Pré'!P49,"")</f>
        <v/>
      </c>
      <c r="G52" s="226"/>
      <c r="H52" s="227"/>
      <c r="I52" s="228">
        <v>0</v>
      </c>
      <c r="J52" s="129">
        <f>'Ameacas-Pré'!F49</f>
        <v>0</v>
      </c>
      <c r="K52" s="132" t="str">
        <f>IF(J52=0,"0",'Ameacas-Pré'!O49)</f>
        <v>0</v>
      </c>
      <c r="L52" s="229">
        <f t="shared" si="0"/>
        <v>0</v>
      </c>
      <c r="M52" s="226"/>
      <c r="N52" s="228">
        <v>0</v>
      </c>
      <c r="O52" s="228"/>
    </row>
    <row r="53" spans="1:15" ht="13">
      <c r="A53" s="126">
        <f>'Ameacas-Pré'!A50</f>
        <v>43</v>
      </c>
      <c r="B53" s="307" t="str">
        <f>IF(('Ameacas-Pré'!B50)&gt;0,'Ameacas-Pré'!B50,"")</f>
        <v/>
      </c>
      <c r="C53" s="224" t="str">
        <f>IF(('Ameacas-Pré'!C50)&gt;0,'Ameacas-Pré'!C50,"")</f>
        <v/>
      </c>
      <c r="D53" s="435" t="str">
        <f>IF(('Ameacas-Pré'!D50)&gt;0,'Ameacas-Pré'!D50,"")</f>
        <v/>
      </c>
      <c r="E53" s="436"/>
      <c r="F53" s="398" t="str">
        <f>IF(('Ameacas-Pré'!F50)&gt;0,'Ameacas-Pré'!P50,"")</f>
        <v/>
      </c>
      <c r="G53" s="226"/>
      <c r="H53" s="227"/>
      <c r="I53" s="228">
        <v>0</v>
      </c>
      <c r="J53" s="129">
        <f>'Ameacas-Pré'!F50</f>
        <v>0</v>
      </c>
      <c r="K53" s="132" t="str">
        <f>IF(J53=0,"0",'Ameacas-Pré'!O50)</f>
        <v>0</v>
      </c>
      <c r="L53" s="229">
        <f t="shared" si="0"/>
        <v>0</v>
      </c>
      <c r="M53" s="226"/>
      <c r="N53" s="228">
        <v>0</v>
      </c>
      <c r="O53" s="228"/>
    </row>
    <row r="54" spans="1:15" ht="13">
      <c r="A54" s="126">
        <f>'Ameacas-Pré'!A51</f>
        <v>44</v>
      </c>
      <c r="B54" s="307" t="str">
        <f>IF(('Ameacas-Pré'!B51)&gt;0,'Ameacas-Pré'!B51,"")</f>
        <v/>
      </c>
      <c r="C54" s="224" t="str">
        <f>IF(('Ameacas-Pré'!C51)&gt;0,'Ameacas-Pré'!C51,"")</f>
        <v/>
      </c>
      <c r="D54" s="435" t="str">
        <f>IF(('Ameacas-Pré'!D51)&gt;0,'Ameacas-Pré'!D51,"")</f>
        <v/>
      </c>
      <c r="E54" s="436"/>
      <c r="F54" s="398" t="str">
        <f>IF(('Ameacas-Pré'!F51)&gt;0,'Ameacas-Pré'!P51,"")</f>
        <v/>
      </c>
      <c r="G54" s="226"/>
      <c r="H54" s="227"/>
      <c r="I54" s="228">
        <v>0</v>
      </c>
      <c r="J54" s="129">
        <f>'Ameacas-Pré'!F51</f>
        <v>0</v>
      </c>
      <c r="K54" s="132" t="str">
        <f>IF(J54=0,"0",'Ameacas-Pré'!O51)</f>
        <v>0</v>
      </c>
      <c r="L54" s="229">
        <f t="shared" si="0"/>
        <v>0</v>
      </c>
      <c r="M54" s="226"/>
      <c r="N54" s="228">
        <v>0</v>
      </c>
      <c r="O54" s="228"/>
    </row>
    <row r="55" spans="1:15" ht="13">
      <c r="A55" s="126">
        <f>'Ameacas-Pré'!A52</f>
        <v>45</v>
      </c>
      <c r="B55" s="307" t="str">
        <f>IF(('Ameacas-Pré'!B52)&gt;0,'Ameacas-Pré'!B52,"")</f>
        <v/>
      </c>
      <c r="C55" s="224" t="str">
        <f>IF(('Ameacas-Pré'!C52)&gt;0,'Ameacas-Pré'!C52,"")</f>
        <v/>
      </c>
      <c r="D55" s="435" t="str">
        <f>IF(('Ameacas-Pré'!D52)&gt;0,'Ameacas-Pré'!D52,"")</f>
        <v/>
      </c>
      <c r="E55" s="436"/>
      <c r="F55" s="398" t="str">
        <f>IF(('Ameacas-Pré'!F52)&gt;0,'Ameacas-Pré'!P52,"")</f>
        <v/>
      </c>
      <c r="G55" s="226"/>
      <c r="H55" s="227"/>
      <c r="I55" s="228">
        <v>0</v>
      </c>
      <c r="J55" s="129">
        <f>'Ameacas-Pré'!F52</f>
        <v>0</v>
      </c>
      <c r="K55" s="132" t="str">
        <f>IF(J55=0,"0",'Ameacas-Pré'!O52)</f>
        <v>0</v>
      </c>
      <c r="L55" s="229">
        <f t="shared" si="0"/>
        <v>0</v>
      </c>
      <c r="M55" s="226"/>
      <c r="N55" s="228">
        <v>0</v>
      </c>
      <c r="O55" s="228"/>
    </row>
    <row r="56" spans="1:15" ht="13">
      <c r="A56" s="126">
        <f>'Ameacas-Pré'!A53</f>
        <v>46</v>
      </c>
      <c r="B56" s="307" t="str">
        <f>IF(('Ameacas-Pré'!B53)&gt;0,'Ameacas-Pré'!B53,"")</f>
        <v/>
      </c>
      <c r="C56" s="224" t="str">
        <f>IF(('Ameacas-Pré'!C53)&gt;0,'Ameacas-Pré'!C53,"")</f>
        <v/>
      </c>
      <c r="D56" s="435" t="str">
        <f>IF(('Ameacas-Pré'!D53)&gt;0,'Ameacas-Pré'!D53,"")</f>
        <v/>
      </c>
      <c r="E56" s="436"/>
      <c r="F56" s="398" t="str">
        <f>IF(('Ameacas-Pré'!F53)&gt;0,'Ameacas-Pré'!P53,"")</f>
        <v/>
      </c>
      <c r="G56" s="226"/>
      <c r="H56" s="227"/>
      <c r="I56" s="228">
        <v>0</v>
      </c>
      <c r="J56" s="129">
        <f>'Ameacas-Pré'!F53</f>
        <v>0</v>
      </c>
      <c r="K56" s="132" t="str">
        <f>IF(J56=0,"0",'Ameacas-Pré'!O53)</f>
        <v>0</v>
      </c>
      <c r="L56" s="229">
        <f t="shared" si="0"/>
        <v>0</v>
      </c>
      <c r="M56" s="226"/>
      <c r="N56" s="228">
        <v>0</v>
      </c>
      <c r="O56" s="228"/>
    </row>
    <row r="57" spans="1:15" ht="13">
      <c r="A57" s="126">
        <f>'Ameacas-Pré'!A54</f>
        <v>47</v>
      </c>
      <c r="B57" s="307" t="str">
        <f>IF(('Ameacas-Pré'!B54)&gt;0,'Ameacas-Pré'!B54,"")</f>
        <v/>
      </c>
      <c r="C57" s="224" t="str">
        <f>IF(('Ameacas-Pré'!C54)&gt;0,'Ameacas-Pré'!C54,"")</f>
        <v/>
      </c>
      <c r="D57" s="435" t="str">
        <f>IF(('Ameacas-Pré'!D54)&gt;0,'Ameacas-Pré'!D54,"")</f>
        <v/>
      </c>
      <c r="E57" s="436"/>
      <c r="F57" s="398" t="str">
        <f>IF(('Ameacas-Pré'!F54)&gt;0,'Ameacas-Pré'!P54,"")</f>
        <v/>
      </c>
      <c r="G57" s="226"/>
      <c r="H57" s="227"/>
      <c r="I57" s="228">
        <v>0</v>
      </c>
      <c r="J57" s="129">
        <f>'Ameacas-Pré'!F54</f>
        <v>0</v>
      </c>
      <c r="K57" s="132" t="str">
        <f>IF(J57=0,"0",'Ameacas-Pré'!O54)</f>
        <v>0</v>
      </c>
      <c r="L57" s="229">
        <f t="shared" si="0"/>
        <v>0</v>
      </c>
      <c r="M57" s="226"/>
      <c r="N57" s="228">
        <v>0</v>
      </c>
      <c r="O57" s="228"/>
    </row>
    <row r="58" spans="1:15" ht="13">
      <c r="A58" s="126">
        <f>'Ameacas-Pré'!A55</f>
        <v>48</v>
      </c>
      <c r="B58" s="307" t="str">
        <f>IF(('Ameacas-Pré'!B55)&gt;0,'Ameacas-Pré'!B55,"")</f>
        <v/>
      </c>
      <c r="C58" s="224" t="str">
        <f>IF(('Ameacas-Pré'!C55)&gt;0,'Ameacas-Pré'!C55,"")</f>
        <v/>
      </c>
      <c r="D58" s="435" t="str">
        <f>IF(('Ameacas-Pré'!D55)&gt;0,'Ameacas-Pré'!D55,"")</f>
        <v/>
      </c>
      <c r="E58" s="436"/>
      <c r="F58" s="398" t="str">
        <f>IF(('Ameacas-Pré'!F55)&gt;0,'Ameacas-Pré'!P55,"")</f>
        <v/>
      </c>
      <c r="G58" s="226"/>
      <c r="H58" s="227"/>
      <c r="I58" s="228">
        <v>0</v>
      </c>
      <c r="J58" s="129">
        <f>'Ameacas-Pré'!F55</f>
        <v>0</v>
      </c>
      <c r="K58" s="132" t="str">
        <f>IF(J58=0,"0",'Ameacas-Pré'!O55)</f>
        <v>0</v>
      </c>
      <c r="L58" s="229">
        <f t="shared" si="0"/>
        <v>0</v>
      </c>
      <c r="M58" s="226"/>
      <c r="N58" s="228">
        <v>0</v>
      </c>
      <c r="O58" s="228"/>
    </row>
    <row r="59" spans="1:15" ht="13">
      <c r="A59" s="126">
        <f>'Ameacas-Pré'!A56</f>
        <v>49</v>
      </c>
      <c r="B59" s="307" t="str">
        <f>IF(('Ameacas-Pré'!B56)&gt;0,'Ameacas-Pré'!B56,"")</f>
        <v/>
      </c>
      <c r="C59" s="224" t="str">
        <f>IF(('Ameacas-Pré'!C56)&gt;0,'Ameacas-Pré'!C56,"")</f>
        <v/>
      </c>
      <c r="D59" s="435" t="str">
        <f>IF(('Ameacas-Pré'!D56)&gt;0,'Ameacas-Pré'!D56,"")</f>
        <v/>
      </c>
      <c r="E59" s="436"/>
      <c r="F59" s="398" t="str">
        <f>IF(('Ameacas-Pré'!F56)&gt;0,'Ameacas-Pré'!P56,"")</f>
        <v/>
      </c>
      <c r="G59" s="226"/>
      <c r="H59" s="227"/>
      <c r="I59" s="228">
        <v>0</v>
      </c>
      <c r="J59" s="129">
        <f>'Ameacas-Pré'!F56</f>
        <v>0</v>
      </c>
      <c r="K59" s="132" t="str">
        <f>IF(J59=0,"0",'Ameacas-Pré'!O56)</f>
        <v>0</v>
      </c>
      <c r="L59" s="229">
        <f t="shared" si="0"/>
        <v>0</v>
      </c>
      <c r="M59" s="226"/>
      <c r="N59" s="228">
        <v>0</v>
      </c>
      <c r="O59" s="228"/>
    </row>
    <row r="60" spans="1:15" ht="13">
      <c r="A60" s="126">
        <f>'Ameacas-Pré'!A57</f>
        <v>50</v>
      </c>
      <c r="B60" s="307" t="str">
        <f>IF(('Ameacas-Pré'!B57)&gt;0,'Ameacas-Pré'!B57,"")</f>
        <v/>
      </c>
      <c r="C60" s="224" t="str">
        <f>IF(('Ameacas-Pré'!C57)&gt;0,'Ameacas-Pré'!C57,"")</f>
        <v/>
      </c>
      <c r="D60" s="435" t="str">
        <f>IF(('Ameacas-Pré'!D57)&gt;0,'Ameacas-Pré'!D57,"")</f>
        <v/>
      </c>
      <c r="E60" s="436"/>
      <c r="F60" s="398" t="str">
        <f>IF(('Ameacas-Pré'!F57)&gt;0,'Ameacas-Pré'!P57,"")</f>
        <v/>
      </c>
      <c r="G60" s="226"/>
      <c r="H60" s="227"/>
      <c r="I60" s="228">
        <v>0</v>
      </c>
      <c r="J60" s="129">
        <f>'Ameacas-Pré'!F57</f>
        <v>0</v>
      </c>
      <c r="K60" s="132" t="str">
        <f>IF(J60=0,"0",'Ameacas-Pré'!O57)</f>
        <v>0</v>
      </c>
      <c r="L60" s="229">
        <f t="shared" si="0"/>
        <v>0</v>
      </c>
      <c r="M60" s="226"/>
      <c r="N60" s="228">
        <v>0</v>
      </c>
      <c r="O60" s="228"/>
    </row>
    <row r="61" spans="1:15" ht="13">
      <c r="A61" s="126">
        <f>'Ameacas-Pré'!A58</f>
        <v>51</v>
      </c>
      <c r="B61" s="307" t="str">
        <f>IF(('Ameacas-Pré'!B58)&gt;0,'Ameacas-Pré'!B58,"")</f>
        <v/>
      </c>
      <c r="C61" s="224" t="str">
        <f>IF(('Ameacas-Pré'!C58)&gt;0,'Ameacas-Pré'!C58,"")</f>
        <v/>
      </c>
      <c r="D61" s="435" t="str">
        <f>IF(('Ameacas-Pré'!D58)&gt;0,'Ameacas-Pré'!D58,"")</f>
        <v/>
      </c>
      <c r="E61" s="436"/>
      <c r="F61" s="398" t="str">
        <f>IF(('Ameacas-Pré'!F58)&gt;0,'Ameacas-Pré'!P58,"")</f>
        <v/>
      </c>
      <c r="G61" s="226"/>
      <c r="H61" s="227"/>
      <c r="I61" s="228">
        <v>0</v>
      </c>
      <c r="J61" s="129">
        <f>'Ameacas-Pré'!F58</f>
        <v>0</v>
      </c>
      <c r="K61" s="132" t="str">
        <f>IF(J61=0,"0",'Ameacas-Pré'!O58)</f>
        <v>0</v>
      </c>
      <c r="L61" s="229">
        <f t="shared" si="0"/>
        <v>0</v>
      </c>
      <c r="M61" s="226"/>
      <c r="N61" s="228">
        <v>0</v>
      </c>
      <c r="O61" s="228"/>
    </row>
    <row r="62" spans="1:15" ht="13">
      <c r="A62" s="126">
        <f>'Ameacas-Pré'!A59</f>
        <v>52</v>
      </c>
      <c r="B62" s="307" t="str">
        <f>IF(('Ameacas-Pré'!B59)&gt;0,'Ameacas-Pré'!B59,"")</f>
        <v/>
      </c>
      <c r="C62" s="224" t="str">
        <f>IF(('Ameacas-Pré'!C59)&gt;0,'Ameacas-Pré'!C59,"")</f>
        <v/>
      </c>
      <c r="D62" s="435" t="str">
        <f>IF(('Ameacas-Pré'!D59)&gt;0,'Ameacas-Pré'!D59,"")</f>
        <v/>
      </c>
      <c r="E62" s="436"/>
      <c r="F62" s="398" t="str">
        <f>IF(('Ameacas-Pré'!F59)&gt;0,'Ameacas-Pré'!P59,"")</f>
        <v/>
      </c>
      <c r="G62" s="226"/>
      <c r="H62" s="227"/>
      <c r="I62" s="228">
        <v>0</v>
      </c>
      <c r="J62" s="129">
        <f>'Ameacas-Pré'!F59</f>
        <v>0</v>
      </c>
      <c r="K62" s="132" t="str">
        <f>IF(J62=0,"0",'Ameacas-Pré'!O59)</f>
        <v>0</v>
      </c>
      <c r="L62" s="229">
        <f t="shared" si="0"/>
        <v>0</v>
      </c>
      <c r="M62" s="226"/>
      <c r="N62" s="228">
        <v>0</v>
      </c>
      <c r="O62" s="228"/>
    </row>
    <row r="63" spans="1:15" ht="13">
      <c r="A63" s="126">
        <f>'Ameacas-Pré'!A60</f>
        <v>53</v>
      </c>
      <c r="B63" s="307" t="str">
        <f>IF(('Ameacas-Pré'!B60)&gt;0,'Ameacas-Pré'!B60,"")</f>
        <v/>
      </c>
      <c r="C63" s="224" t="str">
        <f>IF(('Ameacas-Pré'!C60)&gt;0,'Ameacas-Pré'!C60,"")</f>
        <v/>
      </c>
      <c r="D63" s="435" t="str">
        <f>IF(('Ameacas-Pré'!D60)&gt;0,'Ameacas-Pré'!D60,"")</f>
        <v/>
      </c>
      <c r="E63" s="436"/>
      <c r="F63" s="398" t="str">
        <f>IF(('Ameacas-Pré'!F60)&gt;0,'Ameacas-Pré'!P60,"")</f>
        <v/>
      </c>
      <c r="G63" s="226"/>
      <c r="H63" s="227"/>
      <c r="I63" s="228">
        <v>0</v>
      </c>
      <c r="J63" s="129">
        <f>'Ameacas-Pré'!F60</f>
        <v>0</v>
      </c>
      <c r="K63" s="132" t="str">
        <f>IF(J63=0,"0",'Ameacas-Pré'!O60)</f>
        <v>0</v>
      </c>
      <c r="L63" s="229">
        <f t="shared" si="0"/>
        <v>0</v>
      </c>
      <c r="M63" s="226"/>
      <c r="N63" s="228">
        <v>0</v>
      </c>
      <c r="O63" s="228"/>
    </row>
    <row r="64" spans="1:15" ht="13">
      <c r="A64" s="126">
        <f>'Ameacas-Pré'!A61</f>
        <v>54</v>
      </c>
      <c r="B64" s="307" t="str">
        <f>IF(('Ameacas-Pré'!B61)&gt;0,'Ameacas-Pré'!B61,"")</f>
        <v/>
      </c>
      <c r="C64" s="224" t="str">
        <f>IF(('Ameacas-Pré'!C61)&gt;0,'Ameacas-Pré'!C61,"")</f>
        <v/>
      </c>
      <c r="D64" s="435" t="str">
        <f>IF(('Ameacas-Pré'!D61)&gt;0,'Ameacas-Pré'!D61,"")</f>
        <v/>
      </c>
      <c r="E64" s="436"/>
      <c r="F64" s="398" t="str">
        <f>IF(('Ameacas-Pré'!F61)&gt;0,'Ameacas-Pré'!P61,"")</f>
        <v/>
      </c>
      <c r="G64" s="226"/>
      <c r="H64" s="227"/>
      <c r="I64" s="228">
        <v>0</v>
      </c>
      <c r="J64" s="129">
        <f>'Ameacas-Pré'!F61</f>
        <v>0</v>
      </c>
      <c r="K64" s="132" t="str">
        <f>IF(J64=0,"0",'Ameacas-Pré'!O61)</f>
        <v>0</v>
      </c>
      <c r="L64" s="229">
        <f t="shared" si="0"/>
        <v>0</v>
      </c>
      <c r="M64" s="226"/>
      <c r="N64" s="228">
        <v>0</v>
      </c>
      <c r="O64" s="228"/>
    </row>
    <row r="65" spans="1:15" ht="13">
      <c r="A65" s="126">
        <f>'Ameacas-Pré'!A62</f>
        <v>55</v>
      </c>
      <c r="B65" s="307" t="str">
        <f>IF(('Ameacas-Pré'!B62)&gt;0,'Ameacas-Pré'!B62,"")</f>
        <v/>
      </c>
      <c r="C65" s="224" t="str">
        <f>IF(('Ameacas-Pré'!C62)&gt;0,'Ameacas-Pré'!C62,"")</f>
        <v/>
      </c>
      <c r="D65" s="435" t="str">
        <f>IF(('Ameacas-Pré'!D62)&gt;0,'Ameacas-Pré'!D62,"")</f>
        <v/>
      </c>
      <c r="E65" s="436"/>
      <c r="F65" s="398" t="str">
        <f>IF(('Ameacas-Pré'!F62)&gt;0,'Ameacas-Pré'!P62,"")</f>
        <v/>
      </c>
      <c r="G65" s="226"/>
      <c r="H65" s="227"/>
      <c r="I65" s="228">
        <v>0</v>
      </c>
      <c r="J65" s="129">
        <f>'Ameacas-Pré'!F62</f>
        <v>0</v>
      </c>
      <c r="K65" s="132" t="str">
        <f>IF(J65=0,"0",'Ameacas-Pré'!O62)</f>
        <v>0</v>
      </c>
      <c r="L65" s="229">
        <f t="shared" si="0"/>
        <v>0</v>
      </c>
      <c r="M65" s="226"/>
      <c r="N65" s="228">
        <v>0</v>
      </c>
      <c r="O65" s="228"/>
    </row>
    <row r="66" spans="1:15" ht="13">
      <c r="A66" s="126">
        <f>'Ameacas-Pré'!A63</f>
        <v>56</v>
      </c>
      <c r="B66" s="307" t="str">
        <f>IF(('Ameacas-Pré'!B63)&gt;0,'Ameacas-Pré'!B63,"")</f>
        <v/>
      </c>
      <c r="C66" s="224" t="str">
        <f>IF(('Ameacas-Pré'!C63)&gt;0,'Ameacas-Pré'!C63,"")</f>
        <v/>
      </c>
      <c r="D66" s="435" t="str">
        <f>IF(('Ameacas-Pré'!D63)&gt;0,'Ameacas-Pré'!D63,"")</f>
        <v/>
      </c>
      <c r="E66" s="436"/>
      <c r="F66" s="398" t="str">
        <f>IF(('Ameacas-Pré'!F63)&gt;0,'Ameacas-Pré'!P63,"")</f>
        <v/>
      </c>
      <c r="G66" s="226"/>
      <c r="H66" s="227"/>
      <c r="I66" s="228">
        <v>0</v>
      </c>
      <c r="J66" s="129">
        <f>'Ameacas-Pré'!F63</f>
        <v>0</v>
      </c>
      <c r="K66" s="132" t="str">
        <f>IF(J66=0,"0",'Ameacas-Pré'!O63)</f>
        <v>0</v>
      </c>
      <c r="L66" s="229">
        <f t="shared" si="0"/>
        <v>0</v>
      </c>
      <c r="M66" s="226"/>
      <c r="N66" s="228">
        <v>0</v>
      </c>
      <c r="O66" s="228"/>
    </row>
    <row r="67" spans="1:15" ht="13">
      <c r="A67" s="126">
        <f>'Ameacas-Pré'!A64</f>
        <v>57</v>
      </c>
      <c r="B67" s="307" t="str">
        <f>IF(('Ameacas-Pré'!B64)&gt;0,'Ameacas-Pré'!B64,"")</f>
        <v/>
      </c>
      <c r="C67" s="224" t="str">
        <f>IF(('Ameacas-Pré'!C64)&gt;0,'Ameacas-Pré'!C64,"")</f>
        <v/>
      </c>
      <c r="D67" s="435" t="str">
        <f>IF(('Ameacas-Pré'!D64)&gt;0,'Ameacas-Pré'!D64,"")</f>
        <v/>
      </c>
      <c r="E67" s="436"/>
      <c r="F67" s="398" t="str">
        <f>IF(('Ameacas-Pré'!F64)&gt;0,'Ameacas-Pré'!P64,"")</f>
        <v/>
      </c>
      <c r="G67" s="226"/>
      <c r="H67" s="227"/>
      <c r="I67" s="228">
        <v>0</v>
      </c>
      <c r="J67" s="129">
        <f>'Ameacas-Pré'!F64</f>
        <v>0</v>
      </c>
      <c r="K67" s="132" t="str">
        <f>IF(J67=0,"0",'Ameacas-Pré'!O64)</f>
        <v>0</v>
      </c>
      <c r="L67" s="229">
        <f t="shared" si="0"/>
        <v>0</v>
      </c>
      <c r="M67" s="226"/>
      <c r="N67" s="228">
        <v>0</v>
      </c>
      <c r="O67" s="228"/>
    </row>
    <row r="68" spans="1:15" ht="13">
      <c r="A68" s="126">
        <f>'Ameacas-Pré'!A65</f>
        <v>58</v>
      </c>
      <c r="B68" s="307" t="str">
        <f>IF(('Ameacas-Pré'!B65)&gt;0,'Ameacas-Pré'!B65,"")</f>
        <v/>
      </c>
      <c r="C68" s="224" t="str">
        <f>IF(('Ameacas-Pré'!C65)&gt;0,'Ameacas-Pré'!C65,"")</f>
        <v/>
      </c>
      <c r="D68" s="435" t="str">
        <f>IF(('Ameacas-Pré'!D65)&gt;0,'Ameacas-Pré'!D65,"")</f>
        <v/>
      </c>
      <c r="E68" s="436"/>
      <c r="F68" s="398" t="str">
        <f>IF(('Ameacas-Pré'!F65)&gt;0,'Ameacas-Pré'!P65,"")</f>
        <v/>
      </c>
      <c r="G68" s="226"/>
      <c r="H68" s="227"/>
      <c r="I68" s="228">
        <v>0</v>
      </c>
      <c r="J68" s="129">
        <f>'Ameacas-Pré'!F65</f>
        <v>0</v>
      </c>
      <c r="K68" s="132" t="str">
        <f>IF(J68=0,"0",'Ameacas-Pré'!O65)</f>
        <v>0</v>
      </c>
      <c r="L68" s="229">
        <f t="shared" si="0"/>
        <v>0</v>
      </c>
      <c r="M68" s="226"/>
      <c r="N68" s="228">
        <v>0</v>
      </c>
      <c r="O68" s="228"/>
    </row>
    <row r="69" spans="1:15" ht="13">
      <c r="A69" s="126">
        <f>'Ameacas-Pré'!A66</f>
        <v>59</v>
      </c>
      <c r="B69" s="307" t="str">
        <f>IF(('Ameacas-Pré'!B66)&gt;0,'Ameacas-Pré'!B66,"")</f>
        <v/>
      </c>
      <c r="C69" s="224" t="str">
        <f>IF(('Ameacas-Pré'!C66)&gt;0,'Ameacas-Pré'!C66,"")</f>
        <v/>
      </c>
      <c r="D69" s="435" t="str">
        <f>IF(('Ameacas-Pré'!D66)&gt;0,'Ameacas-Pré'!D66,"")</f>
        <v/>
      </c>
      <c r="E69" s="436"/>
      <c r="F69" s="398" t="str">
        <f>IF(('Ameacas-Pré'!F66)&gt;0,'Ameacas-Pré'!P66,"")</f>
        <v/>
      </c>
      <c r="G69" s="226"/>
      <c r="H69" s="227"/>
      <c r="I69" s="228">
        <v>0</v>
      </c>
      <c r="J69" s="129">
        <f>'Ameacas-Pré'!F66</f>
        <v>0</v>
      </c>
      <c r="K69" s="132" t="str">
        <f>IF(J69=0,"0",'Ameacas-Pré'!O66)</f>
        <v>0</v>
      </c>
      <c r="L69" s="229">
        <f t="shared" si="0"/>
        <v>0</v>
      </c>
      <c r="M69" s="226"/>
      <c r="N69" s="228">
        <v>0</v>
      </c>
      <c r="O69" s="228"/>
    </row>
    <row r="70" spans="1:15" ht="13">
      <c r="A70" s="126">
        <f>'Ameacas-Pré'!A67</f>
        <v>60</v>
      </c>
      <c r="B70" s="307" t="str">
        <f>IF(('Ameacas-Pré'!B67)&gt;0,'Ameacas-Pré'!B67,"")</f>
        <v/>
      </c>
      <c r="C70" s="224" t="str">
        <f>IF(('Ameacas-Pré'!C67)&gt;0,'Ameacas-Pré'!C67,"")</f>
        <v/>
      </c>
      <c r="D70" s="435" t="str">
        <f>IF(('Ameacas-Pré'!D67)&gt;0,'Ameacas-Pré'!D67,"")</f>
        <v/>
      </c>
      <c r="E70" s="436"/>
      <c r="F70" s="398" t="str">
        <f>IF(('Ameacas-Pré'!F67)&gt;0,'Ameacas-Pré'!P67,"")</f>
        <v/>
      </c>
      <c r="G70" s="226"/>
      <c r="H70" s="227"/>
      <c r="I70" s="228">
        <v>0</v>
      </c>
      <c r="J70" s="129">
        <f>'Ameacas-Pré'!F67</f>
        <v>0</v>
      </c>
      <c r="K70" s="132" t="str">
        <f>IF(J70=0,"0",'Ameacas-Pré'!O67)</f>
        <v>0</v>
      </c>
      <c r="L70" s="229">
        <f t="shared" si="0"/>
        <v>0</v>
      </c>
      <c r="M70" s="226"/>
      <c r="N70" s="228">
        <v>0</v>
      </c>
      <c r="O70" s="228"/>
    </row>
    <row r="71" spans="1:15" ht="13">
      <c r="A71" s="126">
        <f>'Ameacas-Pré'!A68</f>
        <v>61</v>
      </c>
      <c r="B71" s="307" t="str">
        <f>IF(('Ameacas-Pré'!B68)&gt;0,'Ameacas-Pré'!B68,"")</f>
        <v/>
      </c>
      <c r="C71" s="224" t="str">
        <f>IF(('Ameacas-Pré'!C68)&gt;0,'Ameacas-Pré'!C68,"")</f>
        <v/>
      </c>
      <c r="D71" s="435" t="str">
        <f>IF(('Ameacas-Pré'!D68)&gt;0,'Ameacas-Pré'!D68,"")</f>
        <v/>
      </c>
      <c r="E71" s="436"/>
      <c r="F71" s="398" t="str">
        <f>IF(('Ameacas-Pré'!F68)&gt;0,'Ameacas-Pré'!P68,"")</f>
        <v/>
      </c>
      <c r="G71" s="226"/>
      <c r="H71" s="227"/>
      <c r="I71" s="228">
        <v>0</v>
      </c>
      <c r="J71" s="129">
        <f>'Ameacas-Pré'!F68</f>
        <v>0</v>
      </c>
      <c r="K71" s="132" t="str">
        <f>IF(J71=0,"0",'Ameacas-Pré'!O68)</f>
        <v>0</v>
      </c>
      <c r="L71" s="229">
        <f t="shared" si="0"/>
        <v>0</v>
      </c>
      <c r="M71" s="226"/>
      <c r="N71" s="228">
        <v>0</v>
      </c>
      <c r="O71" s="228"/>
    </row>
    <row r="72" spans="1:15" ht="13">
      <c r="A72" s="126">
        <f>'Ameacas-Pré'!A69</f>
        <v>62</v>
      </c>
      <c r="B72" s="307" t="str">
        <f>IF(('Ameacas-Pré'!B69)&gt;0,'Ameacas-Pré'!B69,"")</f>
        <v/>
      </c>
      <c r="C72" s="224" t="str">
        <f>IF(('Ameacas-Pré'!C69)&gt;0,'Ameacas-Pré'!C69,"")</f>
        <v/>
      </c>
      <c r="D72" s="435" t="str">
        <f>IF(('Ameacas-Pré'!D69)&gt;0,'Ameacas-Pré'!D69,"")</f>
        <v/>
      </c>
      <c r="E72" s="436"/>
      <c r="F72" s="398" t="str">
        <f>IF(('Ameacas-Pré'!F69)&gt;0,'Ameacas-Pré'!P69,"")</f>
        <v/>
      </c>
      <c r="G72" s="226"/>
      <c r="H72" s="227"/>
      <c r="I72" s="228">
        <v>0</v>
      </c>
      <c r="J72" s="129">
        <f>'Ameacas-Pré'!F69</f>
        <v>0</v>
      </c>
      <c r="K72" s="132" t="str">
        <f>IF(J72=0,"0",'Ameacas-Pré'!O69)</f>
        <v>0</v>
      </c>
      <c r="L72" s="229">
        <f t="shared" si="0"/>
        <v>0</v>
      </c>
      <c r="M72" s="226"/>
      <c r="N72" s="228">
        <v>0</v>
      </c>
      <c r="O72" s="228"/>
    </row>
    <row r="73" spans="1:15" ht="13">
      <c r="A73" s="126">
        <f>'Ameacas-Pré'!A70</f>
        <v>63</v>
      </c>
      <c r="B73" s="307" t="str">
        <f>IF(('Ameacas-Pré'!B70)&gt;0,'Ameacas-Pré'!B70,"")</f>
        <v/>
      </c>
      <c r="C73" s="224" t="str">
        <f>IF(('Ameacas-Pré'!C70)&gt;0,'Ameacas-Pré'!C70,"")</f>
        <v/>
      </c>
      <c r="D73" s="435" t="str">
        <f>IF(('Ameacas-Pré'!D70)&gt;0,'Ameacas-Pré'!D70,"")</f>
        <v/>
      </c>
      <c r="E73" s="436"/>
      <c r="F73" s="398" t="str">
        <f>IF(('Ameacas-Pré'!F70)&gt;0,'Ameacas-Pré'!P70,"")</f>
        <v/>
      </c>
      <c r="G73" s="226"/>
      <c r="H73" s="227"/>
      <c r="I73" s="228">
        <v>0</v>
      </c>
      <c r="J73" s="129">
        <f>'Ameacas-Pré'!F70</f>
        <v>0</v>
      </c>
      <c r="K73" s="132" t="str">
        <f>IF(J73=0,"0",'Ameacas-Pré'!O70)</f>
        <v>0</v>
      </c>
      <c r="L73" s="229">
        <f t="shared" si="0"/>
        <v>0</v>
      </c>
      <c r="M73" s="226"/>
      <c r="N73" s="228">
        <v>0</v>
      </c>
      <c r="O73" s="228"/>
    </row>
    <row r="74" spans="1:15" ht="13">
      <c r="A74" s="126">
        <f>'Ameacas-Pré'!A71</f>
        <v>64</v>
      </c>
      <c r="B74" s="307" t="str">
        <f>IF(('Ameacas-Pré'!B71)&gt;0,'Ameacas-Pré'!B71,"")</f>
        <v/>
      </c>
      <c r="C74" s="224" t="str">
        <f>IF(('Ameacas-Pré'!C71)&gt;0,'Ameacas-Pré'!C71,"")</f>
        <v/>
      </c>
      <c r="D74" s="435" t="str">
        <f>IF(('Ameacas-Pré'!D71)&gt;0,'Ameacas-Pré'!D71,"")</f>
        <v/>
      </c>
      <c r="E74" s="436"/>
      <c r="F74" s="398" t="str">
        <f>IF(('Ameacas-Pré'!F71)&gt;0,'Ameacas-Pré'!P71,"")</f>
        <v/>
      </c>
      <c r="G74" s="226"/>
      <c r="H74" s="227"/>
      <c r="I74" s="228">
        <v>0</v>
      </c>
      <c r="J74" s="129">
        <f>'Ameacas-Pré'!F71</f>
        <v>0</v>
      </c>
      <c r="K74" s="132" t="str">
        <f>IF(J74=0,"0",'Ameacas-Pré'!O71)</f>
        <v>0</v>
      </c>
      <c r="L74" s="229">
        <f t="shared" si="0"/>
        <v>0</v>
      </c>
      <c r="M74" s="226"/>
      <c r="N74" s="228">
        <v>0</v>
      </c>
      <c r="O74" s="228"/>
    </row>
    <row r="75" spans="1:15" ht="13">
      <c r="A75" s="126">
        <f>'Ameacas-Pré'!A72</f>
        <v>65</v>
      </c>
      <c r="B75" s="307" t="str">
        <f>IF(('Ameacas-Pré'!B72)&gt;0,'Ameacas-Pré'!B72,"")</f>
        <v/>
      </c>
      <c r="C75" s="224" t="str">
        <f>IF(('Ameacas-Pré'!C72)&gt;0,'Ameacas-Pré'!C72,"")</f>
        <v/>
      </c>
      <c r="D75" s="435" t="str">
        <f>IF(('Ameacas-Pré'!D72)&gt;0,'Ameacas-Pré'!D72,"")</f>
        <v/>
      </c>
      <c r="E75" s="436"/>
      <c r="F75" s="398" t="str">
        <f>IF(('Ameacas-Pré'!F72)&gt;0,'Ameacas-Pré'!P72,"")</f>
        <v/>
      </c>
      <c r="G75" s="226"/>
      <c r="H75" s="227"/>
      <c r="I75" s="228">
        <v>0</v>
      </c>
      <c r="J75" s="129">
        <f>'Ameacas-Pré'!F72</f>
        <v>0</v>
      </c>
      <c r="K75" s="132" t="str">
        <f>IF(J75=0,"0",'Ameacas-Pré'!O72)</f>
        <v>0</v>
      </c>
      <c r="L75" s="229">
        <f t="shared" si="0"/>
        <v>0</v>
      </c>
      <c r="M75" s="226"/>
      <c r="N75" s="228">
        <v>0</v>
      </c>
      <c r="O75" s="228"/>
    </row>
    <row r="76" spans="1:15" ht="13">
      <c r="A76" s="126">
        <f>'Ameacas-Pré'!A73</f>
        <v>66</v>
      </c>
      <c r="B76" s="307" t="str">
        <f>IF(('Ameacas-Pré'!B73)&gt;0,'Ameacas-Pré'!B73,"")</f>
        <v/>
      </c>
      <c r="C76" s="224" t="str">
        <f>IF(('Ameacas-Pré'!C73)&gt;0,'Ameacas-Pré'!C73,"")</f>
        <v/>
      </c>
      <c r="D76" s="435" t="str">
        <f>IF(('Ameacas-Pré'!D73)&gt;0,'Ameacas-Pré'!D73,"")</f>
        <v/>
      </c>
      <c r="E76" s="436"/>
      <c r="F76" s="398" t="str">
        <f>IF(('Ameacas-Pré'!F73)&gt;0,'Ameacas-Pré'!P73,"")</f>
        <v/>
      </c>
      <c r="G76" s="226"/>
      <c r="H76" s="227"/>
      <c r="I76" s="228">
        <v>0</v>
      </c>
      <c r="J76" s="129">
        <f>'Ameacas-Pré'!F73</f>
        <v>0</v>
      </c>
      <c r="K76" s="132" t="str">
        <f>IF(J76=0,"0",'Ameacas-Pré'!O73)</f>
        <v>0</v>
      </c>
      <c r="L76" s="229">
        <f t="shared" si="0"/>
        <v>0</v>
      </c>
      <c r="M76" s="226"/>
      <c r="N76" s="228">
        <v>0</v>
      </c>
      <c r="O76" s="228"/>
    </row>
    <row r="77" spans="1:15" ht="13">
      <c r="A77" s="126">
        <f>'Ameacas-Pré'!A74</f>
        <v>67</v>
      </c>
      <c r="B77" s="307" t="str">
        <f>IF(('Ameacas-Pré'!B74)&gt;0,'Ameacas-Pré'!B74,"")</f>
        <v/>
      </c>
      <c r="C77" s="224" t="str">
        <f>IF(('Ameacas-Pré'!C74)&gt;0,'Ameacas-Pré'!C74,"")</f>
        <v/>
      </c>
      <c r="D77" s="435" t="str">
        <f>IF(('Ameacas-Pré'!D74)&gt;0,'Ameacas-Pré'!D74,"")</f>
        <v/>
      </c>
      <c r="E77" s="436"/>
      <c r="F77" s="398" t="str">
        <f>IF(('Ameacas-Pré'!F74)&gt;0,'Ameacas-Pré'!P74,"")</f>
        <v/>
      </c>
      <c r="G77" s="226"/>
      <c r="H77" s="227"/>
      <c r="I77" s="228">
        <v>0</v>
      </c>
      <c r="J77" s="129">
        <f>'Ameacas-Pré'!F74</f>
        <v>0</v>
      </c>
      <c r="K77" s="132" t="str">
        <f>IF(J77=0,"0",'Ameacas-Pré'!O74)</f>
        <v>0</v>
      </c>
      <c r="L77" s="229">
        <f t="shared" si="0"/>
        <v>0</v>
      </c>
      <c r="M77" s="226"/>
      <c r="N77" s="228">
        <v>0</v>
      </c>
      <c r="O77" s="228"/>
    </row>
    <row r="78" spans="1:15" ht="13">
      <c r="A78" s="126">
        <f>'Ameacas-Pré'!A75</f>
        <v>68</v>
      </c>
      <c r="B78" s="307" t="str">
        <f>IF(('Ameacas-Pré'!B75)&gt;0,'Ameacas-Pré'!B75,"")</f>
        <v/>
      </c>
      <c r="C78" s="224" t="str">
        <f>IF(('Ameacas-Pré'!C75)&gt;0,'Ameacas-Pré'!C75,"")</f>
        <v/>
      </c>
      <c r="D78" s="435" t="str">
        <f>IF(('Ameacas-Pré'!D75)&gt;0,'Ameacas-Pré'!D75,"")</f>
        <v/>
      </c>
      <c r="E78" s="436"/>
      <c r="F78" s="398" t="str">
        <f>IF(('Ameacas-Pré'!F75)&gt;0,'Ameacas-Pré'!P75,"")</f>
        <v/>
      </c>
      <c r="G78" s="226"/>
      <c r="H78" s="227"/>
      <c r="I78" s="228">
        <v>0</v>
      </c>
      <c r="J78" s="129">
        <f>'Ameacas-Pré'!F75</f>
        <v>0</v>
      </c>
      <c r="K78" s="132" t="str">
        <f>IF(J78=0,"0",'Ameacas-Pré'!O75)</f>
        <v>0</v>
      </c>
      <c r="L78" s="229">
        <f t="shared" si="0"/>
        <v>0</v>
      </c>
      <c r="M78" s="226"/>
      <c r="N78" s="228">
        <v>0</v>
      </c>
      <c r="O78" s="228"/>
    </row>
    <row r="79" spans="1:15" ht="13">
      <c r="A79" s="126">
        <f>'Ameacas-Pré'!A76</f>
        <v>69</v>
      </c>
      <c r="B79" s="307" t="str">
        <f>IF(('Ameacas-Pré'!B76)&gt;0,'Ameacas-Pré'!B76,"")</f>
        <v/>
      </c>
      <c r="C79" s="224" t="str">
        <f>IF(('Ameacas-Pré'!C76)&gt;0,'Ameacas-Pré'!C76,"")</f>
        <v/>
      </c>
      <c r="D79" s="435" t="str">
        <f>IF(('Ameacas-Pré'!D76)&gt;0,'Ameacas-Pré'!D76,"")</f>
        <v/>
      </c>
      <c r="E79" s="436"/>
      <c r="F79" s="398" t="str">
        <f>IF(('Ameacas-Pré'!F76)&gt;0,'Ameacas-Pré'!P76,"")</f>
        <v/>
      </c>
      <c r="G79" s="226"/>
      <c r="H79" s="227"/>
      <c r="I79" s="228">
        <v>0</v>
      </c>
      <c r="J79" s="129">
        <f>'Ameacas-Pré'!F76</f>
        <v>0</v>
      </c>
      <c r="K79" s="132" t="str">
        <f>IF(J79=0,"0",'Ameacas-Pré'!O76)</f>
        <v>0</v>
      </c>
      <c r="L79" s="229">
        <f t="shared" ref="L79:L142" si="1">J79*K79</f>
        <v>0</v>
      </c>
      <c r="M79" s="226"/>
      <c r="N79" s="228">
        <v>0</v>
      </c>
      <c r="O79" s="228"/>
    </row>
    <row r="80" spans="1:15" ht="13">
      <c r="A80" s="126">
        <f>'Ameacas-Pré'!A77</f>
        <v>70</v>
      </c>
      <c r="B80" s="307" t="str">
        <f>IF(('Ameacas-Pré'!B77)&gt;0,'Ameacas-Pré'!B77,"")</f>
        <v/>
      </c>
      <c r="C80" s="224" t="str">
        <f>IF(('Ameacas-Pré'!C77)&gt;0,'Ameacas-Pré'!C77,"")</f>
        <v/>
      </c>
      <c r="D80" s="435" t="str">
        <f>IF(('Ameacas-Pré'!D77)&gt;0,'Ameacas-Pré'!D77,"")</f>
        <v/>
      </c>
      <c r="E80" s="436"/>
      <c r="F80" s="398" t="str">
        <f>IF(('Ameacas-Pré'!F77)&gt;0,'Ameacas-Pré'!P77,"")</f>
        <v/>
      </c>
      <c r="G80" s="226"/>
      <c r="H80" s="227"/>
      <c r="I80" s="228">
        <v>0</v>
      </c>
      <c r="J80" s="129">
        <f>'Ameacas-Pré'!F77</f>
        <v>0</v>
      </c>
      <c r="K80" s="132" t="str">
        <f>IF(J80=0,"0",'Ameacas-Pré'!O77)</f>
        <v>0</v>
      </c>
      <c r="L80" s="229">
        <f t="shared" si="1"/>
        <v>0</v>
      </c>
      <c r="M80" s="226"/>
      <c r="N80" s="228">
        <v>0</v>
      </c>
      <c r="O80" s="228"/>
    </row>
    <row r="81" spans="1:15" ht="13">
      <c r="A81" s="126">
        <f>'Ameacas-Pré'!A78</f>
        <v>71</v>
      </c>
      <c r="B81" s="307" t="str">
        <f>IF(('Ameacas-Pré'!B78)&gt;0,'Ameacas-Pré'!B78,"")</f>
        <v/>
      </c>
      <c r="C81" s="224" t="str">
        <f>IF(('Ameacas-Pré'!C78)&gt;0,'Ameacas-Pré'!C78,"")</f>
        <v/>
      </c>
      <c r="D81" s="435" t="str">
        <f>IF(('Ameacas-Pré'!D78)&gt;0,'Ameacas-Pré'!D78,"")</f>
        <v/>
      </c>
      <c r="E81" s="436"/>
      <c r="F81" s="398" t="str">
        <f>IF(('Ameacas-Pré'!F78)&gt;0,'Ameacas-Pré'!P78,"")</f>
        <v/>
      </c>
      <c r="G81" s="226"/>
      <c r="H81" s="227"/>
      <c r="I81" s="228">
        <v>0</v>
      </c>
      <c r="J81" s="129">
        <f>'Ameacas-Pré'!F78</f>
        <v>0</v>
      </c>
      <c r="K81" s="132" t="str">
        <f>IF(J81=0,"0",'Ameacas-Pré'!O78)</f>
        <v>0</v>
      </c>
      <c r="L81" s="229">
        <f t="shared" si="1"/>
        <v>0</v>
      </c>
      <c r="M81" s="226"/>
      <c r="N81" s="228">
        <v>0</v>
      </c>
      <c r="O81" s="228"/>
    </row>
    <row r="82" spans="1:15" ht="13">
      <c r="A82" s="126">
        <f>'Ameacas-Pré'!A79</f>
        <v>72</v>
      </c>
      <c r="B82" s="307" t="str">
        <f>IF(('Ameacas-Pré'!B79)&gt;0,'Ameacas-Pré'!B79,"")</f>
        <v/>
      </c>
      <c r="C82" s="224" t="str">
        <f>IF(('Ameacas-Pré'!C79)&gt;0,'Ameacas-Pré'!C79,"")</f>
        <v/>
      </c>
      <c r="D82" s="435" t="str">
        <f>IF(('Ameacas-Pré'!D79)&gt;0,'Ameacas-Pré'!D79,"")</f>
        <v/>
      </c>
      <c r="E82" s="436"/>
      <c r="F82" s="398" t="str">
        <f>IF(('Ameacas-Pré'!F79)&gt;0,'Ameacas-Pré'!P79,"")</f>
        <v/>
      </c>
      <c r="G82" s="226"/>
      <c r="H82" s="227"/>
      <c r="I82" s="228">
        <v>0</v>
      </c>
      <c r="J82" s="129">
        <f>'Ameacas-Pré'!F79</f>
        <v>0</v>
      </c>
      <c r="K82" s="132" t="str">
        <f>IF(J82=0,"0",'Ameacas-Pré'!O79)</f>
        <v>0</v>
      </c>
      <c r="L82" s="229">
        <f t="shared" si="1"/>
        <v>0</v>
      </c>
      <c r="M82" s="226"/>
      <c r="N82" s="228">
        <v>0</v>
      </c>
      <c r="O82" s="228"/>
    </row>
    <row r="83" spans="1:15" ht="13">
      <c r="A83" s="126">
        <f>'Ameacas-Pré'!A80</f>
        <v>73</v>
      </c>
      <c r="B83" s="307" t="str">
        <f>IF(('Ameacas-Pré'!B80)&gt;0,'Ameacas-Pré'!B80,"")</f>
        <v/>
      </c>
      <c r="C83" s="224" t="str">
        <f>IF(('Ameacas-Pré'!C80)&gt;0,'Ameacas-Pré'!C80,"")</f>
        <v/>
      </c>
      <c r="D83" s="435" t="str">
        <f>IF(('Ameacas-Pré'!D80)&gt;0,'Ameacas-Pré'!D80,"")</f>
        <v/>
      </c>
      <c r="E83" s="436"/>
      <c r="F83" s="398" t="str">
        <f>IF(('Ameacas-Pré'!F80)&gt;0,'Ameacas-Pré'!P80,"")</f>
        <v/>
      </c>
      <c r="G83" s="226"/>
      <c r="H83" s="227"/>
      <c r="I83" s="228">
        <v>0</v>
      </c>
      <c r="J83" s="129">
        <f>'Ameacas-Pré'!F80</f>
        <v>0</v>
      </c>
      <c r="K83" s="132" t="str">
        <f>IF(J83=0,"0",'Ameacas-Pré'!O80)</f>
        <v>0</v>
      </c>
      <c r="L83" s="229">
        <f t="shared" si="1"/>
        <v>0</v>
      </c>
      <c r="M83" s="226"/>
      <c r="N83" s="228">
        <v>0</v>
      </c>
      <c r="O83" s="228"/>
    </row>
    <row r="84" spans="1:15" ht="13">
      <c r="A84" s="126">
        <f>'Ameacas-Pré'!A81</f>
        <v>74</v>
      </c>
      <c r="B84" s="307" t="str">
        <f>IF(('Ameacas-Pré'!B81)&gt;0,'Ameacas-Pré'!B81,"")</f>
        <v/>
      </c>
      <c r="C84" s="224" t="str">
        <f>IF(('Ameacas-Pré'!C81)&gt;0,'Ameacas-Pré'!C81,"")</f>
        <v/>
      </c>
      <c r="D84" s="435" t="str">
        <f>IF(('Ameacas-Pré'!D81)&gt;0,'Ameacas-Pré'!D81,"")</f>
        <v/>
      </c>
      <c r="E84" s="436"/>
      <c r="F84" s="398" t="str">
        <f>IF(('Ameacas-Pré'!F81)&gt;0,'Ameacas-Pré'!P81,"")</f>
        <v/>
      </c>
      <c r="G84" s="226"/>
      <c r="H84" s="227"/>
      <c r="I84" s="228">
        <v>0</v>
      </c>
      <c r="J84" s="129">
        <f>'Ameacas-Pré'!F81</f>
        <v>0</v>
      </c>
      <c r="K84" s="132" t="str">
        <f>IF(J84=0,"0",'Ameacas-Pré'!O81)</f>
        <v>0</v>
      </c>
      <c r="L84" s="229">
        <f t="shared" si="1"/>
        <v>0</v>
      </c>
      <c r="M84" s="226"/>
      <c r="N84" s="228">
        <v>0</v>
      </c>
      <c r="O84" s="228"/>
    </row>
    <row r="85" spans="1:15" ht="13">
      <c r="A85" s="126">
        <f>'Ameacas-Pré'!A82</f>
        <v>75</v>
      </c>
      <c r="B85" s="307" t="str">
        <f>IF(('Ameacas-Pré'!B82)&gt;0,'Ameacas-Pré'!B82,"")</f>
        <v/>
      </c>
      <c r="C85" s="224" t="str">
        <f>IF(('Ameacas-Pré'!C82)&gt;0,'Ameacas-Pré'!C82,"")</f>
        <v/>
      </c>
      <c r="D85" s="435" t="str">
        <f>IF(('Ameacas-Pré'!D82)&gt;0,'Ameacas-Pré'!D82,"")</f>
        <v/>
      </c>
      <c r="E85" s="436"/>
      <c r="F85" s="398" t="str">
        <f>IF(('Ameacas-Pré'!F82)&gt;0,'Ameacas-Pré'!P82,"")</f>
        <v/>
      </c>
      <c r="G85" s="226"/>
      <c r="H85" s="227"/>
      <c r="I85" s="228">
        <v>0</v>
      </c>
      <c r="J85" s="129">
        <f>'Ameacas-Pré'!F82</f>
        <v>0</v>
      </c>
      <c r="K85" s="132" t="str">
        <f>IF(J85=0,"0",'Ameacas-Pré'!O82)</f>
        <v>0</v>
      </c>
      <c r="L85" s="229">
        <f t="shared" si="1"/>
        <v>0</v>
      </c>
      <c r="M85" s="226"/>
      <c r="N85" s="228">
        <v>0</v>
      </c>
      <c r="O85" s="228"/>
    </row>
    <row r="86" spans="1:15" ht="13">
      <c r="A86" s="126">
        <f>'Ameacas-Pré'!A83</f>
        <v>76</v>
      </c>
      <c r="B86" s="307" t="str">
        <f>IF(('Ameacas-Pré'!B83)&gt;0,'Ameacas-Pré'!B83,"")</f>
        <v/>
      </c>
      <c r="C86" s="224" t="str">
        <f>IF(('Ameacas-Pré'!C83)&gt;0,'Ameacas-Pré'!C83,"")</f>
        <v/>
      </c>
      <c r="D86" s="435" t="str">
        <f>IF(('Ameacas-Pré'!D83)&gt;0,'Ameacas-Pré'!D83,"")</f>
        <v/>
      </c>
      <c r="E86" s="436"/>
      <c r="F86" s="398" t="str">
        <f>IF(('Ameacas-Pré'!F83)&gt;0,'Ameacas-Pré'!P83,"")</f>
        <v/>
      </c>
      <c r="G86" s="226"/>
      <c r="H86" s="227"/>
      <c r="I86" s="228">
        <v>0</v>
      </c>
      <c r="J86" s="129">
        <f>'Ameacas-Pré'!F83</f>
        <v>0</v>
      </c>
      <c r="K86" s="132" t="str">
        <f>IF(J86=0,"0",'Ameacas-Pré'!O83)</f>
        <v>0</v>
      </c>
      <c r="L86" s="229">
        <f t="shared" si="1"/>
        <v>0</v>
      </c>
      <c r="M86" s="226"/>
      <c r="N86" s="228">
        <v>0</v>
      </c>
      <c r="O86" s="228"/>
    </row>
    <row r="87" spans="1:15" ht="13">
      <c r="A87" s="126">
        <f>'Ameacas-Pré'!A84</f>
        <v>77</v>
      </c>
      <c r="B87" s="307" t="str">
        <f>IF(('Ameacas-Pré'!B84)&gt;0,'Ameacas-Pré'!B84,"")</f>
        <v/>
      </c>
      <c r="C87" s="224" t="str">
        <f>IF(('Ameacas-Pré'!C84)&gt;0,'Ameacas-Pré'!C84,"")</f>
        <v/>
      </c>
      <c r="D87" s="435" t="str">
        <f>IF(('Ameacas-Pré'!D84)&gt;0,'Ameacas-Pré'!D84,"")</f>
        <v/>
      </c>
      <c r="E87" s="436"/>
      <c r="F87" s="398" t="str">
        <f>IF(('Ameacas-Pré'!F84)&gt;0,'Ameacas-Pré'!P84,"")</f>
        <v/>
      </c>
      <c r="G87" s="226"/>
      <c r="H87" s="227"/>
      <c r="I87" s="228">
        <v>0</v>
      </c>
      <c r="J87" s="129">
        <f>'Ameacas-Pré'!F84</f>
        <v>0</v>
      </c>
      <c r="K87" s="132" t="str">
        <f>IF(J87=0,"0",'Ameacas-Pré'!O84)</f>
        <v>0</v>
      </c>
      <c r="L87" s="229">
        <f t="shared" si="1"/>
        <v>0</v>
      </c>
      <c r="M87" s="226"/>
      <c r="N87" s="228">
        <v>0</v>
      </c>
      <c r="O87" s="228"/>
    </row>
    <row r="88" spans="1:15" ht="13">
      <c r="A88" s="126">
        <f>'Ameacas-Pré'!A85</f>
        <v>78</v>
      </c>
      <c r="B88" s="307" t="str">
        <f>IF(('Ameacas-Pré'!B85)&gt;0,'Ameacas-Pré'!B85,"")</f>
        <v/>
      </c>
      <c r="C88" s="224" t="str">
        <f>IF(('Ameacas-Pré'!C85)&gt;0,'Ameacas-Pré'!C85,"")</f>
        <v/>
      </c>
      <c r="D88" s="435" t="str">
        <f>IF(('Ameacas-Pré'!D85)&gt;0,'Ameacas-Pré'!D85,"")</f>
        <v/>
      </c>
      <c r="E88" s="436"/>
      <c r="F88" s="398" t="str">
        <f>IF(('Ameacas-Pré'!F85)&gt;0,'Ameacas-Pré'!P85,"")</f>
        <v/>
      </c>
      <c r="G88" s="226"/>
      <c r="H88" s="227"/>
      <c r="I88" s="228">
        <v>0</v>
      </c>
      <c r="J88" s="129">
        <f>'Ameacas-Pré'!F85</f>
        <v>0</v>
      </c>
      <c r="K88" s="132" t="str">
        <f>IF(J88=0,"0",'Ameacas-Pré'!O85)</f>
        <v>0</v>
      </c>
      <c r="L88" s="229">
        <f t="shared" si="1"/>
        <v>0</v>
      </c>
      <c r="M88" s="226"/>
      <c r="N88" s="228">
        <v>0</v>
      </c>
      <c r="O88" s="228"/>
    </row>
    <row r="89" spans="1:15" ht="13">
      <c r="A89" s="126">
        <f>'Ameacas-Pré'!A86</f>
        <v>79</v>
      </c>
      <c r="B89" s="307" t="str">
        <f>IF(('Ameacas-Pré'!B86)&gt;0,'Ameacas-Pré'!B86,"")</f>
        <v/>
      </c>
      <c r="C89" s="224" t="str">
        <f>IF(('Ameacas-Pré'!C86)&gt;0,'Ameacas-Pré'!C86,"")</f>
        <v/>
      </c>
      <c r="D89" s="435" t="str">
        <f>IF(('Ameacas-Pré'!D86)&gt;0,'Ameacas-Pré'!D86,"")</f>
        <v/>
      </c>
      <c r="E89" s="436"/>
      <c r="F89" s="398" t="str">
        <f>IF(('Ameacas-Pré'!F86)&gt;0,'Ameacas-Pré'!P86,"")</f>
        <v/>
      </c>
      <c r="G89" s="226"/>
      <c r="H89" s="227"/>
      <c r="I89" s="228">
        <v>0</v>
      </c>
      <c r="J89" s="129">
        <f>'Ameacas-Pré'!F86</f>
        <v>0</v>
      </c>
      <c r="K89" s="132" t="str">
        <f>IF(J89=0,"0",'Ameacas-Pré'!O86)</f>
        <v>0</v>
      </c>
      <c r="L89" s="229">
        <f t="shared" si="1"/>
        <v>0</v>
      </c>
      <c r="M89" s="226"/>
      <c r="N89" s="228">
        <v>0</v>
      </c>
      <c r="O89" s="228"/>
    </row>
    <row r="90" spans="1:15" ht="13">
      <c r="A90" s="126">
        <f>'Ameacas-Pré'!A87</f>
        <v>80</v>
      </c>
      <c r="B90" s="307" t="str">
        <f>IF(('Ameacas-Pré'!B87)&gt;0,'Ameacas-Pré'!B87,"")</f>
        <v/>
      </c>
      <c r="C90" s="224" t="str">
        <f>IF(('Ameacas-Pré'!C87)&gt;0,'Ameacas-Pré'!C87,"")</f>
        <v/>
      </c>
      <c r="D90" s="435" t="str">
        <f>IF(('Ameacas-Pré'!D87)&gt;0,'Ameacas-Pré'!D87,"")</f>
        <v/>
      </c>
      <c r="E90" s="436"/>
      <c r="F90" s="398" t="str">
        <f>IF(('Ameacas-Pré'!F87)&gt;0,'Ameacas-Pré'!P87,"")</f>
        <v/>
      </c>
      <c r="G90" s="226"/>
      <c r="H90" s="227"/>
      <c r="I90" s="228">
        <v>0</v>
      </c>
      <c r="J90" s="129">
        <f>'Ameacas-Pré'!F87</f>
        <v>0</v>
      </c>
      <c r="K90" s="132" t="str">
        <f>IF(J90=0,"0",'Ameacas-Pré'!O87)</f>
        <v>0</v>
      </c>
      <c r="L90" s="229">
        <f t="shared" si="1"/>
        <v>0</v>
      </c>
      <c r="M90" s="226"/>
      <c r="N90" s="228">
        <v>0</v>
      </c>
      <c r="O90" s="228"/>
    </row>
    <row r="91" spans="1:15" ht="13">
      <c r="A91" s="126">
        <f>'Ameacas-Pré'!A88</f>
        <v>81</v>
      </c>
      <c r="B91" s="307" t="str">
        <f>IF(('Ameacas-Pré'!B88)&gt;0,'Ameacas-Pré'!B88,"")</f>
        <v/>
      </c>
      <c r="C91" s="224" t="str">
        <f>IF(('Ameacas-Pré'!C88)&gt;0,'Ameacas-Pré'!C88,"")</f>
        <v/>
      </c>
      <c r="D91" s="435" t="str">
        <f>IF(('Ameacas-Pré'!D88)&gt;0,'Ameacas-Pré'!D88,"")</f>
        <v/>
      </c>
      <c r="E91" s="436"/>
      <c r="F91" s="398" t="str">
        <f>IF(('Ameacas-Pré'!F88)&gt;0,'Ameacas-Pré'!P88,"")</f>
        <v/>
      </c>
      <c r="G91" s="226"/>
      <c r="H91" s="227"/>
      <c r="I91" s="228">
        <v>0</v>
      </c>
      <c r="J91" s="129">
        <f>'Ameacas-Pré'!F88</f>
        <v>0</v>
      </c>
      <c r="K91" s="132" t="str">
        <f>IF(J91=0,"0",'Ameacas-Pré'!O88)</f>
        <v>0</v>
      </c>
      <c r="L91" s="229">
        <f t="shared" si="1"/>
        <v>0</v>
      </c>
      <c r="M91" s="226"/>
      <c r="N91" s="228">
        <v>0</v>
      </c>
      <c r="O91" s="228"/>
    </row>
    <row r="92" spans="1:15" ht="13">
      <c r="A92" s="126">
        <f>'Ameacas-Pré'!A89</f>
        <v>82</v>
      </c>
      <c r="B92" s="307" t="str">
        <f>IF(('Ameacas-Pré'!B89)&gt;0,'Ameacas-Pré'!B89,"")</f>
        <v/>
      </c>
      <c r="C92" s="224" t="str">
        <f>IF(('Ameacas-Pré'!C89)&gt;0,'Ameacas-Pré'!C89,"")</f>
        <v/>
      </c>
      <c r="D92" s="435" t="str">
        <f>IF(('Ameacas-Pré'!D89)&gt;0,'Ameacas-Pré'!D89,"")</f>
        <v/>
      </c>
      <c r="E92" s="436"/>
      <c r="F92" s="398" t="str">
        <f>IF(('Ameacas-Pré'!F89)&gt;0,'Ameacas-Pré'!P89,"")</f>
        <v/>
      </c>
      <c r="G92" s="226"/>
      <c r="H92" s="227"/>
      <c r="I92" s="228">
        <v>0</v>
      </c>
      <c r="J92" s="129">
        <f>'Ameacas-Pré'!F89</f>
        <v>0</v>
      </c>
      <c r="K92" s="132" t="str">
        <f>IF(J92=0,"0",'Ameacas-Pré'!O89)</f>
        <v>0</v>
      </c>
      <c r="L92" s="229">
        <f t="shared" si="1"/>
        <v>0</v>
      </c>
      <c r="M92" s="226"/>
      <c r="N92" s="228">
        <v>0</v>
      </c>
      <c r="O92" s="228"/>
    </row>
    <row r="93" spans="1:15" ht="13">
      <c r="A93" s="126">
        <f>'Ameacas-Pré'!A90</f>
        <v>83</v>
      </c>
      <c r="B93" s="307" t="str">
        <f>IF(('Ameacas-Pré'!B90)&gt;0,'Ameacas-Pré'!B90,"")</f>
        <v/>
      </c>
      <c r="C93" s="224" t="str">
        <f>IF(('Ameacas-Pré'!C90)&gt;0,'Ameacas-Pré'!C90,"")</f>
        <v/>
      </c>
      <c r="D93" s="435" t="str">
        <f>IF(('Ameacas-Pré'!D90)&gt;0,'Ameacas-Pré'!D90,"")</f>
        <v/>
      </c>
      <c r="E93" s="436"/>
      <c r="F93" s="398" t="str">
        <f>IF(('Ameacas-Pré'!F90)&gt;0,'Ameacas-Pré'!P90,"")</f>
        <v/>
      </c>
      <c r="G93" s="226"/>
      <c r="H93" s="227"/>
      <c r="I93" s="228">
        <v>0</v>
      </c>
      <c r="J93" s="129">
        <f>'Ameacas-Pré'!F90</f>
        <v>0</v>
      </c>
      <c r="K93" s="132" t="str">
        <f>IF(J93=0,"0",'Ameacas-Pré'!O90)</f>
        <v>0</v>
      </c>
      <c r="L93" s="229">
        <f t="shared" si="1"/>
        <v>0</v>
      </c>
      <c r="M93" s="226"/>
      <c r="N93" s="228">
        <v>0</v>
      </c>
      <c r="O93" s="228"/>
    </row>
    <row r="94" spans="1:15" ht="13">
      <c r="A94" s="126">
        <f>'Ameacas-Pré'!A91</f>
        <v>84</v>
      </c>
      <c r="B94" s="307" t="str">
        <f>IF(('Ameacas-Pré'!B91)&gt;0,'Ameacas-Pré'!B91,"")</f>
        <v/>
      </c>
      <c r="C94" s="224" t="str">
        <f>IF(('Ameacas-Pré'!C91)&gt;0,'Ameacas-Pré'!C91,"")</f>
        <v/>
      </c>
      <c r="D94" s="435" t="str">
        <f>IF(('Ameacas-Pré'!D91)&gt;0,'Ameacas-Pré'!D91,"")</f>
        <v/>
      </c>
      <c r="E94" s="436"/>
      <c r="F94" s="398" t="str">
        <f>IF(('Ameacas-Pré'!F91)&gt;0,'Ameacas-Pré'!P91,"")</f>
        <v/>
      </c>
      <c r="G94" s="226"/>
      <c r="H94" s="227"/>
      <c r="I94" s="228">
        <v>0</v>
      </c>
      <c r="J94" s="129">
        <f>'Ameacas-Pré'!F91</f>
        <v>0</v>
      </c>
      <c r="K94" s="132" t="str">
        <f>IF(J94=0,"0",'Ameacas-Pré'!O91)</f>
        <v>0</v>
      </c>
      <c r="L94" s="229">
        <f t="shared" si="1"/>
        <v>0</v>
      </c>
      <c r="M94" s="226"/>
      <c r="N94" s="228">
        <v>0</v>
      </c>
      <c r="O94" s="228"/>
    </row>
    <row r="95" spans="1:15" ht="13">
      <c r="A95" s="126">
        <f>'Ameacas-Pré'!A92</f>
        <v>85</v>
      </c>
      <c r="B95" s="307" t="str">
        <f>IF(('Ameacas-Pré'!B92)&gt;0,'Ameacas-Pré'!B92,"")</f>
        <v/>
      </c>
      <c r="C95" s="224" t="str">
        <f>IF(('Ameacas-Pré'!C92)&gt;0,'Ameacas-Pré'!C92,"")</f>
        <v/>
      </c>
      <c r="D95" s="435" t="str">
        <f>IF(('Ameacas-Pré'!D92)&gt;0,'Ameacas-Pré'!D92,"")</f>
        <v/>
      </c>
      <c r="E95" s="436"/>
      <c r="F95" s="398" t="str">
        <f>IF(('Ameacas-Pré'!F92)&gt;0,'Ameacas-Pré'!P92,"")</f>
        <v/>
      </c>
      <c r="G95" s="226"/>
      <c r="H95" s="227"/>
      <c r="I95" s="228">
        <v>0</v>
      </c>
      <c r="J95" s="129">
        <f>'Ameacas-Pré'!F92</f>
        <v>0</v>
      </c>
      <c r="K95" s="132" t="str">
        <f>IF(J95=0,"0",'Ameacas-Pré'!O92)</f>
        <v>0</v>
      </c>
      <c r="L95" s="229">
        <f t="shared" si="1"/>
        <v>0</v>
      </c>
      <c r="M95" s="226"/>
      <c r="N95" s="228">
        <v>0</v>
      </c>
      <c r="O95" s="228"/>
    </row>
    <row r="96" spans="1:15" ht="13">
      <c r="A96" s="126">
        <f>'Ameacas-Pré'!A93</f>
        <v>86</v>
      </c>
      <c r="B96" s="307" t="str">
        <f>IF(('Ameacas-Pré'!B93)&gt;0,'Ameacas-Pré'!B93,"")</f>
        <v/>
      </c>
      <c r="C96" s="224" t="str">
        <f>IF(('Ameacas-Pré'!C93)&gt;0,'Ameacas-Pré'!C93,"")</f>
        <v/>
      </c>
      <c r="D96" s="435" t="str">
        <f>IF(('Ameacas-Pré'!D93)&gt;0,'Ameacas-Pré'!D93,"")</f>
        <v/>
      </c>
      <c r="E96" s="436"/>
      <c r="F96" s="398" t="str">
        <f>IF(('Ameacas-Pré'!F93)&gt;0,'Ameacas-Pré'!P93,"")</f>
        <v/>
      </c>
      <c r="G96" s="226"/>
      <c r="H96" s="227"/>
      <c r="I96" s="228">
        <v>0</v>
      </c>
      <c r="J96" s="129">
        <f>'Ameacas-Pré'!F93</f>
        <v>0</v>
      </c>
      <c r="K96" s="132" t="str">
        <f>IF(J96=0,"0",'Ameacas-Pré'!O93)</f>
        <v>0</v>
      </c>
      <c r="L96" s="229">
        <f t="shared" si="1"/>
        <v>0</v>
      </c>
      <c r="M96" s="226"/>
      <c r="N96" s="228">
        <v>0</v>
      </c>
      <c r="O96" s="228"/>
    </row>
    <row r="97" spans="1:15" ht="13">
      <c r="A97" s="126">
        <f>'Ameacas-Pré'!A94</f>
        <v>87</v>
      </c>
      <c r="B97" s="307" t="str">
        <f>IF(('Ameacas-Pré'!B94)&gt;0,'Ameacas-Pré'!B94,"")</f>
        <v/>
      </c>
      <c r="C97" s="224" t="str">
        <f>IF(('Ameacas-Pré'!C94)&gt;0,'Ameacas-Pré'!C94,"")</f>
        <v/>
      </c>
      <c r="D97" s="435" t="str">
        <f>IF(('Ameacas-Pré'!D94)&gt;0,'Ameacas-Pré'!D94,"")</f>
        <v/>
      </c>
      <c r="E97" s="436"/>
      <c r="F97" s="398" t="str">
        <f>IF(('Ameacas-Pré'!F94)&gt;0,'Ameacas-Pré'!P94,"")</f>
        <v/>
      </c>
      <c r="G97" s="226"/>
      <c r="H97" s="227"/>
      <c r="I97" s="228">
        <v>0</v>
      </c>
      <c r="J97" s="129">
        <f>'Ameacas-Pré'!F94</f>
        <v>0</v>
      </c>
      <c r="K97" s="132" t="str">
        <f>IF(J97=0,"0",'Ameacas-Pré'!O94)</f>
        <v>0</v>
      </c>
      <c r="L97" s="229">
        <f t="shared" si="1"/>
        <v>0</v>
      </c>
      <c r="M97" s="226"/>
      <c r="N97" s="228">
        <v>0</v>
      </c>
      <c r="O97" s="228"/>
    </row>
    <row r="98" spans="1:15" ht="13">
      <c r="A98" s="126">
        <f>'Ameacas-Pré'!A95</f>
        <v>88</v>
      </c>
      <c r="B98" s="307" t="str">
        <f>IF(('Ameacas-Pré'!B95)&gt;0,'Ameacas-Pré'!B95,"")</f>
        <v/>
      </c>
      <c r="C98" s="224" t="str">
        <f>IF(('Ameacas-Pré'!C95)&gt;0,'Ameacas-Pré'!C95,"")</f>
        <v/>
      </c>
      <c r="D98" s="435" t="str">
        <f>IF(('Ameacas-Pré'!D95)&gt;0,'Ameacas-Pré'!D95,"")</f>
        <v/>
      </c>
      <c r="E98" s="436"/>
      <c r="F98" s="398" t="str">
        <f>IF(('Ameacas-Pré'!F95)&gt;0,'Ameacas-Pré'!P95,"")</f>
        <v/>
      </c>
      <c r="G98" s="226"/>
      <c r="H98" s="227"/>
      <c r="I98" s="228">
        <v>0</v>
      </c>
      <c r="J98" s="129">
        <f>'Ameacas-Pré'!F95</f>
        <v>0</v>
      </c>
      <c r="K98" s="132" t="str">
        <f>IF(J98=0,"0",'Ameacas-Pré'!O95)</f>
        <v>0</v>
      </c>
      <c r="L98" s="229">
        <f t="shared" si="1"/>
        <v>0</v>
      </c>
      <c r="M98" s="226"/>
      <c r="N98" s="228">
        <v>0</v>
      </c>
      <c r="O98" s="228"/>
    </row>
    <row r="99" spans="1:15" ht="13">
      <c r="A99" s="126">
        <f>'Ameacas-Pré'!A96</f>
        <v>89</v>
      </c>
      <c r="B99" s="307" t="str">
        <f>IF(('Ameacas-Pré'!B96)&gt;0,'Ameacas-Pré'!B96,"")</f>
        <v/>
      </c>
      <c r="C99" s="224" t="str">
        <f>IF(('Ameacas-Pré'!C96)&gt;0,'Ameacas-Pré'!C96,"")</f>
        <v/>
      </c>
      <c r="D99" s="435" t="str">
        <f>IF(('Ameacas-Pré'!D96)&gt;0,'Ameacas-Pré'!D96,"")</f>
        <v/>
      </c>
      <c r="E99" s="436"/>
      <c r="F99" s="398" t="str">
        <f>IF(('Ameacas-Pré'!F96)&gt;0,'Ameacas-Pré'!P96,"")</f>
        <v/>
      </c>
      <c r="G99" s="226"/>
      <c r="H99" s="227"/>
      <c r="I99" s="228">
        <v>0</v>
      </c>
      <c r="J99" s="129">
        <f>'Ameacas-Pré'!F96</f>
        <v>0</v>
      </c>
      <c r="K99" s="132" t="str">
        <f>IF(J99=0,"0",'Ameacas-Pré'!O96)</f>
        <v>0</v>
      </c>
      <c r="L99" s="229">
        <f t="shared" si="1"/>
        <v>0</v>
      </c>
      <c r="M99" s="226"/>
      <c r="N99" s="228">
        <v>0</v>
      </c>
      <c r="O99" s="228"/>
    </row>
    <row r="100" spans="1:15" ht="13">
      <c r="A100" s="126">
        <f>'Ameacas-Pré'!A97</f>
        <v>90</v>
      </c>
      <c r="B100" s="307" t="str">
        <f>IF(('Ameacas-Pré'!B97)&gt;0,'Ameacas-Pré'!B97,"")</f>
        <v/>
      </c>
      <c r="C100" s="224" t="str">
        <f>IF(('Ameacas-Pré'!C97)&gt;0,'Ameacas-Pré'!C97,"")</f>
        <v/>
      </c>
      <c r="D100" s="435" t="str">
        <f>IF(('Ameacas-Pré'!D97)&gt;0,'Ameacas-Pré'!D97,"")</f>
        <v/>
      </c>
      <c r="E100" s="436"/>
      <c r="F100" s="398" t="str">
        <f>IF(('Ameacas-Pré'!F97)&gt;0,'Ameacas-Pré'!P97,"")</f>
        <v/>
      </c>
      <c r="G100" s="226"/>
      <c r="H100" s="227"/>
      <c r="I100" s="228">
        <v>0</v>
      </c>
      <c r="J100" s="129">
        <f>'Ameacas-Pré'!F97</f>
        <v>0</v>
      </c>
      <c r="K100" s="132" t="str">
        <f>IF(J100=0,"0",'Ameacas-Pré'!O97)</f>
        <v>0</v>
      </c>
      <c r="L100" s="229">
        <f t="shared" si="1"/>
        <v>0</v>
      </c>
      <c r="M100" s="226"/>
      <c r="N100" s="228">
        <v>0</v>
      </c>
      <c r="O100" s="228"/>
    </row>
    <row r="101" spans="1:15" ht="13">
      <c r="A101" s="126">
        <f>'Ameacas-Pré'!A98</f>
        <v>91</v>
      </c>
      <c r="B101" s="307" t="str">
        <f>IF(('Ameacas-Pré'!B98)&gt;0,'Ameacas-Pré'!B98,"")</f>
        <v/>
      </c>
      <c r="C101" s="224" t="str">
        <f>IF(('Ameacas-Pré'!C98)&gt;0,'Ameacas-Pré'!C98,"")</f>
        <v/>
      </c>
      <c r="D101" s="435" t="str">
        <f>IF(('Ameacas-Pré'!D98)&gt;0,'Ameacas-Pré'!D98,"")</f>
        <v/>
      </c>
      <c r="E101" s="436"/>
      <c r="F101" s="398" t="str">
        <f>IF(('Ameacas-Pré'!F98)&gt;0,'Ameacas-Pré'!P98,"")</f>
        <v/>
      </c>
      <c r="G101" s="226"/>
      <c r="H101" s="227"/>
      <c r="I101" s="228">
        <v>0</v>
      </c>
      <c r="J101" s="129">
        <f>'Ameacas-Pré'!F98</f>
        <v>0</v>
      </c>
      <c r="K101" s="132" t="str">
        <f>IF(J101=0,"0",'Ameacas-Pré'!O98)</f>
        <v>0</v>
      </c>
      <c r="L101" s="229">
        <f t="shared" si="1"/>
        <v>0</v>
      </c>
      <c r="M101" s="226"/>
      <c r="N101" s="228">
        <v>0</v>
      </c>
      <c r="O101" s="228"/>
    </row>
    <row r="102" spans="1:15" ht="13">
      <c r="A102" s="126">
        <f>'Ameacas-Pré'!A99</f>
        <v>92</v>
      </c>
      <c r="B102" s="307" t="str">
        <f>IF(('Ameacas-Pré'!B99)&gt;0,'Ameacas-Pré'!B99,"")</f>
        <v/>
      </c>
      <c r="C102" s="224" t="str">
        <f>IF(('Ameacas-Pré'!C99)&gt;0,'Ameacas-Pré'!C99,"")</f>
        <v/>
      </c>
      <c r="D102" s="435" t="str">
        <f>IF(('Ameacas-Pré'!D99)&gt;0,'Ameacas-Pré'!D99,"")</f>
        <v/>
      </c>
      <c r="E102" s="436"/>
      <c r="F102" s="398" t="str">
        <f>IF(('Ameacas-Pré'!F99)&gt;0,'Ameacas-Pré'!P99,"")</f>
        <v/>
      </c>
      <c r="G102" s="226"/>
      <c r="H102" s="227"/>
      <c r="I102" s="228">
        <v>0</v>
      </c>
      <c r="J102" s="129">
        <f>'Ameacas-Pré'!F99</f>
        <v>0</v>
      </c>
      <c r="K102" s="132" t="str">
        <f>IF(J102=0,"0",'Ameacas-Pré'!O99)</f>
        <v>0</v>
      </c>
      <c r="L102" s="229">
        <f t="shared" si="1"/>
        <v>0</v>
      </c>
      <c r="M102" s="226"/>
      <c r="N102" s="228">
        <v>0</v>
      </c>
      <c r="O102" s="228"/>
    </row>
    <row r="103" spans="1:15" ht="13">
      <c r="A103" s="126">
        <f>'Ameacas-Pré'!A100</f>
        <v>93</v>
      </c>
      <c r="B103" s="307" t="str">
        <f>IF(('Ameacas-Pré'!B100)&gt;0,'Ameacas-Pré'!B100,"")</f>
        <v/>
      </c>
      <c r="C103" s="224" t="str">
        <f>IF(('Ameacas-Pré'!C100)&gt;0,'Ameacas-Pré'!C100,"")</f>
        <v/>
      </c>
      <c r="D103" s="435" t="str">
        <f>IF(('Ameacas-Pré'!D100)&gt;0,'Ameacas-Pré'!D100,"")</f>
        <v/>
      </c>
      <c r="E103" s="436"/>
      <c r="F103" s="398" t="str">
        <f>IF(('Ameacas-Pré'!F100)&gt;0,'Ameacas-Pré'!P100,"")</f>
        <v/>
      </c>
      <c r="G103" s="226"/>
      <c r="H103" s="227"/>
      <c r="I103" s="228">
        <v>0</v>
      </c>
      <c r="J103" s="129">
        <f>'Ameacas-Pré'!F100</f>
        <v>0</v>
      </c>
      <c r="K103" s="132" t="str">
        <f>IF(J103=0,"0",'Ameacas-Pré'!O100)</f>
        <v>0</v>
      </c>
      <c r="L103" s="229">
        <f t="shared" si="1"/>
        <v>0</v>
      </c>
      <c r="M103" s="226"/>
      <c r="N103" s="228">
        <v>0</v>
      </c>
      <c r="O103" s="228"/>
    </row>
    <row r="104" spans="1:15" ht="13">
      <c r="A104" s="126">
        <f>'Ameacas-Pré'!A101</f>
        <v>94</v>
      </c>
      <c r="B104" s="307" t="str">
        <f>IF(('Ameacas-Pré'!B101)&gt;0,'Ameacas-Pré'!B101,"")</f>
        <v/>
      </c>
      <c r="C104" s="224" t="str">
        <f>IF(('Ameacas-Pré'!C101)&gt;0,'Ameacas-Pré'!C101,"")</f>
        <v/>
      </c>
      <c r="D104" s="435" t="str">
        <f>IF(('Ameacas-Pré'!D101)&gt;0,'Ameacas-Pré'!D101,"")</f>
        <v/>
      </c>
      <c r="E104" s="436"/>
      <c r="F104" s="398" t="str">
        <f>IF(('Ameacas-Pré'!F101)&gt;0,'Ameacas-Pré'!P101,"")</f>
        <v/>
      </c>
      <c r="G104" s="226"/>
      <c r="H104" s="227"/>
      <c r="I104" s="228">
        <v>0</v>
      </c>
      <c r="J104" s="129">
        <f>'Ameacas-Pré'!F101</f>
        <v>0</v>
      </c>
      <c r="K104" s="132" t="str">
        <f>IF(J104=0,"0",'Ameacas-Pré'!O101)</f>
        <v>0</v>
      </c>
      <c r="L104" s="229">
        <f t="shared" si="1"/>
        <v>0</v>
      </c>
      <c r="M104" s="226"/>
      <c r="N104" s="228">
        <v>0</v>
      </c>
      <c r="O104" s="228"/>
    </row>
    <row r="105" spans="1:15" ht="13">
      <c r="A105" s="126">
        <f>'Ameacas-Pré'!A102</f>
        <v>95</v>
      </c>
      <c r="B105" s="307" t="str">
        <f>IF(('Ameacas-Pré'!B102)&gt;0,'Ameacas-Pré'!B102,"")</f>
        <v/>
      </c>
      <c r="C105" s="224" t="str">
        <f>IF(('Ameacas-Pré'!C102)&gt;0,'Ameacas-Pré'!C102,"")</f>
        <v/>
      </c>
      <c r="D105" s="435" t="str">
        <f>IF(('Ameacas-Pré'!D102)&gt;0,'Ameacas-Pré'!D102,"")</f>
        <v/>
      </c>
      <c r="E105" s="436"/>
      <c r="F105" s="398" t="str">
        <f>IF(('Ameacas-Pré'!F102)&gt;0,'Ameacas-Pré'!P102,"")</f>
        <v/>
      </c>
      <c r="G105" s="226"/>
      <c r="H105" s="227"/>
      <c r="I105" s="228">
        <v>0</v>
      </c>
      <c r="J105" s="129">
        <f>'Ameacas-Pré'!F102</f>
        <v>0</v>
      </c>
      <c r="K105" s="132" t="str">
        <f>IF(J105=0,"0",'Ameacas-Pré'!O102)</f>
        <v>0</v>
      </c>
      <c r="L105" s="229">
        <f t="shared" si="1"/>
        <v>0</v>
      </c>
      <c r="M105" s="226"/>
      <c r="N105" s="228">
        <v>0</v>
      </c>
      <c r="O105" s="228"/>
    </row>
    <row r="106" spans="1:15" ht="13">
      <c r="A106" s="126">
        <f>'Ameacas-Pré'!A103</f>
        <v>96</v>
      </c>
      <c r="B106" s="307" t="str">
        <f>IF(('Ameacas-Pré'!B103)&gt;0,'Ameacas-Pré'!B103,"")</f>
        <v/>
      </c>
      <c r="C106" s="224" t="str">
        <f>IF(('Ameacas-Pré'!C103)&gt;0,'Ameacas-Pré'!C103,"")</f>
        <v/>
      </c>
      <c r="D106" s="435" t="str">
        <f>IF(('Ameacas-Pré'!D103)&gt;0,'Ameacas-Pré'!D103,"")</f>
        <v/>
      </c>
      <c r="E106" s="436"/>
      <c r="F106" s="398" t="str">
        <f>IF(('Ameacas-Pré'!F103)&gt;0,'Ameacas-Pré'!P103,"")</f>
        <v/>
      </c>
      <c r="G106" s="226"/>
      <c r="H106" s="227"/>
      <c r="I106" s="228">
        <v>0</v>
      </c>
      <c r="J106" s="129">
        <f>'Ameacas-Pré'!F103</f>
        <v>0</v>
      </c>
      <c r="K106" s="132" t="str">
        <f>IF(J106=0,"0",'Ameacas-Pré'!O103)</f>
        <v>0</v>
      </c>
      <c r="L106" s="229">
        <f t="shared" si="1"/>
        <v>0</v>
      </c>
      <c r="M106" s="226"/>
      <c r="N106" s="228">
        <v>0</v>
      </c>
      <c r="O106" s="228"/>
    </row>
    <row r="107" spans="1:15" ht="13">
      <c r="A107" s="126">
        <f>'Ameacas-Pré'!A104</f>
        <v>97</v>
      </c>
      <c r="B107" s="307" t="str">
        <f>IF(('Ameacas-Pré'!B104)&gt;0,'Ameacas-Pré'!B104,"")</f>
        <v/>
      </c>
      <c r="C107" s="224" t="str">
        <f>IF(('Ameacas-Pré'!C104)&gt;0,'Ameacas-Pré'!C104,"")</f>
        <v/>
      </c>
      <c r="D107" s="435" t="str">
        <f>IF(('Ameacas-Pré'!D104)&gt;0,'Ameacas-Pré'!D104,"")</f>
        <v/>
      </c>
      <c r="E107" s="436"/>
      <c r="F107" s="398" t="str">
        <f>IF(('Ameacas-Pré'!F104)&gt;0,'Ameacas-Pré'!P104,"")</f>
        <v/>
      </c>
      <c r="G107" s="226"/>
      <c r="H107" s="227"/>
      <c r="I107" s="228">
        <v>0</v>
      </c>
      <c r="J107" s="129">
        <f>'Ameacas-Pré'!F104</f>
        <v>0</v>
      </c>
      <c r="K107" s="132" t="str">
        <f>IF(J107=0,"0",'Ameacas-Pré'!O104)</f>
        <v>0</v>
      </c>
      <c r="L107" s="229">
        <f t="shared" si="1"/>
        <v>0</v>
      </c>
      <c r="M107" s="226"/>
      <c r="N107" s="228">
        <v>0</v>
      </c>
      <c r="O107" s="228"/>
    </row>
    <row r="108" spans="1:15" ht="13">
      <c r="A108" s="126">
        <f>'Ameacas-Pré'!A105</f>
        <v>98</v>
      </c>
      <c r="B108" s="307" t="str">
        <f>IF(('Ameacas-Pré'!B105)&gt;0,'Ameacas-Pré'!B105,"")</f>
        <v/>
      </c>
      <c r="C108" s="224" t="str">
        <f>IF(('Ameacas-Pré'!C105)&gt;0,'Ameacas-Pré'!C105,"")</f>
        <v/>
      </c>
      <c r="D108" s="435" t="str">
        <f>IF(('Ameacas-Pré'!D105)&gt;0,'Ameacas-Pré'!D105,"")</f>
        <v/>
      </c>
      <c r="E108" s="436"/>
      <c r="F108" s="398" t="str">
        <f>IF(('Ameacas-Pré'!F105)&gt;0,'Ameacas-Pré'!P105,"")</f>
        <v/>
      </c>
      <c r="G108" s="226"/>
      <c r="H108" s="227"/>
      <c r="I108" s="228">
        <v>0</v>
      </c>
      <c r="J108" s="129">
        <f>'Ameacas-Pré'!F105</f>
        <v>0</v>
      </c>
      <c r="K108" s="132" t="str">
        <f>IF(J108=0,"0",'Ameacas-Pré'!O105)</f>
        <v>0</v>
      </c>
      <c r="L108" s="229">
        <f t="shared" si="1"/>
        <v>0</v>
      </c>
      <c r="M108" s="226"/>
      <c r="N108" s="228">
        <v>0</v>
      </c>
      <c r="O108" s="228"/>
    </row>
    <row r="109" spans="1:15" ht="13">
      <c r="A109" s="126">
        <f>'Ameacas-Pré'!A106</f>
        <v>99</v>
      </c>
      <c r="B109" s="307" t="str">
        <f>IF(('Ameacas-Pré'!B106)&gt;0,'Ameacas-Pré'!B106,"")</f>
        <v/>
      </c>
      <c r="C109" s="224" t="str">
        <f>IF(('Ameacas-Pré'!C106)&gt;0,'Ameacas-Pré'!C106,"")</f>
        <v/>
      </c>
      <c r="D109" s="435" t="str">
        <f>IF(('Ameacas-Pré'!D106)&gt;0,'Ameacas-Pré'!D106,"")</f>
        <v/>
      </c>
      <c r="E109" s="436"/>
      <c r="F109" s="398" t="str">
        <f>IF(('Ameacas-Pré'!F106)&gt;0,'Ameacas-Pré'!P106,"")</f>
        <v/>
      </c>
      <c r="G109" s="226"/>
      <c r="H109" s="227"/>
      <c r="I109" s="228">
        <v>0</v>
      </c>
      <c r="J109" s="129">
        <f>'Ameacas-Pré'!F106</f>
        <v>0</v>
      </c>
      <c r="K109" s="132" t="str">
        <f>IF(J109=0,"0",'Ameacas-Pré'!O106)</f>
        <v>0</v>
      </c>
      <c r="L109" s="229">
        <f t="shared" si="1"/>
        <v>0</v>
      </c>
      <c r="M109" s="226"/>
      <c r="N109" s="228">
        <v>0</v>
      </c>
      <c r="O109" s="228"/>
    </row>
    <row r="110" spans="1:15" ht="13">
      <c r="A110" s="126">
        <f>'Ameacas-Pré'!A107</f>
        <v>100</v>
      </c>
      <c r="B110" s="307" t="str">
        <f>IF(('Ameacas-Pré'!B107)&gt;0,'Ameacas-Pré'!B107,"")</f>
        <v/>
      </c>
      <c r="C110" s="224" t="str">
        <f>IF(('Ameacas-Pré'!C107)&gt;0,'Ameacas-Pré'!C107,"")</f>
        <v/>
      </c>
      <c r="D110" s="435" t="str">
        <f>IF(('Ameacas-Pré'!D107)&gt;0,'Ameacas-Pré'!D107,"")</f>
        <v/>
      </c>
      <c r="E110" s="436"/>
      <c r="F110" s="398" t="str">
        <f>IF(('Ameacas-Pré'!F107)&gt;0,'Ameacas-Pré'!P107,"")</f>
        <v/>
      </c>
      <c r="G110" s="226"/>
      <c r="H110" s="227"/>
      <c r="I110" s="228">
        <v>0</v>
      </c>
      <c r="J110" s="129">
        <f>'Ameacas-Pré'!F107</f>
        <v>0</v>
      </c>
      <c r="K110" s="132" t="str">
        <f>IF(J110=0,"0",'Ameacas-Pré'!O107)</f>
        <v>0</v>
      </c>
      <c r="L110" s="229">
        <f t="shared" si="1"/>
        <v>0</v>
      </c>
      <c r="M110" s="226"/>
      <c r="N110" s="228">
        <v>0</v>
      </c>
      <c r="O110" s="228"/>
    </row>
    <row r="111" spans="1:15" ht="13">
      <c r="A111" s="126">
        <f>'Ameacas-Pré'!A108</f>
        <v>101</v>
      </c>
      <c r="B111" s="307" t="str">
        <f>IF(('Ameacas-Pré'!B108)&gt;0,'Ameacas-Pré'!B108,"")</f>
        <v/>
      </c>
      <c r="C111" s="224" t="str">
        <f>IF(('Ameacas-Pré'!C108)&gt;0,'Ameacas-Pré'!C108,"")</f>
        <v/>
      </c>
      <c r="D111" s="435" t="str">
        <f>IF(('Ameacas-Pré'!D108)&gt;0,'Ameacas-Pré'!D108,"")</f>
        <v/>
      </c>
      <c r="E111" s="436"/>
      <c r="F111" s="398" t="str">
        <f>IF(('Ameacas-Pré'!F108)&gt;0,'Ameacas-Pré'!P108,"")</f>
        <v/>
      </c>
      <c r="G111" s="226"/>
      <c r="H111" s="227"/>
      <c r="I111" s="228">
        <v>0</v>
      </c>
      <c r="J111" s="129">
        <f>'Ameacas-Pré'!F108</f>
        <v>0</v>
      </c>
      <c r="K111" s="132" t="str">
        <f>IF(J111=0,"0",'Ameacas-Pré'!O108)</f>
        <v>0</v>
      </c>
      <c r="L111" s="229">
        <f t="shared" si="1"/>
        <v>0</v>
      </c>
      <c r="M111" s="226"/>
      <c r="N111" s="228">
        <v>0</v>
      </c>
      <c r="O111" s="228"/>
    </row>
    <row r="112" spans="1:15" ht="13">
      <c r="A112" s="126">
        <f>'Ameacas-Pré'!A109</f>
        <v>102</v>
      </c>
      <c r="B112" s="307" t="str">
        <f>IF(('Ameacas-Pré'!B109)&gt;0,'Ameacas-Pré'!B109,"")</f>
        <v/>
      </c>
      <c r="C112" s="224" t="str">
        <f>IF(('Ameacas-Pré'!C109)&gt;0,'Ameacas-Pré'!C109,"")</f>
        <v/>
      </c>
      <c r="D112" s="435" t="str">
        <f>IF(('Ameacas-Pré'!D109)&gt;0,'Ameacas-Pré'!D109,"")</f>
        <v/>
      </c>
      <c r="E112" s="436"/>
      <c r="F112" s="398" t="str">
        <f>IF(('Ameacas-Pré'!F109)&gt;0,'Ameacas-Pré'!P109,"")</f>
        <v/>
      </c>
      <c r="G112" s="226"/>
      <c r="H112" s="227"/>
      <c r="I112" s="228">
        <v>0</v>
      </c>
      <c r="J112" s="129">
        <f>'Ameacas-Pré'!F109</f>
        <v>0</v>
      </c>
      <c r="K112" s="132" t="str">
        <f>IF(J112=0,"0",'Ameacas-Pré'!O109)</f>
        <v>0</v>
      </c>
      <c r="L112" s="229">
        <f t="shared" si="1"/>
        <v>0</v>
      </c>
      <c r="M112" s="226"/>
      <c r="N112" s="228">
        <v>0</v>
      </c>
      <c r="O112" s="228"/>
    </row>
    <row r="113" spans="1:15" ht="13">
      <c r="A113" s="126">
        <f>'Ameacas-Pré'!A110</f>
        <v>103</v>
      </c>
      <c r="B113" s="307" t="str">
        <f>IF(('Ameacas-Pré'!B110)&gt;0,'Ameacas-Pré'!B110,"")</f>
        <v/>
      </c>
      <c r="C113" s="224" t="str">
        <f>IF(('Ameacas-Pré'!C110)&gt;0,'Ameacas-Pré'!C110,"")</f>
        <v/>
      </c>
      <c r="D113" s="435" t="str">
        <f>IF(('Ameacas-Pré'!D110)&gt;0,'Ameacas-Pré'!D110,"")</f>
        <v/>
      </c>
      <c r="E113" s="436"/>
      <c r="F113" s="398" t="str">
        <f>IF(('Ameacas-Pré'!F110)&gt;0,'Ameacas-Pré'!P110,"")</f>
        <v/>
      </c>
      <c r="G113" s="226"/>
      <c r="H113" s="227"/>
      <c r="I113" s="228">
        <v>0</v>
      </c>
      <c r="J113" s="129">
        <f>'Ameacas-Pré'!F110</f>
        <v>0</v>
      </c>
      <c r="K113" s="132" t="str">
        <f>IF(J113=0,"0",'Ameacas-Pré'!O110)</f>
        <v>0</v>
      </c>
      <c r="L113" s="229">
        <f t="shared" si="1"/>
        <v>0</v>
      </c>
      <c r="M113" s="226"/>
      <c r="N113" s="228">
        <v>0</v>
      </c>
      <c r="O113" s="228"/>
    </row>
    <row r="114" spans="1:15" ht="13">
      <c r="A114" s="126">
        <f>'Ameacas-Pré'!A111</f>
        <v>104</v>
      </c>
      <c r="B114" s="307" t="str">
        <f>IF(('Ameacas-Pré'!B111)&gt;0,'Ameacas-Pré'!B111,"")</f>
        <v/>
      </c>
      <c r="C114" s="224" t="str">
        <f>IF(('Ameacas-Pré'!C111)&gt;0,'Ameacas-Pré'!C111,"")</f>
        <v/>
      </c>
      <c r="D114" s="435" t="str">
        <f>IF(('Ameacas-Pré'!D111)&gt;0,'Ameacas-Pré'!D111,"")</f>
        <v/>
      </c>
      <c r="E114" s="436"/>
      <c r="F114" s="398" t="str">
        <f>IF(('Ameacas-Pré'!F111)&gt;0,'Ameacas-Pré'!P111,"")</f>
        <v/>
      </c>
      <c r="G114" s="226"/>
      <c r="H114" s="227"/>
      <c r="I114" s="228">
        <v>0</v>
      </c>
      <c r="J114" s="129">
        <f>'Ameacas-Pré'!F111</f>
        <v>0</v>
      </c>
      <c r="K114" s="132" t="str">
        <f>IF(J114=0,"0",'Ameacas-Pré'!O111)</f>
        <v>0</v>
      </c>
      <c r="L114" s="229">
        <f t="shared" si="1"/>
        <v>0</v>
      </c>
      <c r="M114" s="226"/>
      <c r="N114" s="228">
        <v>0</v>
      </c>
      <c r="O114" s="228"/>
    </row>
    <row r="115" spans="1:15" ht="13">
      <c r="A115" s="126">
        <f>'Ameacas-Pré'!A112</f>
        <v>105</v>
      </c>
      <c r="B115" s="307" t="str">
        <f>IF(('Ameacas-Pré'!B112)&gt;0,'Ameacas-Pré'!B112,"")</f>
        <v/>
      </c>
      <c r="C115" s="224" t="str">
        <f>IF(('Ameacas-Pré'!C112)&gt;0,'Ameacas-Pré'!C112,"")</f>
        <v/>
      </c>
      <c r="D115" s="435" t="str">
        <f>IF(('Ameacas-Pré'!D112)&gt;0,'Ameacas-Pré'!D112,"")</f>
        <v/>
      </c>
      <c r="E115" s="436"/>
      <c r="F115" s="398" t="str">
        <f>IF(('Ameacas-Pré'!F112)&gt;0,'Ameacas-Pré'!P112,"")</f>
        <v/>
      </c>
      <c r="G115" s="226"/>
      <c r="H115" s="227"/>
      <c r="I115" s="228">
        <v>0</v>
      </c>
      <c r="J115" s="129">
        <f>'Ameacas-Pré'!F112</f>
        <v>0</v>
      </c>
      <c r="K115" s="132" t="str">
        <f>IF(J115=0,"0",'Ameacas-Pré'!O112)</f>
        <v>0</v>
      </c>
      <c r="L115" s="229">
        <f t="shared" si="1"/>
        <v>0</v>
      </c>
      <c r="M115" s="226"/>
      <c r="N115" s="228">
        <v>0</v>
      </c>
      <c r="O115" s="228"/>
    </row>
    <row r="116" spans="1:15" ht="13">
      <c r="A116" s="126">
        <f>'Ameacas-Pré'!A113</f>
        <v>106</v>
      </c>
      <c r="B116" s="307" t="str">
        <f>IF(('Ameacas-Pré'!B113)&gt;0,'Ameacas-Pré'!B113,"")</f>
        <v/>
      </c>
      <c r="C116" s="224" t="str">
        <f>IF(('Ameacas-Pré'!C113)&gt;0,'Ameacas-Pré'!C113,"")</f>
        <v/>
      </c>
      <c r="D116" s="435" t="str">
        <f>IF(('Ameacas-Pré'!D113)&gt;0,'Ameacas-Pré'!D113,"")</f>
        <v/>
      </c>
      <c r="E116" s="436"/>
      <c r="F116" s="398" t="str">
        <f>IF(('Ameacas-Pré'!F113)&gt;0,'Ameacas-Pré'!P113,"")</f>
        <v/>
      </c>
      <c r="G116" s="226"/>
      <c r="H116" s="227"/>
      <c r="I116" s="228">
        <v>0</v>
      </c>
      <c r="J116" s="129">
        <f>'Ameacas-Pré'!F113</f>
        <v>0</v>
      </c>
      <c r="K116" s="132" t="str">
        <f>IF(J116=0,"0",'Ameacas-Pré'!O113)</f>
        <v>0</v>
      </c>
      <c r="L116" s="229">
        <f t="shared" si="1"/>
        <v>0</v>
      </c>
      <c r="M116" s="226"/>
      <c r="N116" s="228">
        <v>0</v>
      </c>
      <c r="O116" s="228"/>
    </row>
    <row r="117" spans="1:15" ht="13">
      <c r="A117" s="126">
        <f>'Ameacas-Pré'!A114</f>
        <v>107</v>
      </c>
      <c r="B117" s="307" t="str">
        <f>IF(('Ameacas-Pré'!B114)&gt;0,'Ameacas-Pré'!B114,"")</f>
        <v/>
      </c>
      <c r="C117" s="224" t="str">
        <f>IF(('Ameacas-Pré'!C114)&gt;0,'Ameacas-Pré'!C114,"")</f>
        <v/>
      </c>
      <c r="D117" s="435" t="str">
        <f>IF(('Ameacas-Pré'!D114)&gt;0,'Ameacas-Pré'!D114,"")</f>
        <v/>
      </c>
      <c r="E117" s="436"/>
      <c r="F117" s="398" t="str">
        <f>IF(('Ameacas-Pré'!F114)&gt;0,'Ameacas-Pré'!P114,"")</f>
        <v/>
      </c>
      <c r="G117" s="226"/>
      <c r="H117" s="227"/>
      <c r="I117" s="228">
        <v>0</v>
      </c>
      <c r="J117" s="129">
        <f>'Ameacas-Pré'!F114</f>
        <v>0</v>
      </c>
      <c r="K117" s="132" t="str">
        <f>IF(J117=0,"0",'Ameacas-Pré'!O114)</f>
        <v>0</v>
      </c>
      <c r="L117" s="229">
        <f t="shared" si="1"/>
        <v>0</v>
      </c>
      <c r="M117" s="226"/>
      <c r="N117" s="228">
        <v>0</v>
      </c>
      <c r="O117" s="228"/>
    </row>
    <row r="118" spans="1:15" ht="13">
      <c r="A118" s="126">
        <f>'Ameacas-Pré'!A115</f>
        <v>108</v>
      </c>
      <c r="B118" s="307" t="str">
        <f>IF(('Ameacas-Pré'!B115)&gt;0,'Ameacas-Pré'!B115,"")</f>
        <v/>
      </c>
      <c r="C118" s="224" t="str">
        <f>IF(('Ameacas-Pré'!C115)&gt;0,'Ameacas-Pré'!C115,"")</f>
        <v/>
      </c>
      <c r="D118" s="435" t="str">
        <f>IF(('Ameacas-Pré'!D115)&gt;0,'Ameacas-Pré'!D115,"")</f>
        <v/>
      </c>
      <c r="E118" s="436"/>
      <c r="F118" s="398" t="str">
        <f>IF(('Ameacas-Pré'!F115)&gt;0,'Ameacas-Pré'!P115,"")</f>
        <v/>
      </c>
      <c r="G118" s="226"/>
      <c r="H118" s="227"/>
      <c r="I118" s="228">
        <v>0</v>
      </c>
      <c r="J118" s="129">
        <f>'Ameacas-Pré'!F115</f>
        <v>0</v>
      </c>
      <c r="K118" s="132" t="str">
        <f>IF(J118=0,"0",'Ameacas-Pré'!O115)</f>
        <v>0</v>
      </c>
      <c r="L118" s="229">
        <f t="shared" si="1"/>
        <v>0</v>
      </c>
      <c r="M118" s="226"/>
      <c r="N118" s="228">
        <v>0</v>
      </c>
      <c r="O118" s="228"/>
    </row>
    <row r="119" spans="1:15" ht="13">
      <c r="A119" s="126">
        <f>'Ameacas-Pré'!A116</f>
        <v>109</v>
      </c>
      <c r="B119" s="307" t="str">
        <f>IF(('Ameacas-Pré'!B116)&gt;0,'Ameacas-Pré'!B116,"")</f>
        <v/>
      </c>
      <c r="C119" s="224" t="str">
        <f>IF(('Ameacas-Pré'!C116)&gt;0,'Ameacas-Pré'!C116,"")</f>
        <v/>
      </c>
      <c r="D119" s="435" t="str">
        <f>IF(('Ameacas-Pré'!D116)&gt;0,'Ameacas-Pré'!D116,"")</f>
        <v/>
      </c>
      <c r="E119" s="436"/>
      <c r="F119" s="398" t="str">
        <f>IF(('Ameacas-Pré'!F116)&gt;0,'Ameacas-Pré'!P116,"")</f>
        <v/>
      </c>
      <c r="G119" s="226"/>
      <c r="H119" s="227"/>
      <c r="I119" s="228">
        <v>0</v>
      </c>
      <c r="J119" s="129">
        <f>'Ameacas-Pré'!F116</f>
        <v>0</v>
      </c>
      <c r="K119" s="132" t="str">
        <f>IF(J119=0,"0",'Ameacas-Pré'!O116)</f>
        <v>0</v>
      </c>
      <c r="L119" s="229">
        <f t="shared" si="1"/>
        <v>0</v>
      </c>
      <c r="M119" s="226"/>
      <c r="N119" s="228">
        <v>0</v>
      </c>
      <c r="O119" s="228"/>
    </row>
    <row r="120" spans="1:15" ht="13">
      <c r="A120" s="126">
        <f>'Ameacas-Pré'!A117</f>
        <v>110</v>
      </c>
      <c r="B120" s="307" t="str">
        <f>IF(('Ameacas-Pré'!B117)&gt;0,'Ameacas-Pré'!B117,"")</f>
        <v/>
      </c>
      <c r="C120" s="224" t="str">
        <f>IF(('Ameacas-Pré'!C117)&gt;0,'Ameacas-Pré'!C117,"")</f>
        <v/>
      </c>
      <c r="D120" s="435" t="str">
        <f>IF(('Ameacas-Pré'!D117)&gt;0,'Ameacas-Pré'!D117,"")</f>
        <v/>
      </c>
      <c r="E120" s="436"/>
      <c r="F120" s="398" t="str">
        <f>IF(('Ameacas-Pré'!F117)&gt;0,'Ameacas-Pré'!P117,"")</f>
        <v/>
      </c>
      <c r="G120" s="226"/>
      <c r="H120" s="227"/>
      <c r="I120" s="228">
        <v>0</v>
      </c>
      <c r="J120" s="129">
        <f>'Ameacas-Pré'!F117</f>
        <v>0</v>
      </c>
      <c r="K120" s="132" t="str">
        <f>IF(J120=0,"0",'Ameacas-Pré'!O117)</f>
        <v>0</v>
      </c>
      <c r="L120" s="229">
        <f t="shared" si="1"/>
        <v>0</v>
      </c>
      <c r="M120" s="226"/>
      <c r="N120" s="228">
        <v>0</v>
      </c>
      <c r="O120" s="228"/>
    </row>
    <row r="121" spans="1:15" ht="13">
      <c r="A121" s="126">
        <f>'Ameacas-Pré'!A118</f>
        <v>111</v>
      </c>
      <c r="B121" s="307" t="str">
        <f>IF(('Ameacas-Pré'!B118)&gt;0,'Ameacas-Pré'!B118,"")</f>
        <v/>
      </c>
      <c r="C121" s="224" t="str">
        <f>IF(('Ameacas-Pré'!C118)&gt;0,'Ameacas-Pré'!C118,"")</f>
        <v/>
      </c>
      <c r="D121" s="435" t="str">
        <f>IF(('Ameacas-Pré'!D118)&gt;0,'Ameacas-Pré'!D118,"")</f>
        <v/>
      </c>
      <c r="E121" s="436"/>
      <c r="F121" s="398" t="str">
        <f>IF(('Ameacas-Pré'!F118)&gt;0,'Ameacas-Pré'!P118,"")</f>
        <v/>
      </c>
      <c r="G121" s="226"/>
      <c r="H121" s="227"/>
      <c r="I121" s="228">
        <v>0</v>
      </c>
      <c r="J121" s="129">
        <f>'Ameacas-Pré'!F118</f>
        <v>0</v>
      </c>
      <c r="K121" s="132" t="str">
        <f>IF(J121=0,"0",'Ameacas-Pré'!O118)</f>
        <v>0</v>
      </c>
      <c r="L121" s="229">
        <f t="shared" si="1"/>
        <v>0</v>
      </c>
      <c r="M121" s="226"/>
      <c r="N121" s="228">
        <v>0</v>
      </c>
      <c r="O121" s="228"/>
    </row>
    <row r="122" spans="1:15" ht="13">
      <c r="A122" s="126">
        <f>'Ameacas-Pré'!A119</f>
        <v>112</v>
      </c>
      <c r="B122" s="307" t="str">
        <f>IF(('Ameacas-Pré'!B119)&gt;0,'Ameacas-Pré'!B119,"")</f>
        <v/>
      </c>
      <c r="C122" s="224" t="str">
        <f>IF(('Ameacas-Pré'!C119)&gt;0,'Ameacas-Pré'!C119,"")</f>
        <v/>
      </c>
      <c r="D122" s="435" t="str">
        <f>IF(('Ameacas-Pré'!D119)&gt;0,'Ameacas-Pré'!D119,"")</f>
        <v/>
      </c>
      <c r="E122" s="436"/>
      <c r="F122" s="398" t="str">
        <f>IF(('Ameacas-Pré'!F119)&gt;0,'Ameacas-Pré'!P119,"")</f>
        <v/>
      </c>
      <c r="G122" s="226"/>
      <c r="H122" s="227"/>
      <c r="I122" s="228">
        <v>0</v>
      </c>
      <c r="J122" s="129">
        <f>'Ameacas-Pré'!F119</f>
        <v>0</v>
      </c>
      <c r="K122" s="132" t="str">
        <f>IF(J122=0,"0",'Ameacas-Pré'!O119)</f>
        <v>0</v>
      </c>
      <c r="L122" s="229">
        <f t="shared" si="1"/>
        <v>0</v>
      </c>
      <c r="M122" s="226"/>
      <c r="N122" s="228">
        <v>0</v>
      </c>
      <c r="O122" s="228"/>
    </row>
    <row r="123" spans="1:15" ht="13">
      <c r="A123" s="126">
        <f>'Ameacas-Pré'!A120</f>
        <v>113</v>
      </c>
      <c r="B123" s="307" t="str">
        <f>IF(('Ameacas-Pré'!B120)&gt;0,'Ameacas-Pré'!B120,"")</f>
        <v/>
      </c>
      <c r="C123" s="224" t="str">
        <f>IF(('Ameacas-Pré'!C120)&gt;0,'Ameacas-Pré'!C120,"")</f>
        <v/>
      </c>
      <c r="D123" s="435" t="str">
        <f>IF(('Ameacas-Pré'!D120)&gt;0,'Ameacas-Pré'!D120,"")</f>
        <v/>
      </c>
      <c r="E123" s="436"/>
      <c r="F123" s="398" t="str">
        <f>IF(('Ameacas-Pré'!F120)&gt;0,'Ameacas-Pré'!P120,"")</f>
        <v/>
      </c>
      <c r="G123" s="226"/>
      <c r="H123" s="227"/>
      <c r="I123" s="228">
        <v>0</v>
      </c>
      <c r="J123" s="129">
        <f>'Ameacas-Pré'!F120</f>
        <v>0</v>
      </c>
      <c r="K123" s="132" t="str">
        <f>IF(J123=0,"0",'Ameacas-Pré'!O120)</f>
        <v>0</v>
      </c>
      <c r="L123" s="229">
        <f t="shared" si="1"/>
        <v>0</v>
      </c>
      <c r="M123" s="226"/>
      <c r="N123" s="228">
        <v>0</v>
      </c>
      <c r="O123" s="228"/>
    </row>
    <row r="124" spans="1:15" ht="13">
      <c r="A124" s="126">
        <f>'Ameacas-Pré'!A121</f>
        <v>114</v>
      </c>
      <c r="B124" s="307" t="str">
        <f>IF(('Ameacas-Pré'!B121)&gt;0,'Ameacas-Pré'!B121,"")</f>
        <v/>
      </c>
      <c r="C124" s="224" t="str">
        <f>IF(('Ameacas-Pré'!C121)&gt;0,'Ameacas-Pré'!C121,"")</f>
        <v/>
      </c>
      <c r="D124" s="435" t="str">
        <f>IF(('Ameacas-Pré'!D121)&gt;0,'Ameacas-Pré'!D121,"")</f>
        <v/>
      </c>
      <c r="E124" s="436"/>
      <c r="F124" s="398" t="str">
        <f>IF(('Ameacas-Pré'!F121)&gt;0,'Ameacas-Pré'!P121,"")</f>
        <v/>
      </c>
      <c r="G124" s="226"/>
      <c r="H124" s="227"/>
      <c r="I124" s="228">
        <v>0</v>
      </c>
      <c r="J124" s="129">
        <f>'Ameacas-Pré'!F121</f>
        <v>0</v>
      </c>
      <c r="K124" s="132" t="str">
        <f>IF(J124=0,"0",'Ameacas-Pré'!O121)</f>
        <v>0</v>
      </c>
      <c r="L124" s="229">
        <f t="shared" si="1"/>
        <v>0</v>
      </c>
      <c r="M124" s="226"/>
      <c r="N124" s="228">
        <v>0</v>
      </c>
      <c r="O124" s="228"/>
    </row>
    <row r="125" spans="1:15" ht="13">
      <c r="A125" s="126">
        <f>'Ameacas-Pré'!A122</f>
        <v>115</v>
      </c>
      <c r="B125" s="307" t="str">
        <f>IF(('Ameacas-Pré'!B122)&gt;0,'Ameacas-Pré'!B122,"")</f>
        <v/>
      </c>
      <c r="C125" s="224" t="str">
        <f>IF(('Ameacas-Pré'!C122)&gt;0,'Ameacas-Pré'!C122,"")</f>
        <v/>
      </c>
      <c r="D125" s="435" t="str">
        <f>IF(('Ameacas-Pré'!D122)&gt;0,'Ameacas-Pré'!D122,"")</f>
        <v/>
      </c>
      <c r="E125" s="436"/>
      <c r="F125" s="398" t="str">
        <f>IF(('Ameacas-Pré'!F122)&gt;0,'Ameacas-Pré'!P122,"")</f>
        <v/>
      </c>
      <c r="G125" s="226"/>
      <c r="H125" s="227"/>
      <c r="I125" s="228">
        <v>0</v>
      </c>
      <c r="J125" s="129">
        <f>'Ameacas-Pré'!F122</f>
        <v>0</v>
      </c>
      <c r="K125" s="132" t="str">
        <f>IF(J125=0,"0",'Ameacas-Pré'!O122)</f>
        <v>0</v>
      </c>
      <c r="L125" s="229">
        <f t="shared" si="1"/>
        <v>0</v>
      </c>
      <c r="M125" s="226"/>
      <c r="N125" s="228">
        <v>0</v>
      </c>
      <c r="O125" s="228"/>
    </row>
    <row r="126" spans="1:15" ht="13">
      <c r="A126" s="126">
        <f>'Ameacas-Pré'!A123</f>
        <v>116</v>
      </c>
      <c r="B126" s="307" t="str">
        <f>IF(('Ameacas-Pré'!B123)&gt;0,'Ameacas-Pré'!B123,"")</f>
        <v/>
      </c>
      <c r="C126" s="224" t="str">
        <f>IF(('Ameacas-Pré'!C123)&gt;0,'Ameacas-Pré'!C123,"")</f>
        <v/>
      </c>
      <c r="D126" s="435" t="str">
        <f>IF(('Ameacas-Pré'!D123)&gt;0,'Ameacas-Pré'!D123,"")</f>
        <v/>
      </c>
      <c r="E126" s="436"/>
      <c r="F126" s="398" t="str">
        <f>IF(('Ameacas-Pré'!F123)&gt;0,'Ameacas-Pré'!P123,"")</f>
        <v/>
      </c>
      <c r="G126" s="226"/>
      <c r="H126" s="227"/>
      <c r="I126" s="228">
        <v>0</v>
      </c>
      <c r="J126" s="129">
        <f>'Ameacas-Pré'!F123</f>
        <v>0</v>
      </c>
      <c r="K126" s="132" t="str">
        <f>IF(J126=0,"0",'Ameacas-Pré'!O123)</f>
        <v>0</v>
      </c>
      <c r="L126" s="229">
        <f t="shared" si="1"/>
        <v>0</v>
      </c>
      <c r="M126" s="226"/>
      <c r="N126" s="228">
        <v>0</v>
      </c>
      <c r="O126" s="228"/>
    </row>
    <row r="127" spans="1:15" ht="13">
      <c r="A127" s="126">
        <f>'Ameacas-Pré'!A124</f>
        <v>117</v>
      </c>
      <c r="B127" s="307" t="str">
        <f>IF(('Ameacas-Pré'!B124)&gt;0,'Ameacas-Pré'!B124,"")</f>
        <v/>
      </c>
      <c r="C127" s="224" t="str">
        <f>IF(('Ameacas-Pré'!C124)&gt;0,'Ameacas-Pré'!C124,"")</f>
        <v/>
      </c>
      <c r="D127" s="435" t="str">
        <f>IF(('Ameacas-Pré'!D124)&gt;0,'Ameacas-Pré'!D124,"")</f>
        <v/>
      </c>
      <c r="E127" s="436"/>
      <c r="F127" s="398" t="str">
        <f>IF(('Ameacas-Pré'!F124)&gt;0,'Ameacas-Pré'!P124,"")</f>
        <v/>
      </c>
      <c r="G127" s="226"/>
      <c r="H127" s="227"/>
      <c r="I127" s="228">
        <v>0</v>
      </c>
      <c r="J127" s="129">
        <f>'Ameacas-Pré'!F124</f>
        <v>0</v>
      </c>
      <c r="K127" s="132" t="str">
        <f>IF(J127=0,"0",'Ameacas-Pré'!O124)</f>
        <v>0</v>
      </c>
      <c r="L127" s="229">
        <f t="shared" si="1"/>
        <v>0</v>
      </c>
      <c r="M127" s="226"/>
      <c r="N127" s="228">
        <v>0</v>
      </c>
      <c r="O127" s="228"/>
    </row>
    <row r="128" spans="1:15" ht="13">
      <c r="A128" s="126">
        <f>'Ameacas-Pré'!A125</f>
        <v>118</v>
      </c>
      <c r="B128" s="307" t="str">
        <f>IF(('Ameacas-Pré'!B125)&gt;0,'Ameacas-Pré'!B125,"")</f>
        <v/>
      </c>
      <c r="C128" s="224" t="str">
        <f>IF(('Ameacas-Pré'!C125)&gt;0,'Ameacas-Pré'!C125,"")</f>
        <v/>
      </c>
      <c r="D128" s="435" t="str">
        <f>IF(('Ameacas-Pré'!D125)&gt;0,'Ameacas-Pré'!D125,"")</f>
        <v/>
      </c>
      <c r="E128" s="436"/>
      <c r="F128" s="398" t="str">
        <f>IF(('Ameacas-Pré'!F125)&gt;0,'Ameacas-Pré'!P125,"")</f>
        <v/>
      </c>
      <c r="G128" s="226"/>
      <c r="H128" s="227"/>
      <c r="I128" s="228">
        <v>0</v>
      </c>
      <c r="J128" s="129">
        <f>'Ameacas-Pré'!F125</f>
        <v>0</v>
      </c>
      <c r="K128" s="132" t="str">
        <f>IF(J128=0,"0",'Ameacas-Pré'!O125)</f>
        <v>0</v>
      </c>
      <c r="L128" s="229">
        <f t="shared" si="1"/>
        <v>0</v>
      </c>
      <c r="M128" s="226"/>
      <c r="N128" s="228">
        <v>0</v>
      </c>
      <c r="O128" s="228"/>
    </row>
    <row r="129" spans="1:15" ht="13">
      <c r="A129" s="126">
        <f>'Ameacas-Pré'!A126</f>
        <v>119</v>
      </c>
      <c r="B129" s="307" t="str">
        <f>IF(('Ameacas-Pré'!B126)&gt;0,'Ameacas-Pré'!B126,"")</f>
        <v/>
      </c>
      <c r="C129" s="224" t="str">
        <f>IF(('Ameacas-Pré'!C126)&gt;0,'Ameacas-Pré'!C126,"")</f>
        <v/>
      </c>
      <c r="D129" s="435" t="str">
        <f>IF(('Ameacas-Pré'!D126)&gt;0,'Ameacas-Pré'!D126,"")</f>
        <v/>
      </c>
      <c r="E129" s="436"/>
      <c r="F129" s="398" t="str">
        <f>IF(('Ameacas-Pré'!F126)&gt;0,'Ameacas-Pré'!P126,"")</f>
        <v/>
      </c>
      <c r="G129" s="226"/>
      <c r="H129" s="227"/>
      <c r="I129" s="228">
        <v>0</v>
      </c>
      <c r="J129" s="129">
        <f>'Ameacas-Pré'!F126</f>
        <v>0</v>
      </c>
      <c r="K129" s="132" t="str">
        <f>IF(J129=0,"0",'Ameacas-Pré'!O126)</f>
        <v>0</v>
      </c>
      <c r="L129" s="229">
        <f t="shared" si="1"/>
        <v>0</v>
      </c>
      <c r="M129" s="226"/>
      <c r="N129" s="228">
        <v>0</v>
      </c>
      <c r="O129" s="228"/>
    </row>
    <row r="130" spans="1:15" ht="13">
      <c r="A130" s="126">
        <f>'Ameacas-Pré'!A127</f>
        <v>120</v>
      </c>
      <c r="B130" s="307" t="str">
        <f>IF(('Ameacas-Pré'!B127)&gt;0,'Ameacas-Pré'!B127,"")</f>
        <v/>
      </c>
      <c r="C130" s="224" t="str">
        <f>IF(('Ameacas-Pré'!C127)&gt;0,'Ameacas-Pré'!C127,"")</f>
        <v/>
      </c>
      <c r="D130" s="435" t="str">
        <f>IF(('Ameacas-Pré'!D127)&gt;0,'Ameacas-Pré'!D127,"")</f>
        <v/>
      </c>
      <c r="E130" s="436"/>
      <c r="F130" s="398" t="str">
        <f>IF(('Ameacas-Pré'!F127)&gt;0,'Ameacas-Pré'!P127,"")</f>
        <v/>
      </c>
      <c r="G130" s="226"/>
      <c r="H130" s="227"/>
      <c r="I130" s="228">
        <v>0</v>
      </c>
      <c r="J130" s="129">
        <f>'Ameacas-Pré'!F127</f>
        <v>0</v>
      </c>
      <c r="K130" s="132" t="str">
        <f>IF(J130=0,"0",'Ameacas-Pré'!O127)</f>
        <v>0</v>
      </c>
      <c r="L130" s="229">
        <f t="shared" si="1"/>
        <v>0</v>
      </c>
      <c r="M130" s="226"/>
      <c r="N130" s="228">
        <v>0</v>
      </c>
      <c r="O130" s="228"/>
    </row>
    <row r="131" spans="1:15" ht="13">
      <c r="A131" s="126">
        <f>'Ameacas-Pré'!A128</f>
        <v>121</v>
      </c>
      <c r="B131" s="307" t="str">
        <f>IF(('Ameacas-Pré'!B128)&gt;0,'Ameacas-Pré'!B128,"")</f>
        <v/>
      </c>
      <c r="C131" s="224" t="str">
        <f>IF(('Ameacas-Pré'!C128)&gt;0,'Ameacas-Pré'!C128,"")</f>
        <v/>
      </c>
      <c r="D131" s="435" t="str">
        <f>IF(('Ameacas-Pré'!D128)&gt;0,'Ameacas-Pré'!D128,"")</f>
        <v/>
      </c>
      <c r="E131" s="436"/>
      <c r="F131" s="398" t="str">
        <f>IF(('Ameacas-Pré'!F128)&gt;0,'Ameacas-Pré'!P128,"")</f>
        <v/>
      </c>
      <c r="G131" s="226"/>
      <c r="H131" s="227"/>
      <c r="I131" s="228">
        <v>0</v>
      </c>
      <c r="J131" s="129">
        <f>'Ameacas-Pré'!F128</f>
        <v>0</v>
      </c>
      <c r="K131" s="132" t="str">
        <f>IF(J131=0,"0",'Ameacas-Pré'!O128)</f>
        <v>0</v>
      </c>
      <c r="L131" s="229">
        <f t="shared" si="1"/>
        <v>0</v>
      </c>
      <c r="M131" s="226"/>
      <c r="N131" s="228">
        <v>0</v>
      </c>
      <c r="O131" s="228"/>
    </row>
    <row r="132" spans="1:15" ht="13">
      <c r="A132" s="126">
        <f>'Ameacas-Pré'!A129</f>
        <v>122</v>
      </c>
      <c r="B132" s="307" t="str">
        <f>IF(('Ameacas-Pré'!B129)&gt;0,'Ameacas-Pré'!B129,"")</f>
        <v/>
      </c>
      <c r="C132" s="224" t="str">
        <f>IF(('Ameacas-Pré'!C129)&gt;0,'Ameacas-Pré'!C129,"")</f>
        <v/>
      </c>
      <c r="D132" s="435" t="str">
        <f>IF(('Ameacas-Pré'!D129)&gt;0,'Ameacas-Pré'!D129,"")</f>
        <v/>
      </c>
      <c r="E132" s="436"/>
      <c r="F132" s="398" t="str">
        <f>IF(('Ameacas-Pré'!F129)&gt;0,'Ameacas-Pré'!P129,"")</f>
        <v/>
      </c>
      <c r="G132" s="226"/>
      <c r="H132" s="227"/>
      <c r="I132" s="228">
        <v>0</v>
      </c>
      <c r="J132" s="129">
        <f>'Ameacas-Pré'!F129</f>
        <v>0</v>
      </c>
      <c r="K132" s="132" t="str">
        <f>IF(J132=0,"0",'Ameacas-Pré'!O129)</f>
        <v>0</v>
      </c>
      <c r="L132" s="229">
        <f t="shared" si="1"/>
        <v>0</v>
      </c>
      <c r="M132" s="226"/>
      <c r="N132" s="228">
        <v>0</v>
      </c>
      <c r="O132" s="228"/>
    </row>
    <row r="133" spans="1:15" ht="13">
      <c r="A133" s="126">
        <f>'Ameacas-Pré'!A130</f>
        <v>123</v>
      </c>
      <c r="B133" s="307" t="str">
        <f>IF(('Ameacas-Pré'!B130)&gt;0,'Ameacas-Pré'!B130,"")</f>
        <v/>
      </c>
      <c r="C133" s="224" t="str">
        <f>IF(('Ameacas-Pré'!C130)&gt;0,'Ameacas-Pré'!C130,"")</f>
        <v/>
      </c>
      <c r="D133" s="435" t="str">
        <f>IF(('Ameacas-Pré'!D130)&gt;0,'Ameacas-Pré'!D130,"")</f>
        <v/>
      </c>
      <c r="E133" s="436"/>
      <c r="F133" s="398" t="str">
        <f>IF(('Ameacas-Pré'!F130)&gt;0,'Ameacas-Pré'!P130,"")</f>
        <v/>
      </c>
      <c r="G133" s="226"/>
      <c r="H133" s="227"/>
      <c r="I133" s="228">
        <v>0</v>
      </c>
      <c r="J133" s="129">
        <f>'Ameacas-Pré'!F130</f>
        <v>0</v>
      </c>
      <c r="K133" s="132" t="str">
        <f>IF(J133=0,"0",'Ameacas-Pré'!O130)</f>
        <v>0</v>
      </c>
      <c r="L133" s="229">
        <f t="shared" si="1"/>
        <v>0</v>
      </c>
      <c r="M133" s="226"/>
      <c r="N133" s="228">
        <v>0</v>
      </c>
      <c r="O133" s="228"/>
    </row>
    <row r="134" spans="1:15" ht="13">
      <c r="A134" s="126">
        <f>'Ameacas-Pré'!A131</f>
        <v>124</v>
      </c>
      <c r="B134" s="307" t="str">
        <f>IF(('Ameacas-Pré'!B131)&gt;0,'Ameacas-Pré'!B131,"")</f>
        <v/>
      </c>
      <c r="C134" s="224" t="str">
        <f>IF(('Ameacas-Pré'!C131)&gt;0,'Ameacas-Pré'!C131,"")</f>
        <v/>
      </c>
      <c r="D134" s="435" t="str">
        <f>IF(('Ameacas-Pré'!D131)&gt;0,'Ameacas-Pré'!D131,"")</f>
        <v/>
      </c>
      <c r="E134" s="436"/>
      <c r="F134" s="398" t="str">
        <f>IF(('Ameacas-Pré'!F131)&gt;0,'Ameacas-Pré'!P131,"")</f>
        <v/>
      </c>
      <c r="G134" s="226"/>
      <c r="H134" s="227"/>
      <c r="I134" s="228">
        <v>0</v>
      </c>
      <c r="J134" s="129">
        <f>'Ameacas-Pré'!F131</f>
        <v>0</v>
      </c>
      <c r="K134" s="132" t="str">
        <f>IF(J134=0,"0",'Ameacas-Pré'!O131)</f>
        <v>0</v>
      </c>
      <c r="L134" s="229">
        <f t="shared" si="1"/>
        <v>0</v>
      </c>
      <c r="M134" s="226"/>
      <c r="N134" s="228">
        <v>0</v>
      </c>
      <c r="O134" s="228"/>
    </row>
    <row r="135" spans="1:15" ht="13">
      <c r="A135" s="126">
        <f>'Ameacas-Pré'!A132</f>
        <v>125</v>
      </c>
      <c r="B135" s="307" t="str">
        <f>IF(('Ameacas-Pré'!B132)&gt;0,'Ameacas-Pré'!B132,"")</f>
        <v/>
      </c>
      <c r="C135" s="224" t="str">
        <f>IF(('Ameacas-Pré'!C132)&gt;0,'Ameacas-Pré'!C132,"")</f>
        <v/>
      </c>
      <c r="D135" s="435" t="str">
        <f>IF(('Ameacas-Pré'!D132)&gt;0,'Ameacas-Pré'!D132,"")</f>
        <v/>
      </c>
      <c r="E135" s="436"/>
      <c r="F135" s="398" t="str">
        <f>IF(('Ameacas-Pré'!F132)&gt;0,'Ameacas-Pré'!P132,"")</f>
        <v/>
      </c>
      <c r="G135" s="226"/>
      <c r="H135" s="227"/>
      <c r="I135" s="228">
        <v>0</v>
      </c>
      <c r="J135" s="129">
        <f>'Ameacas-Pré'!F132</f>
        <v>0</v>
      </c>
      <c r="K135" s="132" t="str">
        <f>IF(J135=0,"0",'Ameacas-Pré'!O132)</f>
        <v>0</v>
      </c>
      <c r="L135" s="229">
        <f t="shared" si="1"/>
        <v>0</v>
      </c>
      <c r="M135" s="226"/>
      <c r="N135" s="228">
        <v>0</v>
      </c>
      <c r="O135" s="228"/>
    </row>
    <row r="136" spans="1:15" ht="13">
      <c r="A136" s="126">
        <f>'Ameacas-Pré'!A133</f>
        <v>126</v>
      </c>
      <c r="B136" s="307" t="str">
        <f>IF(('Ameacas-Pré'!B133)&gt;0,'Ameacas-Pré'!B133,"")</f>
        <v/>
      </c>
      <c r="C136" s="224" t="str">
        <f>IF(('Ameacas-Pré'!C133)&gt;0,'Ameacas-Pré'!C133,"")</f>
        <v/>
      </c>
      <c r="D136" s="435" t="str">
        <f>IF(('Ameacas-Pré'!D133)&gt;0,'Ameacas-Pré'!D133,"")</f>
        <v/>
      </c>
      <c r="E136" s="436"/>
      <c r="F136" s="398" t="str">
        <f>IF(('Ameacas-Pré'!F133)&gt;0,'Ameacas-Pré'!P133,"")</f>
        <v/>
      </c>
      <c r="G136" s="226"/>
      <c r="H136" s="227"/>
      <c r="I136" s="228">
        <v>0</v>
      </c>
      <c r="J136" s="129">
        <f>'Ameacas-Pré'!F133</f>
        <v>0</v>
      </c>
      <c r="K136" s="132" t="str">
        <f>IF(J136=0,"0",'Ameacas-Pré'!O133)</f>
        <v>0</v>
      </c>
      <c r="L136" s="229">
        <f t="shared" si="1"/>
        <v>0</v>
      </c>
      <c r="M136" s="226"/>
      <c r="N136" s="228">
        <v>0</v>
      </c>
      <c r="O136" s="228"/>
    </row>
    <row r="137" spans="1:15" ht="13">
      <c r="A137" s="126">
        <f>'Ameacas-Pré'!A134</f>
        <v>127</v>
      </c>
      <c r="B137" s="307" t="str">
        <f>IF(('Ameacas-Pré'!B134)&gt;0,'Ameacas-Pré'!B134,"")</f>
        <v/>
      </c>
      <c r="C137" s="224" t="str">
        <f>IF(('Ameacas-Pré'!C134)&gt;0,'Ameacas-Pré'!C134,"")</f>
        <v/>
      </c>
      <c r="D137" s="435" t="str">
        <f>IF(('Ameacas-Pré'!D134)&gt;0,'Ameacas-Pré'!D134,"")</f>
        <v/>
      </c>
      <c r="E137" s="436"/>
      <c r="F137" s="398" t="str">
        <f>IF(('Ameacas-Pré'!F134)&gt;0,'Ameacas-Pré'!P134,"")</f>
        <v/>
      </c>
      <c r="G137" s="226"/>
      <c r="H137" s="227"/>
      <c r="I137" s="228">
        <v>0</v>
      </c>
      <c r="J137" s="129">
        <f>'Ameacas-Pré'!F134</f>
        <v>0</v>
      </c>
      <c r="K137" s="132" t="str">
        <f>IF(J137=0,"0",'Ameacas-Pré'!O134)</f>
        <v>0</v>
      </c>
      <c r="L137" s="229">
        <f t="shared" si="1"/>
        <v>0</v>
      </c>
      <c r="M137" s="226"/>
      <c r="N137" s="228">
        <v>0</v>
      </c>
      <c r="O137" s="228"/>
    </row>
    <row r="138" spans="1:15" ht="13">
      <c r="A138" s="126">
        <f>'Ameacas-Pré'!A135</f>
        <v>128</v>
      </c>
      <c r="B138" s="307" t="str">
        <f>IF(('Ameacas-Pré'!B135)&gt;0,'Ameacas-Pré'!B135,"")</f>
        <v/>
      </c>
      <c r="C138" s="224" t="str">
        <f>IF(('Ameacas-Pré'!C135)&gt;0,'Ameacas-Pré'!C135,"")</f>
        <v/>
      </c>
      <c r="D138" s="435" t="str">
        <f>IF(('Ameacas-Pré'!D135)&gt;0,'Ameacas-Pré'!D135,"")</f>
        <v/>
      </c>
      <c r="E138" s="436"/>
      <c r="F138" s="398" t="str">
        <f>IF(('Ameacas-Pré'!F135)&gt;0,'Ameacas-Pré'!P135,"")</f>
        <v/>
      </c>
      <c r="G138" s="226"/>
      <c r="H138" s="227"/>
      <c r="I138" s="228">
        <v>0</v>
      </c>
      <c r="J138" s="129">
        <f>'Ameacas-Pré'!F135</f>
        <v>0</v>
      </c>
      <c r="K138" s="132" t="str">
        <f>IF(J138=0,"0",'Ameacas-Pré'!O135)</f>
        <v>0</v>
      </c>
      <c r="L138" s="229">
        <f t="shared" si="1"/>
        <v>0</v>
      </c>
      <c r="M138" s="226"/>
      <c r="N138" s="228">
        <v>0</v>
      </c>
      <c r="O138" s="228"/>
    </row>
    <row r="139" spans="1:15" ht="13">
      <c r="A139" s="126">
        <f>'Ameacas-Pré'!A136</f>
        <v>129</v>
      </c>
      <c r="B139" s="307" t="str">
        <f>IF(('Ameacas-Pré'!B136)&gt;0,'Ameacas-Pré'!B136,"")</f>
        <v/>
      </c>
      <c r="C139" s="224" t="str">
        <f>IF(('Ameacas-Pré'!C136)&gt;0,'Ameacas-Pré'!C136,"")</f>
        <v/>
      </c>
      <c r="D139" s="435" t="str">
        <f>IF(('Ameacas-Pré'!D136)&gt;0,'Ameacas-Pré'!D136,"")</f>
        <v/>
      </c>
      <c r="E139" s="436"/>
      <c r="F139" s="398" t="str">
        <f>IF(('Ameacas-Pré'!F136)&gt;0,'Ameacas-Pré'!P136,"")</f>
        <v/>
      </c>
      <c r="G139" s="226"/>
      <c r="H139" s="227"/>
      <c r="I139" s="228">
        <v>0</v>
      </c>
      <c r="J139" s="129">
        <f>'Ameacas-Pré'!F136</f>
        <v>0</v>
      </c>
      <c r="K139" s="132" t="str">
        <f>IF(J139=0,"0",'Ameacas-Pré'!O136)</f>
        <v>0</v>
      </c>
      <c r="L139" s="229">
        <f t="shared" si="1"/>
        <v>0</v>
      </c>
      <c r="M139" s="226"/>
      <c r="N139" s="228">
        <v>0</v>
      </c>
      <c r="O139" s="228"/>
    </row>
    <row r="140" spans="1:15" ht="13">
      <c r="A140" s="126">
        <f>'Ameacas-Pré'!A137</f>
        <v>130</v>
      </c>
      <c r="B140" s="307" t="str">
        <f>IF(('Ameacas-Pré'!B137)&gt;0,'Ameacas-Pré'!B137,"")</f>
        <v/>
      </c>
      <c r="C140" s="224" t="str">
        <f>IF(('Ameacas-Pré'!C137)&gt;0,'Ameacas-Pré'!C137,"")</f>
        <v/>
      </c>
      <c r="D140" s="435" t="str">
        <f>IF(('Ameacas-Pré'!D137)&gt;0,'Ameacas-Pré'!D137,"")</f>
        <v/>
      </c>
      <c r="E140" s="436"/>
      <c r="F140" s="398" t="str">
        <f>IF(('Ameacas-Pré'!F137)&gt;0,'Ameacas-Pré'!P137,"")</f>
        <v/>
      </c>
      <c r="G140" s="226"/>
      <c r="H140" s="227"/>
      <c r="I140" s="228">
        <v>0</v>
      </c>
      <c r="J140" s="129">
        <f>'Ameacas-Pré'!F137</f>
        <v>0</v>
      </c>
      <c r="K140" s="132" t="str">
        <f>IF(J140=0,"0",'Ameacas-Pré'!O137)</f>
        <v>0</v>
      </c>
      <c r="L140" s="229">
        <f t="shared" si="1"/>
        <v>0</v>
      </c>
      <c r="M140" s="226"/>
      <c r="N140" s="228">
        <v>0</v>
      </c>
      <c r="O140" s="228"/>
    </row>
    <row r="141" spans="1:15" ht="13">
      <c r="A141" s="126">
        <f>'Ameacas-Pré'!A138</f>
        <v>131</v>
      </c>
      <c r="B141" s="307" t="str">
        <f>IF(('Ameacas-Pré'!B138)&gt;0,'Ameacas-Pré'!B138,"")</f>
        <v/>
      </c>
      <c r="C141" s="224" t="str">
        <f>IF(('Ameacas-Pré'!C138)&gt;0,'Ameacas-Pré'!C138,"")</f>
        <v/>
      </c>
      <c r="D141" s="435" t="str">
        <f>IF(('Ameacas-Pré'!D138)&gt;0,'Ameacas-Pré'!D138,"")</f>
        <v/>
      </c>
      <c r="E141" s="436"/>
      <c r="F141" s="398" t="str">
        <f>IF(('Ameacas-Pré'!F138)&gt;0,'Ameacas-Pré'!P138,"")</f>
        <v/>
      </c>
      <c r="G141" s="226"/>
      <c r="H141" s="227"/>
      <c r="I141" s="228">
        <v>0</v>
      </c>
      <c r="J141" s="129">
        <f>'Ameacas-Pré'!F138</f>
        <v>0</v>
      </c>
      <c r="K141" s="132" t="str">
        <f>IF(J141=0,"0",'Ameacas-Pré'!O138)</f>
        <v>0</v>
      </c>
      <c r="L141" s="229">
        <f t="shared" si="1"/>
        <v>0</v>
      </c>
      <c r="M141" s="226"/>
      <c r="N141" s="228">
        <v>0</v>
      </c>
      <c r="O141" s="228"/>
    </row>
    <row r="142" spans="1:15" ht="13">
      <c r="A142" s="126">
        <f>'Ameacas-Pré'!A139</f>
        <v>132</v>
      </c>
      <c r="B142" s="307" t="str">
        <f>IF(('Ameacas-Pré'!B139)&gt;0,'Ameacas-Pré'!B139,"")</f>
        <v/>
      </c>
      <c r="C142" s="224" t="str">
        <f>IF(('Ameacas-Pré'!C139)&gt;0,'Ameacas-Pré'!C139,"")</f>
        <v/>
      </c>
      <c r="D142" s="435" t="str">
        <f>IF(('Ameacas-Pré'!D139)&gt;0,'Ameacas-Pré'!D139,"")</f>
        <v/>
      </c>
      <c r="E142" s="436"/>
      <c r="F142" s="398" t="str">
        <f>IF(('Ameacas-Pré'!F139)&gt;0,'Ameacas-Pré'!P139,"")</f>
        <v/>
      </c>
      <c r="G142" s="226"/>
      <c r="H142" s="227"/>
      <c r="I142" s="228">
        <v>0</v>
      </c>
      <c r="J142" s="129">
        <f>'Ameacas-Pré'!F139</f>
        <v>0</v>
      </c>
      <c r="K142" s="132" t="str">
        <f>IF(J142=0,"0",'Ameacas-Pré'!O139)</f>
        <v>0</v>
      </c>
      <c r="L142" s="229">
        <f t="shared" si="1"/>
        <v>0</v>
      </c>
      <c r="M142" s="226"/>
      <c r="N142" s="228">
        <v>0</v>
      </c>
      <c r="O142" s="228"/>
    </row>
    <row r="143" spans="1:15" ht="13">
      <c r="A143" s="126">
        <f>'Ameacas-Pré'!A140</f>
        <v>133</v>
      </c>
      <c r="B143" s="307" t="str">
        <f>IF(('Ameacas-Pré'!B140)&gt;0,'Ameacas-Pré'!B140,"")</f>
        <v/>
      </c>
      <c r="C143" s="224" t="str">
        <f>IF(('Ameacas-Pré'!C140)&gt;0,'Ameacas-Pré'!C140,"")</f>
        <v/>
      </c>
      <c r="D143" s="435" t="str">
        <f>IF(('Ameacas-Pré'!D140)&gt;0,'Ameacas-Pré'!D140,"")</f>
        <v/>
      </c>
      <c r="E143" s="436"/>
      <c r="F143" s="398" t="str">
        <f>IF(('Ameacas-Pré'!F140)&gt;0,'Ameacas-Pré'!P140,"")</f>
        <v/>
      </c>
      <c r="G143" s="226"/>
      <c r="H143" s="227"/>
      <c r="I143" s="228">
        <v>0</v>
      </c>
      <c r="J143" s="129">
        <f>'Ameacas-Pré'!F140</f>
        <v>0</v>
      </c>
      <c r="K143" s="132" t="str">
        <f>IF(J143=0,"0",'Ameacas-Pré'!O140)</f>
        <v>0</v>
      </c>
      <c r="L143" s="229">
        <f t="shared" ref="L143:L206" si="2">J143*K143</f>
        <v>0</v>
      </c>
      <c r="M143" s="226"/>
      <c r="N143" s="228">
        <v>0</v>
      </c>
      <c r="O143" s="228"/>
    </row>
    <row r="144" spans="1:15" ht="13">
      <c r="A144" s="126">
        <f>'Ameacas-Pré'!A141</f>
        <v>134</v>
      </c>
      <c r="B144" s="307" t="str">
        <f>IF(('Ameacas-Pré'!B141)&gt;0,'Ameacas-Pré'!B141,"")</f>
        <v/>
      </c>
      <c r="C144" s="224" t="str">
        <f>IF(('Ameacas-Pré'!C141)&gt;0,'Ameacas-Pré'!C141,"")</f>
        <v/>
      </c>
      <c r="D144" s="435" t="str">
        <f>IF(('Ameacas-Pré'!D141)&gt;0,'Ameacas-Pré'!D141,"")</f>
        <v/>
      </c>
      <c r="E144" s="436"/>
      <c r="F144" s="398" t="str">
        <f>IF(('Ameacas-Pré'!F141)&gt;0,'Ameacas-Pré'!P141,"")</f>
        <v/>
      </c>
      <c r="G144" s="226"/>
      <c r="H144" s="227"/>
      <c r="I144" s="228">
        <v>0</v>
      </c>
      <c r="J144" s="129">
        <f>'Ameacas-Pré'!F141</f>
        <v>0</v>
      </c>
      <c r="K144" s="132" t="str">
        <f>IF(J144=0,"0",'Ameacas-Pré'!O141)</f>
        <v>0</v>
      </c>
      <c r="L144" s="229">
        <f t="shared" si="2"/>
        <v>0</v>
      </c>
      <c r="M144" s="226"/>
      <c r="N144" s="228">
        <v>0</v>
      </c>
      <c r="O144" s="228"/>
    </row>
    <row r="145" spans="1:15" ht="13">
      <c r="A145" s="126">
        <f>'Ameacas-Pré'!A142</f>
        <v>135</v>
      </c>
      <c r="B145" s="307" t="str">
        <f>IF(('Ameacas-Pré'!B142)&gt;0,'Ameacas-Pré'!B142,"")</f>
        <v/>
      </c>
      <c r="C145" s="224" t="str">
        <f>IF(('Ameacas-Pré'!C142)&gt;0,'Ameacas-Pré'!C142,"")</f>
        <v/>
      </c>
      <c r="D145" s="435" t="str">
        <f>IF(('Ameacas-Pré'!D142)&gt;0,'Ameacas-Pré'!D142,"")</f>
        <v/>
      </c>
      <c r="E145" s="436"/>
      <c r="F145" s="398" t="str">
        <f>IF(('Ameacas-Pré'!F142)&gt;0,'Ameacas-Pré'!P142,"")</f>
        <v/>
      </c>
      <c r="G145" s="226"/>
      <c r="H145" s="227"/>
      <c r="I145" s="228">
        <v>0</v>
      </c>
      <c r="J145" s="129">
        <f>'Ameacas-Pré'!F142</f>
        <v>0</v>
      </c>
      <c r="K145" s="132" t="str">
        <f>IF(J145=0,"0",'Ameacas-Pré'!O142)</f>
        <v>0</v>
      </c>
      <c r="L145" s="229">
        <f t="shared" si="2"/>
        <v>0</v>
      </c>
      <c r="M145" s="226"/>
      <c r="N145" s="228">
        <v>0</v>
      </c>
      <c r="O145" s="228"/>
    </row>
    <row r="146" spans="1:15" ht="13">
      <c r="A146" s="126">
        <f>'Ameacas-Pré'!A143</f>
        <v>136</v>
      </c>
      <c r="B146" s="307" t="str">
        <f>IF(('Ameacas-Pré'!B143)&gt;0,'Ameacas-Pré'!B143,"")</f>
        <v/>
      </c>
      <c r="C146" s="224" t="str">
        <f>IF(('Ameacas-Pré'!C143)&gt;0,'Ameacas-Pré'!C143,"")</f>
        <v/>
      </c>
      <c r="D146" s="435" t="str">
        <f>IF(('Ameacas-Pré'!D143)&gt;0,'Ameacas-Pré'!D143,"")</f>
        <v/>
      </c>
      <c r="E146" s="436"/>
      <c r="F146" s="398" t="str">
        <f>IF(('Ameacas-Pré'!F143)&gt;0,'Ameacas-Pré'!P143,"")</f>
        <v/>
      </c>
      <c r="G146" s="226"/>
      <c r="H146" s="227"/>
      <c r="I146" s="228">
        <v>0</v>
      </c>
      <c r="J146" s="129">
        <f>'Ameacas-Pré'!F143</f>
        <v>0</v>
      </c>
      <c r="K146" s="132" t="str">
        <f>IF(J146=0,"0",'Ameacas-Pré'!O143)</f>
        <v>0</v>
      </c>
      <c r="L146" s="229">
        <f t="shared" si="2"/>
        <v>0</v>
      </c>
      <c r="M146" s="226"/>
      <c r="N146" s="228">
        <v>0</v>
      </c>
      <c r="O146" s="228"/>
    </row>
    <row r="147" spans="1:15" ht="13">
      <c r="A147" s="126">
        <f>'Ameacas-Pré'!A144</f>
        <v>137</v>
      </c>
      <c r="B147" s="307" t="str">
        <f>IF(('Ameacas-Pré'!B144)&gt;0,'Ameacas-Pré'!B144,"")</f>
        <v/>
      </c>
      <c r="C147" s="224" t="str">
        <f>IF(('Ameacas-Pré'!C144)&gt;0,'Ameacas-Pré'!C144,"")</f>
        <v/>
      </c>
      <c r="D147" s="435" t="str">
        <f>IF(('Ameacas-Pré'!D144)&gt;0,'Ameacas-Pré'!D144,"")</f>
        <v/>
      </c>
      <c r="E147" s="436"/>
      <c r="F147" s="398" t="str">
        <f>IF(('Ameacas-Pré'!F144)&gt;0,'Ameacas-Pré'!P144,"")</f>
        <v/>
      </c>
      <c r="G147" s="226"/>
      <c r="H147" s="227"/>
      <c r="I147" s="228">
        <v>0</v>
      </c>
      <c r="J147" s="129">
        <f>'Ameacas-Pré'!F144</f>
        <v>0</v>
      </c>
      <c r="K147" s="132" t="str">
        <f>IF(J147=0,"0",'Ameacas-Pré'!O144)</f>
        <v>0</v>
      </c>
      <c r="L147" s="229">
        <f t="shared" si="2"/>
        <v>0</v>
      </c>
      <c r="M147" s="226"/>
      <c r="N147" s="228">
        <v>0</v>
      </c>
      <c r="O147" s="228"/>
    </row>
    <row r="148" spans="1:15" ht="13">
      <c r="A148" s="126">
        <f>'Ameacas-Pré'!A145</f>
        <v>138</v>
      </c>
      <c r="B148" s="307" t="str">
        <f>IF(('Ameacas-Pré'!B145)&gt;0,'Ameacas-Pré'!B145,"")</f>
        <v/>
      </c>
      <c r="C148" s="224" t="str">
        <f>IF(('Ameacas-Pré'!C145)&gt;0,'Ameacas-Pré'!C145,"")</f>
        <v/>
      </c>
      <c r="D148" s="435" t="str">
        <f>IF(('Ameacas-Pré'!D145)&gt;0,'Ameacas-Pré'!D145,"")</f>
        <v/>
      </c>
      <c r="E148" s="436"/>
      <c r="F148" s="398" t="str">
        <f>IF(('Ameacas-Pré'!F145)&gt;0,'Ameacas-Pré'!P145,"")</f>
        <v/>
      </c>
      <c r="G148" s="226"/>
      <c r="H148" s="227"/>
      <c r="I148" s="228">
        <v>0</v>
      </c>
      <c r="J148" s="129">
        <f>'Ameacas-Pré'!F145</f>
        <v>0</v>
      </c>
      <c r="K148" s="132" t="str">
        <f>IF(J148=0,"0",'Ameacas-Pré'!O145)</f>
        <v>0</v>
      </c>
      <c r="L148" s="229">
        <f t="shared" si="2"/>
        <v>0</v>
      </c>
      <c r="M148" s="226"/>
      <c r="N148" s="228">
        <v>0</v>
      </c>
      <c r="O148" s="228"/>
    </row>
    <row r="149" spans="1:15" ht="13">
      <c r="A149" s="126">
        <f>'Ameacas-Pré'!A146</f>
        <v>139</v>
      </c>
      <c r="B149" s="307" t="str">
        <f>IF(('Ameacas-Pré'!B146)&gt;0,'Ameacas-Pré'!B146,"")</f>
        <v/>
      </c>
      <c r="C149" s="224" t="str">
        <f>IF(('Ameacas-Pré'!C146)&gt;0,'Ameacas-Pré'!C146,"")</f>
        <v/>
      </c>
      <c r="D149" s="435" t="str">
        <f>IF(('Ameacas-Pré'!D146)&gt;0,'Ameacas-Pré'!D146,"")</f>
        <v/>
      </c>
      <c r="E149" s="436"/>
      <c r="F149" s="398" t="str">
        <f>IF(('Ameacas-Pré'!F146)&gt;0,'Ameacas-Pré'!P146,"")</f>
        <v/>
      </c>
      <c r="G149" s="226"/>
      <c r="H149" s="227"/>
      <c r="I149" s="228">
        <v>0</v>
      </c>
      <c r="J149" s="129">
        <f>'Ameacas-Pré'!F146</f>
        <v>0</v>
      </c>
      <c r="K149" s="132" t="str">
        <f>IF(J149=0,"0",'Ameacas-Pré'!O146)</f>
        <v>0</v>
      </c>
      <c r="L149" s="229">
        <f t="shared" si="2"/>
        <v>0</v>
      </c>
      <c r="M149" s="226"/>
      <c r="N149" s="228">
        <v>0</v>
      </c>
      <c r="O149" s="228"/>
    </row>
    <row r="150" spans="1:15" ht="13">
      <c r="A150" s="126">
        <f>'Ameacas-Pré'!A147</f>
        <v>140</v>
      </c>
      <c r="B150" s="307" t="str">
        <f>IF(('Ameacas-Pré'!B147)&gt;0,'Ameacas-Pré'!B147,"")</f>
        <v/>
      </c>
      <c r="C150" s="224" t="str">
        <f>IF(('Ameacas-Pré'!C147)&gt;0,'Ameacas-Pré'!C147,"")</f>
        <v/>
      </c>
      <c r="D150" s="435" t="str">
        <f>IF(('Ameacas-Pré'!D147)&gt;0,'Ameacas-Pré'!D147,"")</f>
        <v/>
      </c>
      <c r="E150" s="436"/>
      <c r="F150" s="398" t="str">
        <f>IF(('Ameacas-Pré'!F147)&gt;0,'Ameacas-Pré'!P147,"")</f>
        <v/>
      </c>
      <c r="G150" s="226"/>
      <c r="H150" s="227"/>
      <c r="I150" s="228">
        <v>0</v>
      </c>
      <c r="J150" s="129">
        <f>'Ameacas-Pré'!F147</f>
        <v>0</v>
      </c>
      <c r="K150" s="132" t="str">
        <f>IF(J150=0,"0",'Ameacas-Pré'!O147)</f>
        <v>0</v>
      </c>
      <c r="L150" s="229">
        <f t="shared" si="2"/>
        <v>0</v>
      </c>
      <c r="M150" s="226"/>
      <c r="N150" s="228">
        <v>0</v>
      </c>
      <c r="O150" s="228"/>
    </row>
    <row r="151" spans="1:15" ht="13">
      <c r="A151" s="126">
        <f>'Ameacas-Pré'!A148</f>
        <v>141</v>
      </c>
      <c r="B151" s="307" t="str">
        <f>IF(('Ameacas-Pré'!B148)&gt;0,'Ameacas-Pré'!B148,"")</f>
        <v/>
      </c>
      <c r="C151" s="224" t="str">
        <f>IF(('Ameacas-Pré'!C148)&gt;0,'Ameacas-Pré'!C148,"")</f>
        <v/>
      </c>
      <c r="D151" s="435" t="str">
        <f>IF(('Ameacas-Pré'!D148)&gt;0,'Ameacas-Pré'!D148,"")</f>
        <v/>
      </c>
      <c r="E151" s="436"/>
      <c r="F151" s="398" t="str">
        <f>IF(('Ameacas-Pré'!F148)&gt;0,'Ameacas-Pré'!P148,"")</f>
        <v/>
      </c>
      <c r="G151" s="226"/>
      <c r="H151" s="227"/>
      <c r="I151" s="228">
        <v>0</v>
      </c>
      <c r="J151" s="129">
        <f>'Ameacas-Pré'!F148</f>
        <v>0</v>
      </c>
      <c r="K151" s="132" t="str">
        <f>IF(J151=0,"0",'Ameacas-Pré'!O148)</f>
        <v>0</v>
      </c>
      <c r="L151" s="229">
        <f t="shared" si="2"/>
        <v>0</v>
      </c>
      <c r="M151" s="226"/>
      <c r="N151" s="228">
        <v>0</v>
      </c>
      <c r="O151" s="228"/>
    </row>
    <row r="152" spans="1:15" ht="13">
      <c r="A152" s="126">
        <f>'Ameacas-Pré'!A149</f>
        <v>142</v>
      </c>
      <c r="B152" s="307" t="str">
        <f>IF(('Ameacas-Pré'!B149)&gt;0,'Ameacas-Pré'!B149,"")</f>
        <v/>
      </c>
      <c r="C152" s="224" t="str">
        <f>IF(('Ameacas-Pré'!C149)&gt;0,'Ameacas-Pré'!C149,"")</f>
        <v/>
      </c>
      <c r="D152" s="435" t="str">
        <f>IF(('Ameacas-Pré'!D149)&gt;0,'Ameacas-Pré'!D149,"")</f>
        <v/>
      </c>
      <c r="E152" s="436"/>
      <c r="F152" s="398" t="str">
        <f>IF(('Ameacas-Pré'!F149)&gt;0,'Ameacas-Pré'!P149,"")</f>
        <v/>
      </c>
      <c r="G152" s="226"/>
      <c r="H152" s="227"/>
      <c r="I152" s="228">
        <v>0</v>
      </c>
      <c r="J152" s="129">
        <f>'Ameacas-Pré'!F149</f>
        <v>0</v>
      </c>
      <c r="K152" s="132" t="str">
        <f>IF(J152=0,"0",'Ameacas-Pré'!O149)</f>
        <v>0</v>
      </c>
      <c r="L152" s="229">
        <f t="shared" si="2"/>
        <v>0</v>
      </c>
      <c r="M152" s="226"/>
      <c r="N152" s="228">
        <v>0</v>
      </c>
      <c r="O152" s="228"/>
    </row>
    <row r="153" spans="1:15" ht="13">
      <c r="A153" s="126">
        <f>'Ameacas-Pré'!A150</f>
        <v>143</v>
      </c>
      <c r="B153" s="307" t="str">
        <f>IF(('Ameacas-Pré'!B150)&gt;0,'Ameacas-Pré'!B150,"")</f>
        <v/>
      </c>
      <c r="C153" s="224" t="str">
        <f>IF(('Ameacas-Pré'!C150)&gt;0,'Ameacas-Pré'!C150,"")</f>
        <v/>
      </c>
      <c r="D153" s="435" t="str">
        <f>IF(('Ameacas-Pré'!D150)&gt;0,'Ameacas-Pré'!D150,"")</f>
        <v/>
      </c>
      <c r="E153" s="436"/>
      <c r="F153" s="398" t="str">
        <f>IF(('Ameacas-Pré'!F150)&gt;0,'Ameacas-Pré'!P150,"")</f>
        <v/>
      </c>
      <c r="G153" s="226"/>
      <c r="H153" s="227"/>
      <c r="I153" s="228">
        <v>0</v>
      </c>
      <c r="J153" s="129">
        <f>'Ameacas-Pré'!F150</f>
        <v>0</v>
      </c>
      <c r="K153" s="132" t="str">
        <f>IF(J153=0,"0",'Ameacas-Pré'!O150)</f>
        <v>0</v>
      </c>
      <c r="L153" s="229">
        <f t="shared" si="2"/>
        <v>0</v>
      </c>
      <c r="M153" s="226"/>
      <c r="N153" s="228">
        <v>0</v>
      </c>
      <c r="O153" s="228"/>
    </row>
    <row r="154" spans="1:15" ht="13">
      <c r="A154" s="126">
        <f>'Ameacas-Pré'!A151</f>
        <v>144</v>
      </c>
      <c r="B154" s="307" t="str">
        <f>IF(('Ameacas-Pré'!B151)&gt;0,'Ameacas-Pré'!B151,"")</f>
        <v/>
      </c>
      <c r="C154" s="224" t="str">
        <f>IF(('Ameacas-Pré'!C151)&gt;0,'Ameacas-Pré'!C151,"")</f>
        <v/>
      </c>
      <c r="D154" s="435" t="str">
        <f>IF(('Ameacas-Pré'!D151)&gt;0,'Ameacas-Pré'!D151,"")</f>
        <v/>
      </c>
      <c r="E154" s="436"/>
      <c r="F154" s="398" t="str">
        <f>IF(('Ameacas-Pré'!F151)&gt;0,'Ameacas-Pré'!P151,"")</f>
        <v/>
      </c>
      <c r="G154" s="226"/>
      <c r="H154" s="227"/>
      <c r="I154" s="228">
        <v>0</v>
      </c>
      <c r="J154" s="129">
        <f>'Ameacas-Pré'!F151</f>
        <v>0</v>
      </c>
      <c r="K154" s="132" t="str">
        <f>IF(J154=0,"0",'Ameacas-Pré'!O151)</f>
        <v>0</v>
      </c>
      <c r="L154" s="229">
        <f t="shared" si="2"/>
        <v>0</v>
      </c>
      <c r="M154" s="226"/>
      <c r="N154" s="228">
        <v>0</v>
      </c>
      <c r="O154" s="228"/>
    </row>
    <row r="155" spans="1:15" ht="13">
      <c r="A155" s="126">
        <f>'Ameacas-Pré'!A152</f>
        <v>145</v>
      </c>
      <c r="B155" s="307" t="str">
        <f>IF(('Ameacas-Pré'!B152)&gt;0,'Ameacas-Pré'!B152,"")</f>
        <v/>
      </c>
      <c r="C155" s="224" t="str">
        <f>IF(('Ameacas-Pré'!C152)&gt;0,'Ameacas-Pré'!C152,"")</f>
        <v/>
      </c>
      <c r="D155" s="435" t="str">
        <f>IF(('Ameacas-Pré'!D152)&gt;0,'Ameacas-Pré'!D152,"")</f>
        <v/>
      </c>
      <c r="E155" s="436"/>
      <c r="F155" s="398" t="str">
        <f>IF(('Ameacas-Pré'!F152)&gt;0,'Ameacas-Pré'!P152,"")</f>
        <v/>
      </c>
      <c r="G155" s="226"/>
      <c r="H155" s="227"/>
      <c r="I155" s="228">
        <v>0</v>
      </c>
      <c r="J155" s="129">
        <f>'Ameacas-Pré'!F152</f>
        <v>0</v>
      </c>
      <c r="K155" s="132" t="str">
        <f>IF(J155=0,"0",'Ameacas-Pré'!O152)</f>
        <v>0</v>
      </c>
      <c r="L155" s="229">
        <f t="shared" si="2"/>
        <v>0</v>
      </c>
      <c r="M155" s="226"/>
      <c r="N155" s="228">
        <v>0</v>
      </c>
      <c r="O155" s="228"/>
    </row>
    <row r="156" spans="1:15" ht="13">
      <c r="A156" s="126">
        <f>'Ameacas-Pré'!A153</f>
        <v>146</v>
      </c>
      <c r="B156" s="307" t="str">
        <f>IF(('Ameacas-Pré'!B153)&gt;0,'Ameacas-Pré'!B153,"")</f>
        <v/>
      </c>
      <c r="C156" s="224" t="str">
        <f>IF(('Ameacas-Pré'!C153)&gt;0,'Ameacas-Pré'!C153,"")</f>
        <v/>
      </c>
      <c r="D156" s="435" t="str">
        <f>IF(('Ameacas-Pré'!D153)&gt;0,'Ameacas-Pré'!D153,"")</f>
        <v/>
      </c>
      <c r="E156" s="436"/>
      <c r="F156" s="398" t="str">
        <f>IF(('Ameacas-Pré'!F153)&gt;0,'Ameacas-Pré'!P153,"")</f>
        <v/>
      </c>
      <c r="G156" s="226"/>
      <c r="H156" s="227"/>
      <c r="I156" s="228">
        <v>0</v>
      </c>
      <c r="J156" s="129">
        <f>'Ameacas-Pré'!F153</f>
        <v>0</v>
      </c>
      <c r="K156" s="132" t="str">
        <f>IF(J156=0,"0",'Ameacas-Pré'!O153)</f>
        <v>0</v>
      </c>
      <c r="L156" s="229">
        <f t="shared" si="2"/>
        <v>0</v>
      </c>
      <c r="M156" s="226"/>
      <c r="N156" s="228">
        <v>0</v>
      </c>
      <c r="O156" s="228"/>
    </row>
    <row r="157" spans="1:15" ht="13">
      <c r="A157" s="126">
        <f>'Ameacas-Pré'!A154</f>
        <v>147</v>
      </c>
      <c r="B157" s="307" t="str">
        <f>IF(('Ameacas-Pré'!B154)&gt;0,'Ameacas-Pré'!B154,"")</f>
        <v/>
      </c>
      <c r="C157" s="224" t="str">
        <f>IF(('Ameacas-Pré'!C154)&gt;0,'Ameacas-Pré'!C154,"")</f>
        <v/>
      </c>
      <c r="D157" s="435" t="str">
        <f>IF(('Ameacas-Pré'!D154)&gt;0,'Ameacas-Pré'!D154,"")</f>
        <v/>
      </c>
      <c r="E157" s="436"/>
      <c r="F157" s="398" t="str">
        <f>IF(('Ameacas-Pré'!F154)&gt;0,'Ameacas-Pré'!P154,"")</f>
        <v/>
      </c>
      <c r="G157" s="226"/>
      <c r="H157" s="227"/>
      <c r="I157" s="228">
        <v>0</v>
      </c>
      <c r="J157" s="129">
        <f>'Ameacas-Pré'!F154</f>
        <v>0</v>
      </c>
      <c r="K157" s="132" t="str">
        <f>IF(J157=0,"0",'Ameacas-Pré'!O154)</f>
        <v>0</v>
      </c>
      <c r="L157" s="229">
        <f t="shared" si="2"/>
        <v>0</v>
      </c>
      <c r="M157" s="226"/>
      <c r="N157" s="228">
        <v>0</v>
      </c>
      <c r="O157" s="228"/>
    </row>
    <row r="158" spans="1:15" ht="13">
      <c r="A158" s="126">
        <f>'Ameacas-Pré'!A155</f>
        <v>148</v>
      </c>
      <c r="B158" s="307" t="str">
        <f>IF(('Ameacas-Pré'!B155)&gt;0,'Ameacas-Pré'!B155,"")</f>
        <v/>
      </c>
      <c r="C158" s="224" t="str">
        <f>IF(('Ameacas-Pré'!C155)&gt;0,'Ameacas-Pré'!C155,"")</f>
        <v/>
      </c>
      <c r="D158" s="435" t="str">
        <f>IF(('Ameacas-Pré'!D155)&gt;0,'Ameacas-Pré'!D155,"")</f>
        <v/>
      </c>
      <c r="E158" s="436"/>
      <c r="F158" s="398" t="str">
        <f>IF(('Ameacas-Pré'!F155)&gt;0,'Ameacas-Pré'!P155,"")</f>
        <v/>
      </c>
      <c r="G158" s="226"/>
      <c r="H158" s="227"/>
      <c r="I158" s="228">
        <v>0</v>
      </c>
      <c r="J158" s="129">
        <f>'Ameacas-Pré'!F155</f>
        <v>0</v>
      </c>
      <c r="K158" s="132" t="str">
        <f>IF(J158=0,"0",'Ameacas-Pré'!O155)</f>
        <v>0</v>
      </c>
      <c r="L158" s="229">
        <f t="shared" si="2"/>
        <v>0</v>
      </c>
      <c r="M158" s="226"/>
      <c r="N158" s="228">
        <v>0</v>
      </c>
      <c r="O158" s="228"/>
    </row>
    <row r="159" spans="1:15" ht="13">
      <c r="A159" s="126">
        <f>'Ameacas-Pré'!A156</f>
        <v>149</v>
      </c>
      <c r="B159" s="307" t="str">
        <f>IF(('Ameacas-Pré'!B156)&gt;0,'Ameacas-Pré'!B156,"")</f>
        <v/>
      </c>
      <c r="C159" s="224" t="str">
        <f>IF(('Ameacas-Pré'!C156)&gt;0,'Ameacas-Pré'!C156,"")</f>
        <v/>
      </c>
      <c r="D159" s="435" t="str">
        <f>IF(('Ameacas-Pré'!D156)&gt;0,'Ameacas-Pré'!D156,"")</f>
        <v/>
      </c>
      <c r="E159" s="436"/>
      <c r="F159" s="398" t="str">
        <f>IF(('Ameacas-Pré'!F156)&gt;0,'Ameacas-Pré'!P156,"")</f>
        <v/>
      </c>
      <c r="G159" s="226"/>
      <c r="H159" s="227"/>
      <c r="I159" s="228">
        <v>0</v>
      </c>
      <c r="J159" s="129">
        <f>'Ameacas-Pré'!F156</f>
        <v>0</v>
      </c>
      <c r="K159" s="132" t="str">
        <f>IF(J159=0,"0",'Ameacas-Pré'!O156)</f>
        <v>0</v>
      </c>
      <c r="L159" s="229">
        <f t="shared" si="2"/>
        <v>0</v>
      </c>
      <c r="M159" s="226"/>
      <c r="N159" s="228">
        <v>0</v>
      </c>
      <c r="O159" s="228"/>
    </row>
    <row r="160" spans="1:15" ht="13">
      <c r="A160" s="126">
        <f>'Ameacas-Pré'!A157</f>
        <v>150</v>
      </c>
      <c r="B160" s="307" t="str">
        <f>IF(('Ameacas-Pré'!B157)&gt;0,'Ameacas-Pré'!B157,"")</f>
        <v/>
      </c>
      <c r="C160" s="224" t="str">
        <f>IF(('Ameacas-Pré'!C157)&gt;0,'Ameacas-Pré'!C157,"")</f>
        <v/>
      </c>
      <c r="D160" s="435" t="str">
        <f>IF(('Ameacas-Pré'!D157)&gt;0,'Ameacas-Pré'!D157,"")</f>
        <v/>
      </c>
      <c r="E160" s="436"/>
      <c r="F160" s="398" t="str">
        <f>IF(('Ameacas-Pré'!F157)&gt;0,'Ameacas-Pré'!P157,"")</f>
        <v/>
      </c>
      <c r="G160" s="226"/>
      <c r="H160" s="227"/>
      <c r="I160" s="228">
        <v>0</v>
      </c>
      <c r="J160" s="129">
        <f>'Ameacas-Pré'!F157</f>
        <v>0</v>
      </c>
      <c r="K160" s="132" t="str">
        <f>IF(J160=0,"0",'Ameacas-Pré'!O157)</f>
        <v>0</v>
      </c>
      <c r="L160" s="229">
        <f t="shared" si="2"/>
        <v>0</v>
      </c>
      <c r="M160" s="226"/>
      <c r="N160" s="228">
        <v>0</v>
      </c>
      <c r="O160" s="228"/>
    </row>
    <row r="161" spans="1:15" ht="13">
      <c r="A161" s="126">
        <f>'Ameacas-Pré'!A158</f>
        <v>151</v>
      </c>
      <c r="B161" s="307" t="str">
        <f>IF(('Ameacas-Pré'!B158)&gt;0,'Ameacas-Pré'!B158,"")</f>
        <v/>
      </c>
      <c r="C161" s="224" t="str">
        <f>IF(('Ameacas-Pré'!C158)&gt;0,'Ameacas-Pré'!C158,"")</f>
        <v/>
      </c>
      <c r="D161" s="435" t="str">
        <f>IF(('Ameacas-Pré'!D158)&gt;0,'Ameacas-Pré'!D158,"")</f>
        <v/>
      </c>
      <c r="E161" s="436"/>
      <c r="F161" s="398" t="str">
        <f>IF(('Ameacas-Pré'!F158)&gt;0,'Ameacas-Pré'!P158,"")</f>
        <v/>
      </c>
      <c r="G161" s="226"/>
      <c r="H161" s="227"/>
      <c r="I161" s="228">
        <v>0</v>
      </c>
      <c r="J161" s="129">
        <f>'Ameacas-Pré'!F158</f>
        <v>0</v>
      </c>
      <c r="K161" s="132" t="str">
        <f>IF(J161=0,"0",'Ameacas-Pré'!O158)</f>
        <v>0</v>
      </c>
      <c r="L161" s="229">
        <f t="shared" si="2"/>
        <v>0</v>
      </c>
      <c r="M161" s="226"/>
      <c r="N161" s="228">
        <v>0</v>
      </c>
      <c r="O161" s="228"/>
    </row>
    <row r="162" spans="1:15" ht="13">
      <c r="A162" s="126">
        <f>'Ameacas-Pré'!A159</f>
        <v>152</v>
      </c>
      <c r="B162" s="307" t="str">
        <f>IF(('Ameacas-Pré'!B159)&gt;0,'Ameacas-Pré'!B159,"")</f>
        <v/>
      </c>
      <c r="C162" s="224" t="str">
        <f>IF(('Ameacas-Pré'!C159)&gt;0,'Ameacas-Pré'!C159,"")</f>
        <v/>
      </c>
      <c r="D162" s="435" t="str">
        <f>IF(('Ameacas-Pré'!D159)&gt;0,'Ameacas-Pré'!D159,"")</f>
        <v/>
      </c>
      <c r="E162" s="436"/>
      <c r="F162" s="398" t="str">
        <f>IF(('Ameacas-Pré'!F159)&gt;0,'Ameacas-Pré'!P159,"")</f>
        <v/>
      </c>
      <c r="G162" s="226"/>
      <c r="H162" s="227"/>
      <c r="I162" s="228">
        <v>0</v>
      </c>
      <c r="J162" s="129">
        <f>'Ameacas-Pré'!F159</f>
        <v>0</v>
      </c>
      <c r="K162" s="132" t="str">
        <f>IF(J162=0,"0",'Ameacas-Pré'!O159)</f>
        <v>0</v>
      </c>
      <c r="L162" s="229">
        <f t="shared" si="2"/>
        <v>0</v>
      </c>
      <c r="M162" s="226"/>
      <c r="N162" s="228">
        <v>0</v>
      </c>
      <c r="O162" s="228"/>
    </row>
    <row r="163" spans="1:15" ht="13">
      <c r="A163" s="126">
        <f>'Ameacas-Pré'!A160</f>
        <v>153</v>
      </c>
      <c r="B163" s="307" t="str">
        <f>IF(('Ameacas-Pré'!B160)&gt;0,'Ameacas-Pré'!B160,"")</f>
        <v/>
      </c>
      <c r="C163" s="224" t="str">
        <f>IF(('Ameacas-Pré'!C160)&gt;0,'Ameacas-Pré'!C160,"")</f>
        <v/>
      </c>
      <c r="D163" s="435" t="str">
        <f>IF(('Ameacas-Pré'!D160)&gt;0,'Ameacas-Pré'!D160,"")</f>
        <v/>
      </c>
      <c r="E163" s="436"/>
      <c r="F163" s="398" t="str">
        <f>IF(('Ameacas-Pré'!F160)&gt;0,'Ameacas-Pré'!P160,"")</f>
        <v/>
      </c>
      <c r="G163" s="226"/>
      <c r="H163" s="227"/>
      <c r="I163" s="228">
        <v>0</v>
      </c>
      <c r="J163" s="129">
        <f>'Ameacas-Pré'!F160</f>
        <v>0</v>
      </c>
      <c r="K163" s="132" t="str">
        <f>IF(J163=0,"0",'Ameacas-Pré'!O160)</f>
        <v>0</v>
      </c>
      <c r="L163" s="229">
        <f t="shared" si="2"/>
        <v>0</v>
      </c>
      <c r="M163" s="226"/>
      <c r="N163" s="228">
        <v>0</v>
      </c>
      <c r="O163" s="228"/>
    </row>
    <row r="164" spans="1:15" ht="13">
      <c r="A164" s="126">
        <f>'Ameacas-Pré'!A161</f>
        <v>154</v>
      </c>
      <c r="B164" s="307" t="str">
        <f>IF(('Ameacas-Pré'!B161)&gt;0,'Ameacas-Pré'!B161,"")</f>
        <v/>
      </c>
      <c r="C164" s="224" t="str">
        <f>IF(('Ameacas-Pré'!C161)&gt;0,'Ameacas-Pré'!C161,"")</f>
        <v/>
      </c>
      <c r="D164" s="435" t="str">
        <f>IF(('Ameacas-Pré'!D161)&gt;0,'Ameacas-Pré'!D161,"")</f>
        <v/>
      </c>
      <c r="E164" s="436"/>
      <c r="F164" s="398" t="str">
        <f>IF(('Ameacas-Pré'!F161)&gt;0,'Ameacas-Pré'!P161,"")</f>
        <v/>
      </c>
      <c r="G164" s="226"/>
      <c r="H164" s="227"/>
      <c r="I164" s="228">
        <v>0</v>
      </c>
      <c r="J164" s="129">
        <f>'Ameacas-Pré'!F161</f>
        <v>0</v>
      </c>
      <c r="K164" s="132" t="str">
        <f>IF(J164=0,"0",'Ameacas-Pré'!O161)</f>
        <v>0</v>
      </c>
      <c r="L164" s="229">
        <f t="shared" si="2"/>
        <v>0</v>
      </c>
      <c r="M164" s="226"/>
      <c r="N164" s="228">
        <v>0</v>
      </c>
      <c r="O164" s="228"/>
    </row>
    <row r="165" spans="1:15" ht="13">
      <c r="A165" s="126">
        <f>'Ameacas-Pré'!A162</f>
        <v>155</v>
      </c>
      <c r="B165" s="307" t="str">
        <f>IF(('Ameacas-Pré'!B162)&gt;0,'Ameacas-Pré'!B162,"")</f>
        <v/>
      </c>
      <c r="C165" s="224" t="str">
        <f>IF(('Ameacas-Pré'!C162)&gt;0,'Ameacas-Pré'!C162,"")</f>
        <v/>
      </c>
      <c r="D165" s="435" t="str">
        <f>IF(('Ameacas-Pré'!D162)&gt;0,'Ameacas-Pré'!D162,"")</f>
        <v/>
      </c>
      <c r="E165" s="436"/>
      <c r="F165" s="398" t="str">
        <f>IF(('Ameacas-Pré'!F162)&gt;0,'Ameacas-Pré'!P162,"")</f>
        <v/>
      </c>
      <c r="G165" s="226"/>
      <c r="H165" s="227"/>
      <c r="I165" s="228">
        <v>0</v>
      </c>
      <c r="J165" s="129">
        <f>'Ameacas-Pré'!F162</f>
        <v>0</v>
      </c>
      <c r="K165" s="132" t="str">
        <f>IF(J165=0,"0",'Ameacas-Pré'!O162)</f>
        <v>0</v>
      </c>
      <c r="L165" s="229">
        <f t="shared" si="2"/>
        <v>0</v>
      </c>
      <c r="M165" s="226"/>
      <c r="N165" s="228">
        <v>0</v>
      </c>
      <c r="O165" s="228"/>
    </row>
    <row r="166" spans="1:15" ht="13">
      <c r="A166" s="126">
        <f>'Ameacas-Pré'!A163</f>
        <v>156</v>
      </c>
      <c r="B166" s="307" t="str">
        <f>IF(('Ameacas-Pré'!B163)&gt;0,'Ameacas-Pré'!B163,"")</f>
        <v/>
      </c>
      <c r="C166" s="224" t="str">
        <f>IF(('Ameacas-Pré'!C163)&gt;0,'Ameacas-Pré'!C163,"")</f>
        <v/>
      </c>
      <c r="D166" s="435" t="str">
        <f>IF(('Ameacas-Pré'!D163)&gt;0,'Ameacas-Pré'!D163,"")</f>
        <v/>
      </c>
      <c r="E166" s="436"/>
      <c r="F166" s="398" t="str">
        <f>IF(('Ameacas-Pré'!F163)&gt;0,'Ameacas-Pré'!P163,"")</f>
        <v/>
      </c>
      <c r="G166" s="226"/>
      <c r="H166" s="227"/>
      <c r="I166" s="228">
        <v>0</v>
      </c>
      <c r="J166" s="129">
        <f>'Ameacas-Pré'!F163</f>
        <v>0</v>
      </c>
      <c r="K166" s="132" t="str">
        <f>IF(J166=0,"0",'Ameacas-Pré'!O163)</f>
        <v>0</v>
      </c>
      <c r="L166" s="229">
        <f t="shared" si="2"/>
        <v>0</v>
      </c>
      <c r="M166" s="226"/>
      <c r="N166" s="228">
        <v>0</v>
      </c>
      <c r="O166" s="228"/>
    </row>
    <row r="167" spans="1:15" ht="13">
      <c r="A167" s="126">
        <f>'Ameacas-Pré'!A164</f>
        <v>157</v>
      </c>
      <c r="B167" s="307" t="str">
        <f>IF(('Ameacas-Pré'!B164)&gt;0,'Ameacas-Pré'!B164,"")</f>
        <v/>
      </c>
      <c r="C167" s="224" t="str">
        <f>IF(('Ameacas-Pré'!C164)&gt;0,'Ameacas-Pré'!C164,"")</f>
        <v/>
      </c>
      <c r="D167" s="435" t="str">
        <f>IF(('Ameacas-Pré'!D164)&gt;0,'Ameacas-Pré'!D164,"")</f>
        <v/>
      </c>
      <c r="E167" s="436"/>
      <c r="F167" s="398" t="str">
        <f>IF(('Ameacas-Pré'!F164)&gt;0,'Ameacas-Pré'!P164,"")</f>
        <v/>
      </c>
      <c r="G167" s="226"/>
      <c r="H167" s="227"/>
      <c r="I167" s="228">
        <v>0</v>
      </c>
      <c r="J167" s="129">
        <f>'Ameacas-Pré'!F164</f>
        <v>0</v>
      </c>
      <c r="K167" s="132" t="str">
        <f>IF(J167=0,"0",'Ameacas-Pré'!O164)</f>
        <v>0</v>
      </c>
      <c r="L167" s="229">
        <f t="shared" si="2"/>
        <v>0</v>
      </c>
      <c r="M167" s="226"/>
      <c r="N167" s="228">
        <v>0</v>
      </c>
      <c r="O167" s="228"/>
    </row>
    <row r="168" spans="1:15" ht="13">
      <c r="A168" s="126">
        <f>'Ameacas-Pré'!A165</f>
        <v>158</v>
      </c>
      <c r="B168" s="307" t="str">
        <f>IF(('Ameacas-Pré'!B165)&gt;0,'Ameacas-Pré'!B165,"")</f>
        <v/>
      </c>
      <c r="C168" s="224" t="str">
        <f>IF(('Ameacas-Pré'!C165)&gt;0,'Ameacas-Pré'!C165,"")</f>
        <v/>
      </c>
      <c r="D168" s="435" t="str">
        <f>IF(('Ameacas-Pré'!D165)&gt;0,'Ameacas-Pré'!D165,"")</f>
        <v/>
      </c>
      <c r="E168" s="436"/>
      <c r="F168" s="398" t="str">
        <f>IF(('Ameacas-Pré'!F165)&gt;0,'Ameacas-Pré'!P165,"")</f>
        <v/>
      </c>
      <c r="G168" s="226"/>
      <c r="H168" s="227"/>
      <c r="I168" s="228">
        <v>0</v>
      </c>
      <c r="J168" s="129">
        <f>'Ameacas-Pré'!F165</f>
        <v>0</v>
      </c>
      <c r="K168" s="132" t="str">
        <f>IF(J168=0,"0",'Ameacas-Pré'!O165)</f>
        <v>0</v>
      </c>
      <c r="L168" s="229">
        <f t="shared" si="2"/>
        <v>0</v>
      </c>
      <c r="M168" s="226"/>
      <c r="N168" s="228">
        <v>0</v>
      </c>
      <c r="O168" s="228"/>
    </row>
    <row r="169" spans="1:15" ht="13">
      <c r="A169" s="126">
        <f>'Ameacas-Pré'!A166</f>
        <v>159</v>
      </c>
      <c r="B169" s="307" t="str">
        <f>IF(('Ameacas-Pré'!B166)&gt;0,'Ameacas-Pré'!B166,"")</f>
        <v/>
      </c>
      <c r="C169" s="224" t="str">
        <f>IF(('Ameacas-Pré'!C166)&gt;0,'Ameacas-Pré'!C166,"")</f>
        <v/>
      </c>
      <c r="D169" s="435" t="str">
        <f>IF(('Ameacas-Pré'!D166)&gt;0,'Ameacas-Pré'!D166,"")</f>
        <v/>
      </c>
      <c r="E169" s="436"/>
      <c r="F169" s="398" t="str">
        <f>IF(('Ameacas-Pré'!F166)&gt;0,'Ameacas-Pré'!P166,"")</f>
        <v/>
      </c>
      <c r="G169" s="226"/>
      <c r="H169" s="227"/>
      <c r="I169" s="228">
        <v>0</v>
      </c>
      <c r="J169" s="129">
        <f>'Ameacas-Pré'!F166</f>
        <v>0</v>
      </c>
      <c r="K169" s="132" t="str">
        <f>IF(J169=0,"0",'Ameacas-Pré'!O166)</f>
        <v>0</v>
      </c>
      <c r="L169" s="229">
        <f t="shared" si="2"/>
        <v>0</v>
      </c>
      <c r="M169" s="226"/>
      <c r="N169" s="228">
        <v>0</v>
      </c>
      <c r="O169" s="228"/>
    </row>
    <row r="170" spans="1:15" ht="13">
      <c r="A170" s="126">
        <f>'Ameacas-Pré'!A167</f>
        <v>160</v>
      </c>
      <c r="B170" s="307" t="str">
        <f>IF(('Ameacas-Pré'!B167)&gt;0,'Ameacas-Pré'!B167,"")</f>
        <v/>
      </c>
      <c r="C170" s="224" t="str">
        <f>IF(('Ameacas-Pré'!C167)&gt;0,'Ameacas-Pré'!C167,"")</f>
        <v/>
      </c>
      <c r="D170" s="435" t="str">
        <f>IF(('Ameacas-Pré'!D167)&gt;0,'Ameacas-Pré'!D167,"")</f>
        <v/>
      </c>
      <c r="E170" s="436"/>
      <c r="F170" s="398" t="str">
        <f>IF(('Ameacas-Pré'!F167)&gt;0,'Ameacas-Pré'!P167,"")</f>
        <v/>
      </c>
      <c r="G170" s="226"/>
      <c r="H170" s="227"/>
      <c r="I170" s="228">
        <v>0</v>
      </c>
      <c r="J170" s="129">
        <f>'Ameacas-Pré'!F167</f>
        <v>0</v>
      </c>
      <c r="K170" s="132" t="str">
        <f>IF(J170=0,"0",'Ameacas-Pré'!O167)</f>
        <v>0</v>
      </c>
      <c r="L170" s="229">
        <f t="shared" si="2"/>
        <v>0</v>
      </c>
      <c r="M170" s="226"/>
      <c r="N170" s="228">
        <v>0</v>
      </c>
      <c r="O170" s="228"/>
    </row>
    <row r="171" spans="1:15" ht="13">
      <c r="A171" s="126">
        <f>'Ameacas-Pré'!A168</f>
        <v>161</v>
      </c>
      <c r="B171" s="307" t="str">
        <f>IF(('Ameacas-Pré'!B168)&gt;0,'Ameacas-Pré'!B168,"")</f>
        <v/>
      </c>
      <c r="C171" s="224" t="str">
        <f>IF(('Ameacas-Pré'!C168)&gt;0,'Ameacas-Pré'!C168,"")</f>
        <v/>
      </c>
      <c r="D171" s="435" t="str">
        <f>IF(('Ameacas-Pré'!D168)&gt;0,'Ameacas-Pré'!D168,"")</f>
        <v/>
      </c>
      <c r="E171" s="436"/>
      <c r="F171" s="398" t="str">
        <f>IF(('Ameacas-Pré'!F168)&gt;0,'Ameacas-Pré'!P168,"")</f>
        <v/>
      </c>
      <c r="G171" s="226"/>
      <c r="H171" s="227"/>
      <c r="I171" s="228">
        <v>0</v>
      </c>
      <c r="J171" s="129">
        <f>'Ameacas-Pré'!F168</f>
        <v>0</v>
      </c>
      <c r="K171" s="132" t="str">
        <f>IF(J171=0,"0",'Ameacas-Pré'!O168)</f>
        <v>0</v>
      </c>
      <c r="L171" s="229">
        <f t="shared" si="2"/>
        <v>0</v>
      </c>
      <c r="M171" s="226"/>
      <c r="N171" s="228">
        <v>0</v>
      </c>
      <c r="O171" s="228"/>
    </row>
    <row r="172" spans="1:15" ht="13">
      <c r="A172" s="126">
        <f>'Ameacas-Pré'!A169</f>
        <v>162</v>
      </c>
      <c r="B172" s="307" t="str">
        <f>IF(('Ameacas-Pré'!B169)&gt;0,'Ameacas-Pré'!B169,"")</f>
        <v/>
      </c>
      <c r="C172" s="224" t="str">
        <f>IF(('Ameacas-Pré'!C169)&gt;0,'Ameacas-Pré'!C169,"")</f>
        <v/>
      </c>
      <c r="D172" s="435" t="str">
        <f>IF(('Ameacas-Pré'!D169)&gt;0,'Ameacas-Pré'!D169,"")</f>
        <v/>
      </c>
      <c r="E172" s="436"/>
      <c r="F172" s="398" t="str">
        <f>IF(('Ameacas-Pré'!F169)&gt;0,'Ameacas-Pré'!P169,"")</f>
        <v/>
      </c>
      <c r="G172" s="226"/>
      <c r="H172" s="227"/>
      <c r="I172" s="228">
        <v>0</v>
      </c>
      <c r="J172" s="129">
        <f>'Ameacas-Pré'!F169</f>
        <v>0</v>
      </c>
      <c r="K172" s="132" t="str">
        <f>IF(J172=0,"0",'Ameacas-Pré'!O169)</f>
        <v>0</v>
      </c>
      <c r="L172" s="229">
        <f t="shared" si="2"/>
        <v>0</v>
      </c>
      <c r="M172" s="226"/>
      <c r="N172" s="228">
        <v>0</v>
      </c>
      <c r="O172" s="228"/>
    </row>
    <row r="173" spans="1:15" ht="13">
      <c r="A173" s="126">
        <f>'Ameacas-Pré'!A170</f>
        <v>163</v>
      </c>
      <c r="B173" s="307" t="str">
        <f>IF(('Ameacas-Pré'!B170)&gt;0,'Ameacas-Pré'!B170,"")</f>
        <v/>
      </c>
      <c r="C173" s="224" t="str">
        <f>IF(('Ameacas-Pré'!C170)&gt;0,'Ameacas-Pré'!C170,"")</f>
        <v/>
      </c>
      <c r="D173" s="435" t="str">
        <f>IF(('Ameacas-Pré'!D170)&gt;0,'Ameacas-Pré'!D170,"")</f>
        <v/>
      </c>
      <c r="E173" s="436"/>
      <c r="F173" s="398" t="str">
        <f>IF(('Ameacas-Pré'!F170)&gt;0,'Ameacas-Pré'!P170,"")</f>
        <v/>
      </c>
      <c r="G173" s="226"/>
      <c r="H173" s="227"/>
      <c r="I173" s="228">
        <v>0</v>
      </c>
      <c r="J173" s="129">
        <f>'Ameacas-Pré'!F170</f>
        <v>0</v>
      </c>
      <c r="K173" s="132" t="str">
        <f>IF(J173=0,"0",'Ameacas-Pré'!O170)</f>
        <v>0</v>
      </c>
      <c r="L173" s="229">
        <f t="shared" si="2"/>
        <v>0</v>
      </c>
      <c r="M173" s="226"/>
      <c r="N173" s="228">
        <v>0</v>
      </c>
      <c r="O173" s="228"/>
    </row>
    <row r="174" spans="1:15" ht="13">
      <c r="A174" s="126">
        <f>'Ameacas-Pré'!A171</f>
        <v>164</v>
      </c>
      <c r="B174" s="307" t="str">
        <f>IF(('Ameacas-Pré'!B171)&gt;0,'Ameacas-Pré'!B171,"")</f>
        <v/>
      </c>
      <c r="C174" s="224" t="str">
        <f>IF(('Ameacas-Pré'!C171)&gt;0,'Ameacas-Pré'!C171,"")</f>
        <v/>
      </c>
      <c r="D174" s="435" t="str">
        <f>IF(('Ameacas-Pré'!D171)&gt;0,'Ameacas-Pré'!D171,"")</f>
        <v/>
      </c>
      <c r="E174" s="436"/>
      <c r="F174" s="398" t="str">
        <f>IF(('Ameacas-Pré'!F171)&gt;0,'Ameacas-Pré'!P171,"")</f>
        <v/>
      </c>
      <c r="G174" s="226"/>
      <c r="H174" s="227"/>
      <c r="I174" s="228">
        <v>0</v>
      </c>
      <c r="J174" s="129">
        <f>'Ameacas-Pré'!F171</f>
        <v>0</v>
      </c>
      <c r="K174" s="132" t="str">
        <f>IF(J174=0,"0",'Ameacas-Pré'!O171)</f>
        <v>0</v>
      </c>
      <c r="L174" s="229">
        <f t="shared" si="2"/>
        <v>0</v>
      </c>
      <c r="M174" s="226"/>
      <c r="N174" s="228">
        <v>0</v>
      </c>
      <c r="O174" s="228"/>
    </row>
    <row r="175" spans="1:15" ht="13">
      <c r="A175" s="126">
        <f>'Ameacas-Pré'!A172</f>
        <v>165</v>
      </c>
      <c r="B175" s="307" t="str">
        <f>IF(('Ameacas-Pré'!B172)&gt;0,'Ameacas-Pré'!B172,"")</f>
        <v/>
      </c>
      <c r="C175" s="224" t="str">
        <f>IF(('Ameacas-Pré'!C172)&gt;0,'Ameacas-Pré'!C172,"")</f>
        <v/>
      </c>
      <c r="D175" s="435" t="str">
        <f>IF(('Ameacas-Pré'!D172)&gt;0,'Ameacas-Pré'!D172,"")</f>
        <v/>
      </c>
      <c r="E175" s="436"/>
      <c r="F175" s="398" t="str">
        <f>IF(('Ameacas-Pré'!F172)&gt;0,'Ameacas-Pré'!P172,"")</f>
        <v/>
      </c>
      <c r="G175" s="226"/>
      <c r="H175" s="227"/>
      <c r="I175" s="228">
        <v>0</v>
      </c>
      <c r="J175" s="129">
        <f>'Ameacas-Pré'!F172</f>
        <v>0</v>
      </c>
      <c r="K175" s="132" t="str">
        <f>IF(J175=0,"0",'Ameacas-Pré'!O172)</f>
        <v>0</v>
      </c>
      <c r="L175" s="229">
        <f t="shared" si="2"/>
        <v>0</v>
      </c>
      <c r="M175" s="226"/>
      <c r="N175" s="228">
        <v>0</v>
      </c>
      <c r="O175" s="228"/>
    </row>
    <row r="176" spans="1:15" ht="13">
      <c r="A176" s="126">
        <f>'Ameacas-Pré'!A173</f>
        <v>166</v>
      </c>
      <c r="B176" s="307" t="str">
        <f>IF(('Ameacas-Pré'!B173)&gt;0,'Ameacas-Pré'!B173,"")</f>
        <v/>
      </c>
      <c r="C176" s="224" t="str">
        <f>IF(('Ameacas-Pré'!C173)&gt;0,'Ameacas-Pré'!C173,"")</f>
        <v/>
      </c>
      <c r="D176" s="435" t="str">
        <f>IF(('Ameacas-Pré'!D173)&gt;0,'Ameacas-Pré'!D173,"")</f>
        <v/>
      </c>
      <c r="E176" s="436"/>
      <c r="F176" s="398" t="str">
        <f>IF(('Ameacas-Pré'!F173)&gt;0,'Ameacas-Pré'!P173,"")</f>
        <v/>
      </c>
      <c r="G176" s="226"/>
      <c r="H176" s="227"/>
      <c r="I176" s="228">
        <v>0</v>
      </c>
      <c r="J176" s="129">
        <f>'Ameacas-Pré'!F173</f>
        <v>0</v>
      </c>
      <c r="K176" s="132" t="str">
        <f>IF(J176=0,"0",'Ameacas-Pré'!O173)</f>
        <v>0</v>
      </c>
      <c r="L176" s="229">
        <f t="shared" si="2"/>
        <v>0</v>
      </c>
      <c r="M176" s="226"/>
      <c r="N176" s="228">
        <v>0</v>
      </c>
      <c r="O176" s="228"/>
    </row>
    <row r="177" spans="1:15" ht="13">
      <c r="A177" s="126">
        <f>'Ameacas-Pré'!A174</f>
        <v>167</v>
      </c>
      <c r="B177" s="307" t="str">
        <f>IF(('Ameacas-Pré'!B174)&gt;0,'Ameacas-Pré'!B174,"")</f>
        <v/>
      </c>
      <c r="C177" s="224" t="str">
        <f>IF(('Ameacas-Pré'!C174)&gt;0,'Ameacas-Pré'!C174,"")</f>
        <v/>
      </c>
      <c r="D177" s="435" t="str">
        <f>IF(('Ameacas-Pré'!D174)&gt;0,'Ameacas-Pré'!D174,"")</f>
        <v/>
      </c>
      <c r="E177" s="436"/>
      <c r="F177" s="398" t="str">
        <f>IF(('Ameacas-Pré'!F174)&gt;0,'Ameacas-Pré'!P174,"")</f>
        <v/>
      </c>
      <c r="G177" s="226"/>
      <c r="H177" s="227"/>
      <c r="I177" s="228">
        <v>0</v>
      </c>
      <c r="J177" s="129">
        <f>'Ameacas-Pré'!F174</f>
        <v>0</v>
      </c>
      <c r="K177" s="132" t="str">
        <f>IF(J177=0,"0",'Ameacas-Pré'!O174)</f>
        <v>0</v>
      </c>
      <c r="L177" s="229">
        <f t="shared" si="2"/>
        <v>0</v>
      </c>
      <c r="M177" s="226"/>
      <c r="N177" s="228">
        <v>0</v>
      </c>
      <c r="O177" s="228"/>
    </row>
    <row r="178" spans="1:15" ht="13">
      <c r="A178" s="126">
        <f>'Ameacas-Pré'!A175</f>
        <v>168</v>
      </c>
      <c r="B178" s="307" t="str">
        <f>IF(('Ameacas-Pré'!B175)&gt;0,'Ameacas-Pré'!B175,"")</f>
        <v/>
      </c>
      <c r="C178" s="224" t="str">
        <f>IF(('Ameacas-Pré'!C175)&gt;0,'Ameacas-Pré'!C175,"")</f>
        <v/>
      </c>
      <c r="D178" s="435" t="str">
        <f>IF(('Ameacas-Pré'!D175)&gt;0,'Ameacas-Pré'!D175,"")</f>
        <v/>
      </c>
      <c r="E178" s="436"/>
      <c r="F178" s="398" t="str">
        <f>IF(('Ameacas-Pré'!F175)&gt;0,'Ameacas-Pré'!P175,"")</f>
        <v/>
      </c>
      <c r="G178" s="226"/>
      <c r="H178" s="227"/>
      <c r="I178" s="228">
        <v>0</v>
      </c>
      <c r="J178" s="129">
        <f>'Ameacas-Pré'!F175</f>
        <v>0</v>
      </c>
      <c r="K178" s="132" t="str">
        <f>IF(J178=0,"0",'Ameacas-Pré'!O175)</f>
        <v>0</v>
      </c>
      <c r="L178" s="229">
        <f t="shared" si="2"/>
        <v>0</v>
      </c>
      <c r="M178" s="226"/>
      <c r="N178" s="228">
        <v>0</v>
      </c>
      <c r="O178" s="228"/>
    </row>
    <row r="179" spans="1:15" ht="13">
      <c r="A179" s="126">
        <f>'Ameacas-Pré'!A176</f>
        <v>169</v>
      </c>
      <c r="B179" s="307" t="str">
        <f>IF(('Ameacas-Pré'!B176)&gt;0,'Ameacas-Pré'!B176,"")</f>
        <v/>
      </c>
      <c r="C179" s="224" t="str">
        <f>IF(('Ameacas-Pré'!C176)&gt;0,'Ameacas-Pré'!C176,"")</f>
        <v/>
      </c>
      <c r="D179" s="435" t="str">
        <f>IF(('Ameacas-Pré'!D176)&gt;0,'Ameacas-Pré'!D176,"")</f>
        <v/>
      </c>
      <c r="E179" s="436"/>
      <c r="F179" s="398" t="str">
        <f>IF(('Ameacas-Pré'!F176)&gt;0,'Ameacas-Pré'!P176,"")</f>
        <v/>
      </c>
      <c r="G179" s="226"/>
      <c r="H179" s="227"/>
      <c r="I179" s="228">
        <v>0</v>
      </c>
      <c r="J179" s="129">
        <f>'Ameacas-Pré'!F176</f>
        <v>0</v>
      </c>
      <c r="K179" s="132" t="str">
        <f>IF(J179=0,"0",'Ameacas-Pré'!O176)</f>
        <v>0</v>
      </c>
      <c r="L179" s="229">
        <f t="shared" si="2"/>
        <v>0</v>
      </c>
      <c r="M179" s="226"/>
      <c r="N179" s="228">
        <v>0</v>
      </c>
      <c r="O179" s="228"/>
    </row>
    <row r="180" spans="1:15" ht="13">
      <c r="A180" s="126">
        <f>'Ameacas-Pré'!A177</f>
        <v>170</v>
      </c>
      <c r="B180" s="307" t="str">
        <f>IF(('Ameacas-Pré'!B177)&gt;0,'Ameacas-Pré'!B177,"")</f>
        <v/>
      </c>
      <c r="C180" s="224" t="str">
        <f>IF(('Ameacas-Pré'!C177)&gt;0,'Ameacas-Pré'!C177,"")</f>
        <v/>
      </c>
      <c r="D180" s="435" t="str">
        <f>IF(('Ameacas-Pré'!D177)&gt;0,'Ameacas-Pré'!D177,"")</f>
        <v/>
      </c>
      <c r="E180" s="436"/>
      <c r="F180" s="398" t="str">
        <f>IF(('Ameacas-Pré'!F177)&gt;0,'Ameacas-Pré'!P177,"")</f>
        <v/>
      </c>
      <c r="G180" s="226"/>
      <c r="H180" s="227"/>
      <c r="I180" s="228">
        <v>0</v>
      </c>
      <c r="J180" s="129">
        <f>'Ameacas-Pré'!F177</f>
        <v>0</v>
      </c>
      <c r="K180" s="132" t="str">
        <f>IF(J180=0,"0",'Ameacas-Pré'!O177)</f>
        <v>0</v>
      </c>
      <c r="L180" s="229">
        <f t="shared" si="2"/>
        <v>0</v>
      </c>
      <c r="M180" s="226"/>
      <c r="N180" s="228">
        <v>0</v>
      </c>
      <c r="O180" s="228"/>
    </row>
    <row r="181" spans="1:15" ht="13">
      <c r="A181" s="126">
        <f>'Ameacas-Pré'!A178</f>
        <v>171</v>
      </c>
      <c r="B181" s="307" t="str">
        <f>IF(('Ameacas-Pré'!B178)&gt;0,'Ameacas-Pré'!B178,"")</f>
        <v/>
      </c>
      <c r="C181" s="224" t="str">
        <f>IF(('Ameacas-Pré'!C178)&gt;0,'Ameacas-Pré'!C178,"")</f>
        <v/>
      </c>
      <c r="D181" s="435" t="str">
        <f>IF(('Ameacas-Pré'!D178)&gt;0,'Ameacas-Pré'!D178,"")</f>
        <v/>
      </c>
      <c r="E181" s="436"/>
      <c r="F181" s="398" t="str">
        <f>IF(('Ameacas-Pré'!F178)&gt;0,'Ameacas-Pré'!P178,"")</f>
        <v/>
      </c>
      <c r="G181" s="226"/>
      <c r="H181" s="227"/>
      <c r="I181" s="228">
        <v>0</v>
      </c>
      <c r="J181" s="129">
        <f>'Ameacas-Pré'!F178</f>
        <v>0</v>
      </c>
      <c r="K181" s="132" t="str">
        <f>IF(J181=0,"0",'Ameacas-Pré'!O178)</f>
        <v>0</v>
      </c>
      <c r="L181" s="229">
        <f t="shared" si="2"/>
        <v>0</v>
      </c>
      <c r="M181" s="226"/>
      <c r="N181" s="228">
        <v>0</v>
      </c>
      <c r="O181" s="228"/>
    </row>
    <row r="182" spans="1:15" ht="13">
      <c r="A182" s="126">
        <f>'Ameacas-Pré'!A179</f>
        <v>172</v>
      </c>
      <c r="B182" s="307" t="str">
        <f>IF(('Ameacas-Pré'!B179)&gt;0,'Ameacas-Pré'!B179,"")</f>
        <v/>
      </c>
      <c r="C182" s="224" t="str">
        <f>IF(('Ameacas-Pré'!C179)&gt;0,'Ameacas-Pré'!C179,"")</f>
        <v/>
      </c>
      <c r="D182" s="435" t="str">
        <f>IF(('Ameacas-Pré'!D179)&gt;0,'Ameacas-Pré'!D179,"")</f>
        <v/>
      </c>
      <c r="E182" s="436"/>
      <c r="F182" s="398" t="str">
        <f>IF(('Ameacas-Pré'!F179)&gt;0,'Ameacas-Pré'!P179,"")</f>
        <v/>
      </c>
      <c r="G182" s="226"/>
      <c r="H182" s="227"/>
      <c r="I182" s="228">
        <v>0</v>
      </c>
      <c r="J182" s="129">
        <f>'Ameacas-Pré'!F179</f>
        <v>0</v>
      </c>
      <c r="K182" s="132" t="str">
        <f>IF(J182=0,"0",'Ameacas-Pré'!O179)</f>
        <v>0</v>
      </c>
      <c r="L182" s="229">
        <f t="shared" si="2"/>
        <v>0</v>
      </c>
      <c r="M182" s="226"/>
      <c r="N182" s="228">
        <v>0</v>
      </c>
      <c r="O182" s="228"/>
    </row>
    <row r="183" spans="1:15" ht="13">
      <c r="A183" s="126">
        <f>'Ameacas-Pré'!A180</f>
        <v>173</v>
      </c>
      <c r="B183" s="307" t="str">
        <f>IF(('Ameacas-Pré'!B180)&gt;0,'Ameacas-Pré'!B180,"")</f>
        <v/>
      </c>
      <c r="C183" s="224" t="str">
        <f>IF(('Ameacas-Pré'!C180)&gt;0,'Ameacas-Pré'!C180,"")</f>
        <v/>
      </c>
      <c r="D183" s="435" t="str">
        <f>IF(('Ameacas-Pré'!D180)&gt;0,'Ameacas-Pré'!D180,"")</f>
        <v/>
      </c>
      <c r="E183" s="436"/>
      <c r="F183" s="398" t="str">
        <f>IF(('Ameacas-Pré'!F180)&gt;0,'Ameacas-Pré'!P180,"")</f>
        <v/>
      </c>
      <c r="G183" s="226"/>
      <c r="H183" s="227"/>
      <c r="I183" s="228">
        <v>0</v>
      </c>
      <c r="J183" s="129">
        <f>'Ameacas-Pré'!F180</f>
        <v>0</v>
      </c>
      <c r="K183" s="132" t="str">
        <f>IF(J183=0,"0",'Ameacas-Pré'!O180)</f>
        <v>0</v>
      </c>
      <c r="L183" s="229">
        <f t="shared" si="2"/>
        <v>0</v>
      </c>
      <c r="M183" s="226"/>
      <c r="N183" s="228">
        <v>0</v>
      </c>
      <c r="O183" s="228"/>
    </row>
    <row r="184" spans="1:15" ht="13">
      <c r="A184" s="126">
        <f>'Ameacas-Pré'!A181</f>
        <v>174</v>
      </c>
      <c r="B184" s="307" t="str">
        <f>IF(('Ameacas-Pré'!B181)&gt;0,'Ameacas-Pré'!B181,"")</f>
        <v/>
      </c>
      <c r="C184" s="224" t="str">
        <f>IF(('Ameacas-Pré'!C181)&gt;0,'Ameacas-Pré'!C181,"")</f>
        <v/>
      </c>
      <c r="D184" s="435" t="str">
        <f>IF(('Ameacas-Pré'!D181)&gt;0,'Ameacas-Pré'!D181,"")</f>
        <v/>
      </c>
      <c r="E184" s="436"/>
      <c r="F184" s="398" t="str">
        <f>IF(('Ameacas-Pré'!F181)&gt;0,'Ameacas-Pré'!P181,"")</f>
        <v/>
      </c>
      <c r="G184" s="226"/>
      <c r="H184" s="227"/>
      <c r="I184" s="228">
        <v>0</v>
      </c>
      <c r="J184" s="129">
        <f>'Ameacas-Pré'!F181</f>
        <v>0</v>
      </c>
      <c r="K184" s="132" t="str">
        <f>IF(J184=0,"0",'Ameacas-Pré'!O181)</f>
        <v>0</v>
      </c>
      <c r="L184" s="229">
        <f t="shared" si="2"/>
        <v>0</v>
      </c>
      <c r="M184" s="226"/>
      <c r="N184" s="228">
        <v>0</v>
      </c>
      <c r="O184" s="228"/>
    </row>
    <row r="185" spans="1:15" ht="13">
      <c r="A185" s="126">
        <f>'Ameacas-Pré'!A182</f>
        <v>175</v>
      </c>
      <c r="B185" s="307" t="str">
        <f>IF(('Ameacas-Pré'!B182)&gt;0,'Ameacas-Pré'!B182,"")</f>
        <v/>
      </c>
      <c r="C185" s="224" t="str">
        <f>IF(('Ameacas-Pré'!C182)&gt;0,'Ameacas-Pré'!C182,"")</f>
        <v/>
      </c>
      <c r="D185" s="435" t="str">
        <f>IF(('Ameacas-Pré'!D182)&gt;0,'Ameacas-Pré'!D182,"")</f>
        <v/>
      </c>
      <c r="E185" s="436"/>
      <c r="F185" s="398" t="str">
        <f>IF(('Ameacas-Pré'!F182)&gt;0,'Ameacas-Pré'!P182,"")</f>
        <v/>
      </c>
      <c r="G185" s="226"/>
      <c r="H185" s="227"/>
      <c r="I185" s="228">
        <v>0</v>
      </c>
      <c r="J185" s="129">
        <f>'Ameacas-Pré'!F182</f>
        <v>0</v>
      </c>
      <c r="K185" s="132" t="str">
        <f>IF(J185=0,"0",'Ameacas-Pré'!O182)</f>
        <v>0</v>
      </c>
      <c r="L185" s="229">
        <f t="shared" si="2"/>
        <v>0</v>
      </c>
      <c r="M185" s="226"/>
      <c r="N185" s="228">
        <v>0</v>
      </c>
      <c r="O185" s="228"/>
    </row>
    <row r="186" spans="1:15" ht="13">
      <c r="A186" s="126">
        <f>'Ameacas-Pré'!A183</f>
        <v>176</v>
      </c>
      <c r="B186" s="307" t="str">
        <f>IF(('Ameacas-Pré'!B183)&gt;0,'Ameacas-Pré'!B183,"")</f>
        <v/>
      </c>
      <c r="C186" s="224" t="str">
        <f>IF(('Ameacas-Pré'!C183)&gt;0,'Ameacas-Pré'!C183,"")</f>
        <v/>
      </c>
      <c r="D186" s="435" t="str">
        <f>IF(('Ameacas-Pré'!D183)&gt;0,'Ameacas-Pré'!D183,"")</f>
        <v/>
      </c>
      <c r="E186" s="436"/>
      <c r="F186" s="398" t="str">
        <f>IF(('Ameacas-Pré'!F183)&gt;0,'Ameacas-Pré'!P183,"")</f>
        <v/>
      </c>
      <c r="G186" s="226"/>
      <c r="H186" s="227"/>
      <c r="I186" s="228">
        <v>0</v>
      </c>
      <c r="J186" s="129">
        <f>'Ameacas-Pré'!F183</f>
        <v>0</v>
      </c>
      <c r="K186" s="132" t="str">
        <f>IF(J186=0,"0",'Ameacas-Pré'!O183)</f>
        <v>0</v>
      </c>
      <c r="L186" s="229">
        <f t="shared" si="2"/>
        <v>0</v>
      </c>
      <c r="M186" s="226"/>
      <c r="N186" s="228">
        <v>0</v>
      </c>
      <c r="O186" s="228"/>
    </row>
    <row r="187" spans="1:15" ht="13">
      <c r="A187" s="126">
        <f>'Ameacas-Pré'!A184</f>
        <v>177</v>
      </c>
      <c r="B187" s="307" t="str">
        <f>IF(('Ameacas-Pré'!B184)&gt;0,'Ameacas-Pré'!B184,"")</f>
        <v/>
      </c>
      <c r="C187" s="224" t="str">
        <f>IF(('Ameacas-Pré'!C184)&gt;0,'Ameacas-Pré'!C184,"")</f>
        <v/>
      </c>
      <c r="D187" s="435" t="str">
        <f>IF(('Ameacas-Pré'!D184)&gt;0,'Ameacas-Pré'!D184,"")</f>
        <v/>
      </c>
      <c r="E187" s="436"/>
      <c r="F187" s="398" t="str">
        <f>IF(('Ameacas-Pré'!F184)&gt;0,'Ameacas-Pré'!P184,"")</f>
        <v/>
      </c>
      <c r="G187" s="226"/>
      <c r="H187" s="227"/>
      <c r="I187" s="228">
        <v>0</v>
      </c>
      <c r="J187" s="129">
        <f>'Ameacas-Pré'!F184</f>
        <v>0</v>
      </c>
      <c r="K187" s="132" t="str">
        <f>IF(J187=0,"0",'Ameacas-Pré'!O184)</f>
        <v>0</v>
      </c>
      <c r="L187" s="229">
        <f t="shared" si="2"/>
        <v>0</v>
      </c>
      <c r="M187" s="226"/>
      <c r="N187" s="228">
        <v>0</v>
      </c>
      <c r="O187" s="228"/>
    </row>
    <row r="188" spans="1:15" ht="13">
      <c r="A188" s="126">
        <f>'Ameacas-Pré'!A185</f>
        <v>178</v>
      </c>
      <c r="B188" s="307" t="str">
        <f>IF(('Ameacas-Pré'!B185)&gt;0,'Ameacas-Pré'!B185,"")</f>
        <v/>
      </c>
      <c r="C188" s="224" t="str">
        <f>IF(('Ameacas-Pré'!C185)&gt;0,'Ameacas-Pré'!C185,"")</f>
        <v/>
      </c>
      <c r="D188" s="435" t="str">
        <f>IF(('Ameacas-Pré'!D185)&gt;0,'Ameacas-Pré'!D185,"")</f>
        <v/>
      </c>
      <c r="E188" s="436"/>
      <c r="F188" s="398" t="str">
        <f>IF(('Ameacas-Pré'!F185)&gt;0,'Ameacas-Pré'!P185,"")</f>
        <v/>
      </c>
      <c r="G188" s="226"/>
      <c r="H188" s="227"/>
      <c r="I188" s="228">
        <v>0</v>
      </c>
      <c r="J188" s="129">
        <f>'Ameacas-Pré'!F185</f>
        <v>0</v>
      </c>
      <c r="K188" s="132" t="str">
        <f>IF(J188=0,"0",'Ameacas-Pré'!O185)</f>
        <v>0</v>
      </c>
      <c r="L188" s="229">
        <f t="shared" si="2"/>
        <v>0</v>
      </c>
      <c r="M188" s="226"/>
      <c r="N188" s="228">
        <v>0</v>
      </c>
      <c r="O188" s="228"/>
    </row>
    <row r="189" spans="1:15" ht="13">
      <c r="A189" s="126">
        <f>'Ameacas-Pré'!A186</f>
        <v>179</v>
      </c>
      <c r="B189" s="307" t="str">
        <f>IF(('Ameacas-Pré'!B186)&gt;0,'Ameacas-Pré'!B186,"")</f>
        <v/>
      </c>
      <c r="C189" s="224" t="str">
        <f>IF(('Ameacas-Pré'!C186)&gt;0,'Ameacas-Pré'!C186,"")</f>
        <v/>
      </c>
      <c r="D189" s="435" t="str">
        <f>IF(('Ameacas-Pré'!D186)&gt;0,'Ameacas-Pré'!D186,"")</f>
        <v/>
      </c>
      <c r="E189" s="436"/>
      <c r="F189" s="398" t="str">
        <f>IF(('Ameacas-Pré'!F186)&gt;0,'Ameacas-Pré'!P186,"")</f>
        <v/>
      </c>
      <c r="G189" s="226"/>
      <c r="H189" s="227"/>
      <c r="I189" s="228">
        <v>0</v>
      </c>
      <c r="J189" s="129">
        <f>'Ameacas-Pré'!F186</f>
        <v>0</v>
      </c>
      <c r="K189" s="132" t="str">
        <f>IF(J189=0,"0",'Ameacas-Pré'!O186)</f>
        <v>0</v>
      </c>
      <c r="L189" s="229">
        <f t="shared" si="2"/>
        <v>0</v>
      </c>
      <c r="M189" s="226"/>
      <c r="N189" s="228">
        <v>0</v>
      </c>
      <c r="O189" s="228"/>
    </row>
    <row r="190" spans="1:15" ht="13">
      <c r="A190" s="126">
        <f>'Ameacas-Pré'!A187</f>
        <v>180</v>
      </c>
      <c r="B190" s="307" t="str">
        <f>IF(('Ameacas-Pré'!B187)&gt;0,'Ameacas-Pré'!B187,"")</f>
        <v/>
      </c>
      <c r="C190" s="224" t="str">
        <f>IF(('Ameacas-Pré'!C187)&gt;0,'Ameacas-Pré'!C187,"")</f>
        <v/>
      </c>
      <c r="D190" s="435" t="str">
        <f>IF(('Ameacas-Pré'!D187)&gt;0,'Ameacas-Pré'!D187,"")</f>
        <v/>
      </c>
      <c r="E190" s="436"/>
      <c r="F190" s="398" t="str">
        <f>IF(('Ameacas-Pré'!F187)&gt;0,'Ameacas-Pré'!P187,"")</f>
        <v/>
      </c>
      <c r="G190" s="226"/>
      <c r="H190" s="227"/>
      <c r="I190" s="228">
        <v>0</v>
      </c>
      <c r="J190" s="129">
        <f>'Ameacas-Pré'!F187</f>
        <v>0</v>
      </c>
      <c r="K190" s="132" t="str">
        <f>IF(J190=0,"0",'Ameacas-Pré'!O187)</f>
        <v>0</v>
      </c>
      <c r="L190" s="229">
        <f t="shared" si="2"/>
        <v>0</v>
      </c>
      <c r="M190" s="226"/>
      <c r="N190" s="228">
        <v>0</v>
      </c>
      <c r="O190" s="228"/>
    </row>
    <row r="191" spans="1:15" ht="13">
      <c r="A191" s="126">
        <f>'Ameacas-Pré'!A188</f>
        <v>181</v>
      </c>
      <c r="B191" s="307" t="str">
        <f>IF(('Ameacas-Pré'!B188)&gt;0,'Ameacas-Pré'!B188,"")</f>
        <v/>
      </c>
      <c r="C191" s="224" t="str">
        <f>IF(('Ameacas-Pré'!C188)&gt;0,'Ameacas-Pré'!C188,"")</f>
        <v/>
      </c>
      <c r="D191" s="435" t="str">
        <f>IF(('Ameacas-Pré'!D188)&gt;0,'Ameacas-Pré'!D188,"")</f>
        <v/>
      </c>
      <c r="E191" s="436"/>
      <c r="F191" s="398" t="str">
        <f>IF(('Ameacas-Pré'!F188)&gt;0,'Ameacas-Pré'!P188,"")</f>
        <v/>
      </c>
      <c r="G191" s="226"/>
      <c r="H191" s="227"/>
      <c r="I191" s="228">
        <v>0</v>
      </c>
      <c r="J191" s="129">
        <f>'Ameacas-Pré'!F188</f>
        <v>0</v>
      </c>
      <c r="K191" s="132" t="str">
        <f>IF(J191=0,"0",'Ameacas-Pré'!O188)</f>
        <v>0</v>
      </c>
      <c r="L191" s="229">
        <f t="shared" si="2"/>
        <v>0</v>
      </c>
      <c r="M191" s="226"/>
      <c r="N191" s="228">
        <v>0</v>
      </c>
      <c r="O191" s="228"/>
    </row>
    <row r="192" spans="1:15" ht="13">
      <c r="A192" s="126">
        <f>'Ameacas-Pré'!A189</f>
        <v>182</v>
      </c>
      <c r="B192" s="307" t="str">
        <f>IF(('Ameacas-Pré'!B189)&gt;0,'Ameacas-Pré'!B189,"")</f>
        <v/>
      </c>
      <c r="C192" s="224" t="str">
        <f>IF(('Ameacas-Pré'!C189)&gt;0,'Ameacas-Pré'!C189,"")</f>
        <v/>
      </c>
      <c r="D192" s="435" t="str">
        <f>IF(('Ameacas-Pré'!D189)&gt;0,'Ameacas-Pré'!D189,"")</f>
        <v/>
      </c>
      <c r="E192" s="436"/>
      <c r="F192" s="398" t="str">
        <f>IF(('Ameacas-Pré'!F189)&gt;0,'Ameacas-Pré'!P189,"")</f>
        <v/>
      </c>
      <c r="G192" s="226"/>
      <c r="H192" s="227"/>
      <c r="I192" s="228">
        <v>0</v>
      </c>
      <c r="J192" s="129">
        <f>'Ameacas-Pré'!F189</f>
        <v>0</v>
      </c>
      <c r="K192" s="132" t="str">
        <f>IF(J192=0,"0",'Ameacas-Pré'!O189)</f>
        <v>0</v>
      </c>
      <c r="L192" s="229">
        <f t="shared" si="2"/>
        <v>0</v>
      </c>
      <c r="M192" s="226"/>
      <c r="N192" s="228">
        <v>0</v>
      </c>
      <c r="O192" s="228"/>
    </row>
    <row r="193" spans="1:15" ht="13">
      <c r="A193" s="126">
        <f>'Ameacas-Pré'!A190</f>
        <v>183</v>
      </c>
      <c r="B193" s="307" t="str">
        <f>IF(('Ameacas-Pré'!B190)&gt;0,'Ameacas-Pré'!B190,"")</f>
        <v/>
      </c>
      <c r="C193" s="224" t="str">
        <f>IF(('Ameacas-Pré'!C190)&gt;0,'Ameacas-Pré'!C190,"")</f>
        <v/>
      </c>
      <c r="D193" s="435" t="str">
        <f>IF(('Ameacas-Pré'!D190)&gt;0,'Ameacas-Pré'!D190,"")</f>
        <v/>
      </c>
      <c r="E193" s="436"/>
      <c r="F193" s="398" t="str">
        <f>IF(('Ameacas-Pré'!F190)&gt;0,'Ameacas-Pré'!P190,"")</f>
        <v/>
      </c>
      <c r="G193" s="226"/>
      <c r="H193" s="227"/>
      <c r="I193" s="228">
        <v>0</v>
      </c>
      <c r="J193" s="129">
        <f>'Ameacas-Pré'!F190</f>
        <v>0</v>
      </c>
      <c r="K193" s="132" t="str">
        <f>IF(J193=0,"0",'Ameacas-Pré'!O190)</f>
        <v>0</v>
      </c>
      <c r="L193" s="229">
        <f t="shared" si="2"/>
        <v>0</v>
      </c>
      <c r="M193" s="226"/>
      <c r="N193" s="228">
        <v>0</v>
      </c>
      <c r="O193" s="228"/>
    </row>
    <row r="194" spans="1:15" ht="13">
      <c r="A194" s="126">
        <f>'Ameacas-Pré'!A191</f>
        <v>184</v>
      </c>
      <c r="B194" s="307" t="str">
        <f>IF(('Ameacas-Pré'!B191)&gt;0,'Ameacas-Pré'!B191,"")</f>
        <v/>
      </c>
      <c r="C194" s="224" t="str">
        <f>IF(('Ameacas-Pré'!C191)&gt;0,'Ameacas-Pré'!C191,"")</f>
        <v/>
      </c>
      <c r="D194" s="435" t="str">
        <f>IF(('Ameacas-Pré'!D191)&gt;0,'Ameacas-Pré'!D191,"")</f>
        <v/>
      </c>
      <c r="E194" s="436"/>
      <c r="F194" s="398" t="str">
        <f>IF(('Ameacas-Pré'!F191)&gt;0,'Ameacas-Pré'!P191,"")</f>
        <v/>
      </c>
      <c r="G194" s="226"/>
      <c r="H194" s="227"/>
      <c r="I194" s="228">
        <v>0</v>
      </c>
      <c r="J194" s="129">
        <f>'Ameacas-Pré'!F191</f>
        <v>0</v>
      </c>
      <c r="K194" s="132" t="str">
        <f>IF(J194=0,"0",'Ameacas-Pré'!O191)</f>
        <v>0</v>
      </c>
      <c r="L194" s="229">
        <f t="shared" si="2"/>
        <v>0</v>
      </c>
      <c r="M194" s="226"/>
      <c r="N194" s="228">
        <v>0</v>
      </c>
      <c r="O194" s="228"/>
    </row>
    <row r="195" spans="1:15" ht="13">
      <c r="A195" s="126">
        <f>'Ameacas-Pré'!A192</f>
        <v>185</v>
      </c>
      <c r="B195" s="307" t="str">
        <f>IF(('Ameacas-Pré'!B192)&gt;0,'Ameacas-Pré'!B192,"")</f>
        <v/>
      </c>
      <c r="C195" s="224" t="str">
        <f>IF(('Ameacas-Pré'!C192)&gt;0,'Ameacas-Pré'!C192,"")</f>
        <v/>
      </c>
      <c r="D195" s="435" t="str">
        <f>IF(('Ameacas-Pré'!D192)&gt;0,'Ameacas-Pré'!D192,"")</f>
        <v/>
      </c>
      <c r="E195" s="436"/>
      <c r="F195" s="398" t="str">
        <f>IF(('Ameacas-Pré'!F192)&gt;0,'Ameacas-Pré'!P192,"")</f>
        <v/>
      </c>
      <c r="G195" s="226"/>
      <c r="H195" s="227"/>
      <c r="I195" s="228">
        <v>0</v>
      </c>
      <c r="J195" s="129">
        <f>'Ameacas-Pré'!F192</f>
        <v>0</v>
      </c>
      <c r="K195" s="132" t="str">
        <f>IF(J195=0,"0",'Ameacas-Pré'!O192)</f>
        <v>0</v>
      </c>
      <c r="L195" s="229">
        <f t="shared" si="2"/>
        <v>0</v>
      </c>
      <c r="M195" s="226"/>
      <c r="N195" s="228">
        <v>0</v>
      </c>
      <c r="O195" s="228"/>
    </row>
    <row r="196" spans="1:15" ht="13">
      <c r="A196" s="126">
        <f>'Ameacas-Pré'!A193</f>
        <v>186</v>
      </c>
      <c r="B196" s="307" t="str">
        <f>IF(('Ameacas-Pré'!B193)&gt;0,'Ameacas-Pré'!B193,"")</f>
        <v/>
      </c>
      <c r="C196" s="224" t="str">
        <f>IF(('Ameacas-Pré'!C193)&gt;0,'Ameacas-Pré'!C193,"")</f>
        <v/>
      </c>
      <c r="D196" s="435" t="str">
        <f>IF(('Ameacas-Pré'!D193)&gt;0,'Ameacas-Pré'!D193,"")</f>
        <v/>
      </c>
      <c r="E196" s="436"/>
      <c r="F196" s="398" t="str">
        <f>IF(('Ameacas-Pré'!F193)&gt;0,'Ameacas-Pré'!P193,"")</f>
        <v/>
      </c>
      <c r="G196" s="226"/>
      <c r="H196" s="227"/>
      <c r="I196" s="228">
        <v>0</v>
      </c>
      <c r="J196" s="129">
        <f>'Ameacas-Pré'!F193</f>
        <v>0</v>
      </c>
      <c r="K196" s="132" t="str">
        <f>IF(J196=0,"0",'Ameacas-Pré'!O193)</f>
        <v>0</v>
      </c>
      <c r="L196" s="229">
        <f t="shared" si="2"/>
        <v>0</v>
      </c>
      <c r="M196" s="226"/>
      <c r="N196" s="228">
        <v>0</v>
      </c>
      <c r="O196" s="228"/>
    </row>
    <row r="197" spans="1:15" ht="13">
      <c r="A197" s="126">
        <f>'Ameacas-Pré'!A194</f>
        <v>187</v>
      </c>
      <c r="B197" s="307" t="str">
        <f>IF(('Ameacas-Pré'!B194)&gt;0,'Ameacas-Pré'!B194,"")</f>
        <v/>
      </c>
      <c r="C197" s="224" t="str">
        <f>IF(('Ameacas-Pré'!C194)&gt;0,'Ameacas-Pré'!C194,"")</f>
        <v/>
      </c>
      <c r="D197" s="435" t="str">
        <f>IF(('Ameacas-Pré'!D194)&gt;0,'Ameacas-Pré'!D194,"")</f>
        <v/>
      </c>
      <c r="E197" s="436"/>
      <c r="F197" s="398" t="str">
        <f>IF(('Ameacas-Pré'!F194)&gt;0,'Ameacas-Pré'!P194,"")</f>
        <v/>
      </c>
      <c r="G197" s="226"/>
      <c r="H197" s="227"/>
      <c r="I197" s="228">
        <v>0</v>
      </c>
      <c r="J197" s="129">
        <f>'Ameacas-Pré'!F194</f>
        <v>0</v>
      </c>
      <c r="K197" s="132" t="str">
        <f>IF(J197=0,"0",'Ameacas-Pré'!O194)</f>
        <v>0</v>
      </c>
      <c r="L197" s="229">
        <f t="shared" si="2"/>
        <v>0</v>
      </c>
      <c r="M197" s="226"/>
      <c r="N197" s="228">
        <v>0</v>
      </c>
      <c r="O197" s="228"/>
    </row>
    <row r="198" spans="1:15" ht="13">
      <c r="A198" s="126">
        <f>'Ameacas-Pré'!A195</f>
        <v>188</v>
      </c>
      <c r="B198" s="307" t="str">
        <f>IF(('Ameacas-Pré'!B195)&gt;0,'Ameacas-Pré'!B195,"")</f>
        <v/>
      </c>
      <c r="C198" s="224" t="str">
        <f>IF(('Ameacas-Pré'!C195)&gt;0,'Ameacas-Pré'!C195,"")</f>
        <v/>
      </c>
      <c r="D198" s="435" t="str">
        <f>IF(('Ameacas-Pré'!D195)&gt;0,'Ameacas-Pré'!D195,"")</f>
        <v/>
      </c>
      <c r="E198" s="436"/>
      <c r="F198" s="398" t="str">
        <f>IF(('Ameacas-Pré'!F195)&gt;0,'Ameacas-Pré'!P195,"")</f>
        <v/>
      </c>
      <c r="G198" s="226"/>
      <c r="H198" s="227"/>
      <c r="I198" s="228">
        <v>0</v>
      </c>
      <c r="J198" s="129">
        <f>'Ameacas-Pré'!F195</f>
        <v>0</v>
      </c>
      <c r="K198" s="132" t="str">
        <f>IF(J198=0,"0",'Ameacas-Pré'!O195)</f>
        <v>0</v>
      </c>
      <c r="L198" s="229">
        <f t="shared" si="2"/>
        <v>0</v>
      </c>
      <c r="M198" s="226"/>
      <c r="N198" s="228">
        <v>0</v>
      </c>
      <c r="O198" s="228"/>
    </row>
    <row r="199" spans="1:15" ht="13">
      <c r="A199" s="126">
        <f>'Ameacas-Pré'!A196</f>
        <v>189</v>
      </c>
      <c r="B199" s="307" t="str">
        <f>IF(('Ameacas-Pré'!B196)&gt;0,'Ameacas-Pré'!B196,"")</f>
        <v/>
      </c>
      <c r="C199" s="224" t="str">
        <f>IF(('Ameacas-Pré'!C196)&gt;0,'Ameacas-Pré'!C196,"")</f>
        <v/>
      </c>
      <c r="D199" s="435" t="str">
        <f>IF(('Ameacas-Pré'!D196)&gt;0,'Ameacas-Pré'!D196,"")</f>
        <v/>
      </c>
      <c r="E199" s="436"/>
      <c r="F199" s="398" t="str">
        <f>IF(('Ameacas-Pré'!F196)&gt;0,'Ameacas-Pré'!P196,"")</f>
        <v/>
      </c>
      <c r="G199" s="226"/>
      <c r="H199" s="227"/>
      <c r="I199" s="228">
        <v>0</v>
      </c>
      <c r="J199" s="129">
        <f>'Ameacas-Pré'!F196</f>
        <v>0</v>
      </c>
      <c r="K199" s="132" t="str">
        <f>IF(J199=0,"0",'Ameacas-Pré'!O196)</f>
        <v>0</v>
      </c>
      <c r="L199" s="229">
        <f t="shared" si="2"/>
        <v>0</v>
      </c>
      <c r="M199" s="226"/>
      <c r="N199" s="228">
        <v>0</v>
      </c>
      <c r="O199" s="228"/>
    </row>
    <row r="200" spans="1:15" ht="13">
      <c r="A200" s="126">
        <f>'Ameacas-Pré'!A197</f>
        <v>190</v>
      </c>
      <c r="B200" s="307" t="str">
        <f>IF(('Ameacas-Pré'!B197)&gt;0,'Ameacas-Pré'!B197,"")</f>
        <v/>
      </c>
      <c r="C200" s="224" t="str">
        <f>IF(('Ameacas-Pré'!C197)&gt;0,'Ameacas-Pré'!C197,"")</f>
        <v/>
      </c>
      <c r="D200" s="435" t="str">
        <f>IF(('Ameacas-Pré'!D197)&gt;0,'Ameacas-Pré'!D197,"")</f>
        <v/>
      </c>
      <c r="E200" s="436"/>
      <c r="F200" s="398" t="str">
        <f>IF(('Ameacas-Pré'!F197)&gt;0,'Ameacas-Pré'!P197,"")</f>
        <v/>
      </c>
      <c r="G200" s="226"/>
      <c r="H200" s="227"/>
      <c r="I200" s="228">
        <v>0</v>
      </c>
      <c r="J200" s="129">
        <f>'Ameacas-Pré'!F197</f>
        <v>0</v>
      </c>
      <c r="K200" s="132" t="str">
        <f>IF(J200=0,"0",'Ameacas-Pré'!O197)</f>
        <v>0</v>
      </c>
      <c r="L200" s="229">
        <f t="shared" si="2"/>
        <v>0</v>
      </c>
      <c r="M200" s="226"/>
      <c r="N200" s="228">
        <v>0</v>
      </c>
      <c r="O200" s="228"/>
    </row>
    <row r="201" spans="1:15" ht="13">
      <c r="A201" s="126">
        <f>'Ameacas-Pré'!A198</f>
        <v>191</v>
      </c>
      <c r="B201" s="307" t="str">
        <f>IF(('Ameacas-Pré'!B198)&gt;0,'Ameacas-Pré'!B198,"")</f>
        <v/>
      </c>
      <c r="C201" s="224" t="str">
        <f>IF(('Ameacas-Pré'!C198)&gt;0,'Ameacas-Pré'!C198,"")</f>
        <v/>
      </c>
      <c r="D201" s="435" t="str">
        <f>IF(('Ameacas-Pré'!D198)&gt;0,'Ameacas-Pré'!D198,"")</f>
        <v/>
      </c>
      <c r="E201" s="436"/>
      <c r="F201" s="398" t="str">
        <f>IF(('Ameacas-Pré'!F198)&gt;0,'Ameacas-Pré'!P198,"")</f>
        <v/>
      </c>
      <c r="G201" s="226"/>
      <c r="H201" s="227"/>
      <c r="I201" s="228">
        <v>0</v>
      </c>
      <c r="J201" s="129">
        <f>'Ameacas-Pré'!F198</f>
        <v>0</v>
      </c>
      <c r="K201" s="132" t="str">
        <f>IF(J201=0,"0",'Ameacas-Pré'!O198)</f>
        <v>0</v>
      </c>
      <c r="L201" s="229">
        <f t="shared" si="2"/>
        <v>0</v>
      </c>
      <c r="M201" s="226"/>
      <c r="N201" s="228">
        <v>0</v>
      </c>
      <c r="O201" s="228"/>
    </row>
    <row r="202" spans="1:15" ht="13">
      <c r="A202" s="126">
        <f>'Ameacas-Pré'!A199</f>
        <v>192</v>
      </c>
      <c r="B202" s="307" t="str">
        <f>IF(('Ameacas-Pré'!B199)&gt;0,'Ameacas-Pré'!B199,"")</f>
        <v/>
      </c>
      <c r="C202" s="224" t="str">
        <f>IF(('Ameacas-Pré'!C199)&gt;0,'Ameacas-Pré'!C199,"")</f>
        <v/>
      </c>
      <c r="D202" s="435" t="str">
        <f>IF(('Ameacas-Pré'!D199)&gt;0,'Ameacas-Pré'!D199,"")</f>
        <v/>
      </c>
      <c r="E202" s="436"/>
      <c r="F202" s="398" t="str">
        <f>IF(('Ameacas-Pré'!F199)&gt;0,'Ameacas-Pré'!P199,"")</f>
        <v/>
      </c>
      <c r="G202" s="226"/>
      <c r="H202" s="227"/>
      <c r="I202" s="228">
        <v>0</v>
      </c>
      <c r="J202" s="129">
        <f>'Ameacas-Pré'!F199</f>
        <v>0</v>
      </c>
      <c r="K202" s="132" t="str">
        <f>IF(J202=0,"0",'Ameacas-Pré'!O199)</f>
        <v>0</v>
      </c>
      <c r="L202" s="229">
        <f t="shared" si="2"/>
        <v>0</v>
      </c>
      <c r="M202" s="226"/>
      <c r="N202" s="228">
        <v>0</v>
      </c>
      <c r="O202" s="228"/>
    </row>
    <row r="203" spans="1:15" ht="13">
      <c r="A203" s="126">
        <f>'Ameacas-Pré'!A200</f>
        <v>193</v>
      </c>
      <c r="B203" s="307" t="str">
        <f>IF(('Ameacas-Pré'!B200)&gt;0,'Ameacas-Pré'!B200,"")</f>
        <v/>
      </c>
      <c r="C203" s="224" t="str">
        <f>IF(('Ameacas-Pré'!C200)&gt;0,'Ameacas-Pré'!C200,"")</f>
        <v/>
      </c>
      <c r="D203" s="435" t="str">
        <f>IF(('Ameacas-Pré'!D200)&gt;0,'Ameacas-Pré'!D200,"")</f>
        <v/>
      </c>
      <c r="E203" s="436"/>
      <c r="F203" s="398" t="str">
        <f>IF(('Ameacas-Pré'!F200)&gt;0,'Ameacas-Pré'!P200,"")</f>
        <v/>
      </c>
      <c r="G203" s="226"/>
      <c r="H203" s="227"/>
      <c r="I203" s="228">
        <v>0</v>
      </c>
      <c r="J203" s="129">
        <f>'Ameacas-Pré'!F200</f>
        <v>0</v>
      </c>
      <c r="K203" s="132" t="str">
        <f>IF(J203=0,"0",'Ameacas-Pré'!O200)</f>
        <v>0</v>
      </c>
      <c r="L203" s="229">
        <f t="shared" si="2"/>
        <v>0</v>
      </c>
      <c r="M203" s="226"/>
      <c r="N203" s="228">
        <v>0</v>
      </c>
      <c r="O203" s="228"/>
    </row>
    <row r="204" spans="1:15" ht="13">
      <c r="A204" s="126">
        <f>'Ameacas-Pré'!A201</f>
        <v>194</v>
      </c>
      <c r="B204" s="307" t="str">
        <f>IF(('Ameacas-Pré'!B201)&gt;0,'Ameacas-Pré'!B201,"")</f>
        <v/>
      </c>
      <c r="C204" s="224" t="str">
        <f>IF(('Ameacas-Pré'!C201)&gt;0,'Ameacas-Pré'!C201,"")</f>
        <v/>
      </c>
      <c r="D204" s="435" t="str">
        <f>IF(('Ameacas-Pré'!D201)&gt;0,'Ameacas-Pré'!D201,"")</f>
        <v/>
      </c>
      <c r="E204" s="436"/>
      <c r="F204" s="398" t="str">
        <f>IF(('Ameacas-Pré'!F201)&gt;0,'Ameacas-Pré'!P201,"")</f>
        <v/>
      </c>
      <c r="G204" s="226"/>
      <c r="H204" s="227"/>
      <c r="I204" s="228">
        <v>0</v>
      </c>
      <c r="J204" s="129">
        <f>'Ameacas-Pré'!F201</f>
        <v>0</v>
      </c>
      <c r="K204" s="132" t="str">
        <f>IF(J204=0,"0",'Ameacas-Pré'!O201)</f>
        <v>0</v>
      </c>
      <c r="L204" s="229">
        <f t="shared" si="2"/>
        <v>0</v>
      </c>
      <c r="M204" s="226"/>
      <c r="N204" s="228">
        <v>0</v>
      </c>
      <c r="O204" s="228"/>
    </row>
    <row r="205" spans="1:15" ht="13">
      <c r="A205" s="126">
        <f>'Ameacas-Pré'!A202</f>
        <v>195</v>
      </c>
      <c r="B205" s="307" t="str">
        <f>IF(('Ameacas-Pré'!B202)&gt;0,'Ameacas-Pré'!B202,"")</f>
        <v/>
      </c>
      <c r="C205" s="224" t="str">
        <f>IF(('Ameacas-Pré'!C202)&gt;0,'Ameacas-Pré'!C202,"")</f>
        <v/>
      </c>
      <c r="D205" s="435" t="str">
        <f>IF(('Ameacas-Pré'!D202)&gt;0,'Ameacas-Pré'!D202,"")</f>
        <v/>
      </c>
      <c r="E205" s="436"/>
      <c r="F205" s="398" t="str">
        <f>IF(('Ameacas-Pré'!F202)&gt;0,'Ameacas-Pré'!P202,"")</f>
        <v/>
      </c>
      <c r="G205" s="226"/>
      <c r="H205" s="227"/>
      <c r="I205" s="228">
        <v>0</v>
      </c>
      <c r="J205" s="129">
        <f>'Ameacas-Pré'!F202</f>
        <v>0</v>
      </c>
      <c r="K205" s="132" t="str">
        <f>IF(J205=0,"0",'Ameacas-Pré'!O202)</f>
        <v>0</v>
      </c>
      <c r="L205" s="229">
        <f t="shared" si="2"/>
        <v>0</v>
      </c>
      <c r="M205" s="226"/>
      <c r="N205" s="228">
        <v>0</v>
      </c>
      <c r="O205" s="228"/>
    </row>
    <row r="206" spans="1:15" ht="13">
      <c r="A206" s="126">
        <f>'Ameacas-Pré'!A203</f>
        <v>196</v>
      </c>
      <c r="B206" s="307" t="str">
        <f>IF(('Ameacas-Pré'!B203)&gt;0,'Ameacas-Pré'!B203,"")</f>
        <v/>
      </c>
      <c r="C206" s="224" t="str">
        <f>IF(('Ameacas-Pré'!C203)&gt;0,'Ameacas-Pré'!C203,"")</f>
        <v/>
      </c>
      <c r="D206" s="435" t="str">
        <f>IF(('Ameacas-Pré'!D203)&gt;0,'Ameacas-Pré'!D203,"")</f>
        <v/>
      </c>
      <c r="E206" s="436"/>
      <c r="F206" s="398" t="str">
        <f>IF(('Ameacas-Pré'!F203)&gt;0,'Ameacas-Pré'!P203,"")</f>
        <v/>
      </c>
      <c r="G206" s="226"/>
      <c r="H206" s="227"/>
      <c r="I206" s="228">
        <v>0</v>
      </c>
      <c r="J206" s="129">
        <f>'Ameacas-Pré'!F203</f>
        <v>0</v>
      </c>
      <c r="K206" s="132" t="str">
        <f>IF(J206=0,"0",'Ameacas-Pré'!O203)</f>
        <v>0</v>
      </c>
      <c r="L206" s="229">
        <f t="shared" si="2"/>
        <v>0</v>
      </c>
      <c r="M206" s="226"/>
      <c r="N206" s="228">
        <v>0</v>
      </c>
      <c r="O206" s="228"/>
    </row>
    <row r="207" spans="1:15" ht="13">
      <c r="A207" s="126">
        <f>'Ameacas-Pré'!A204</f>
        <v>197</v>
      </c>
      <c r="B207" s="307" t="str">
        <f>IF(('Ameacas-Pré'!B204)&gt;0,'Ameacas-Pré'!B204,"")</f>
        <v/>
      </c>
      <c r="C207" s="224" t="str">
        <f>IF(('Ameacas-Pré'!C204)&gt;0,'Ameacas-Pré'!C204,"")</f>
        <v/>
      </c>
      <c r="D207" s="435" t="str">
        <f>IF(('Ameacas-Pré'!D204)&gt;0,'Ameacas-Pré'!D204,"")</f>
        <v/>
      </c>
      <c r="E207" s="436"/>
      <c r="F207" s="398" t="str">
        <f>IF(('Ameacas-Pré'!F204)&gt;0,'Ameacas-Pré'!P204,"")</f>
        <v/>
      </c>
      <c r="G207" s="226"/>
      <c r="H207" s="227"/>
      <c r="I207" s="228">
        <v>0</v>
      </c>
      <c r="J207" s="129">
        <f>'Ameacas-Pré'!F204</f>
        <v>0</v>
      </c>
      <c r="K207" s="132" t="str">
        <f>IF(J207=0,"0",'Ameacas-Pré'!O204)</f>
        <v>0</v>
      </c>
      <c r="L207" s="229">
        <f>J207*K207</f>
        <v>0</v>
      </c>
      <c r="M207" s="226"/>
      <c r="N207" s="228">
        <v>0</v>
      </c>
      <c r="O207" s="228"/>
    </row>
    <row r="208" spans="1:15" ht="13">
      <c r="A208" s="126">
        <f>'Ameacas-Pré'!A205</f>
        <v>198</v>
      </c>
      <c r="B208" s="307" t="str">
        <f>IF(('Ameacas-Pré'!B205)&gt;0,'Ameacas-Pré'!B205,"")</f>
        <v/>
      </c>
      <c r="C208" s="224" t="str">
        <f>IF(('Ameacas-Pré'!C205)&gt;0,'Ameacas-Pré'!C205,"")</f>
        <v/>
      </c>
      <c r="D208" s="435" t="str">
        <f>IF(('Ameacas-Pré'!D205)&gt;0,'Ameacas-Pré'!D205,"")</f>
        <v/>
      </c>
      <c r="E208" s="436"/>
      <c r="F208" s="398" t="str">
        <f>IF(('Ameacas-Pré'!F205)&gt;0,'Ameacas-Pré'!P205,"")</f>
        <v/>
      </c>
      <c r="G208" s="226"/>
      <c r="H208" s="227"/>
      <c r="I208" s="228">
        <v>0</v>
      </c>
      <c r="J208" s="129">
        <f>'Ameacas-Pré'!F205</f>
        <v>0</v>
      </c>
      <c r="K208" s="132" t="str">
        <f>IF(J208=0,"0",'Ameacas-Pré'!O205)</f>
        <v>0</v>
      </c>
      <c r="L208" s="229">
        <f>J208*K208</f>
        <v>0</v>
      </c>
      <c r="M208" s="226"/>
      <c r="N208" s="228">
        <v>0</v>
      </c>
      <c r="O208" s="228"/>
    </row>
    <row r="209" spans="1:15" ht="13">
      <c r="A209" s="126">
        <f>'Ameacas-Pré'!A206</f>
        <v>199</v>
      </c>
      <c r="B209" s="307" t="str">
        <f>IF(('Ameacas-Pré'!B206)&gt;0,'Ameacas-Pré'!B206,"")</f>
        <v/>
      </c>
      <c r="C209" s="224" t="str">
        <f>IF(('Ameacas-Pré'!C206)&gt;0,'Ameacas-Pré'!C206,"")</f>
        <v/>
      </c>
      <c r="D209" s="435" t="str">
        <f>IF(('Ameacas-Pré'!D206)&gt;0,'Ameacas-Pré'!D206,"")</f>
        <v/>
      </c>
      <c r="E209" s="436"/>
      <c r="F209" s="398" t="str">
        <f>IF(('Ameacas-Pré'!F206)&gt;0,'Ameacas-Pré'!P206,"")</f>
        <v/>
      </c>
      <c r="G209" s="226"/>
      <c r="H209" s="227"/>
      <c r="I209" s="228">
        <v>0</v>
      </c>
      <c r="J209" s="129">
        <f>'Ameacas-Pré'!F206</f>
        <v>0</v>
      </c>
      <c r="K209" s="132" t="str">
        <f>IF(J209=0,"0",'Ameacas-Pré'!O206)</f>
        <v>0</v>
      </c>
      <c r="L209" s="229">
        <f>J209*K209</f>
        <v>0</v>
      </c>
      <c r="M209" s="226"/>
      <c r="N209" s="228">
        <v>0</v>
      </c>
      <c r="O209" s="228"/>
    </row>
    <row r="210" spans="1:15" ht="13">
      <c r="A210" s="126">
        <f>'Ameacas-Pré'!A207</f>
        <v>200</v>
      </c>
      <c r="B210" s="307" t="str">
        <f>IF(('Ameacas-Pré'!B207)&gt;0,'Ameacas-Pré'!B207,"")</f>
        <v/>
      </c>
      <c r="C210" s="224" t="str">
        <f>IF(('Ameacas-Pré'!C207)&gt;0,'Ameacas-Pré'!C207,"")</f>
        <v/>
      </c>
      <c r="D210" s="435" t="str">
        <f>IF(('Ameacas-Pré'!D207)&gt;0,'Ameacas-Pré'!D207,"")</f>
        <v/>
      </c>
      <c r="E210" s="436"/>
      <c r="F210" s="398" t="str">
        <f>IF(('Ameacas-Pré'!F207)&gt;0,'Ameacas-Pré'!P207,"")</f>
        <v/>
      </c>
      <c r="G210" s="226"/>
      <c r="H210" s="227"/>
      <c r="I210" s="228">
        <v>0</v>
      </c>
      <c r="J210" s="129">
        <f>'Ameacas-Pré'!F207</f>
        <v>0</v>
      </c>
      <c r="K210" s="132" t="str">
        <f>IF(J210=0,"0",'Ameacas-Pré'!O207)</f>
        <v>0</v>
      </c>
      <c r="L210" s="229">
        <f>J210*K210</f>
        <v>0</v>
      </c>
      <c r="M210" s="226"/>
      <c r="N210" s="228">
        <v>0</v>
      </c>
      <c r="O210" s="228"/>
    </row>
    <row r="211" spans="1:15">
      <c r="A211" s="98"/>
      <c r="B211" s="99"/>
      <c r="C211" s="98"/>
      <c r="D211" s="151"/>
      <c r="E211" s="151"/>
      <c r="F211" s="399"/>
      <c r="G211" s="98"/>
      <c r="H211" s="230"/>
      <c r="I211" s="98"/>
      <c r="J211" s="82"/>
      <c r="K211" s="82"/>
      <c r="L211" s="82"/>
      <c r="M211" s="98"/>
      <c r="N211" s="98"/>
      <c r="O211" s="98"/>
    </row>
    <row r="212" spans="1:15">
      <c r="J212" s="1"/>
      <c r="K212" s="1"/>
      <c r="L212" s="1"/>
    </row>
    <row r="213" spans="1:15">
      <c r="J213" s="1"/>
      <c r="K213" s="1"/>
      <c r="L213" s="1"/>
    </row>
    <row r="214" spans="1:15">
      <c r="J214" s="1"/>
      <c r="K214" s="1"/>
      <c r="L214" s="1"/>
    </row>
    <row r="215" spans="1:15">
      <c r="J215" s="1"/>
      <c r="K215" s="1"/>
      <c r="L215" s="1"/>
    </row>
    <row r="216" spans="1:15">
      <c r="J216" s="1"/>
      <c r="K216" s="1"/>
      <c r="L216" s="1"/>
    </row>
    <row r="217" spans="1:15">
      <c r="J217" s="1"/>
      <c r="K217" s="1"/>
      <c r="L217" s="1"/>
    </row>
    <row r="218" spans="1:15">
      <c r="J218" s="1"/>
      <c r="K218" s="1"/>
      <c r="L218" s="1"/>
    </row>
    <row r="219" spans="1:15">
      <c r="J219" s="1"/>
      <c r="K219" s="1"/>
      <c r="L219" s="1"/>
    </row>
    <row r="220" spans="1:15">
      <c r="J220" s="1"/>
      <c r="K220" s="1"/>
      <c r="L220" s="1"/>
    </row>
    <row r="221" spans="1:15">
      <c r="J221" s="1"/>
      <c r="K221" s="1"/>
      <c r="L221" s="1"/>
    </row>
    <row r="222" spans="1:15">
      <c r="J222" s="1"/>
      <c r="K222" s="1"/>
      <c r="L222" s="1"/>
    </row>
    <row r="223" spans="1:15">
      <c r="J223" s="1"/>
      <c r="K223" s="1"/>
      <c r="L223" s="1"/>
    </row>
    <row r="224" spans="1:15">
      <c r="J224" s="1"/>
      <c r="K224" s="1"/>
      <c r="L224" s="1"/>
    </row>
    <row r="225" spans="10:12">
      <c r="J225" s="1"/>
      <c r="K225" s="1"/>
      <c r="L225" s="1"/>
    </row>
    <row r="226" spans="10:12">
      <c r="J226" s="1"/>
      <c r="K226" s="1"/>
      <c r="L226" s="1"/>
    </row>
    <row r="227" spans="10:12">
      <c r="J227" s="1"/>
      <c r="K227" s="1"/>
      <c r="L227" s="1"/>
    </row>
    <row r="228" spans="10:12">
      <c r="J228" s="1"/>
      <c r="K228" s="1"/>
      <c r="L228" s="1"/>
    </row>
    <row r="229" spans="10:12">
      <c r="J229" s="1"/>
      <c r="K229" s="1"/>
      <c r="L229" s="1"/>
    </row>
    <row r="230" spans="10:12">
      <c r="J230" s="1"/>
      <c r="K230" s="1"/>
      <c r="L230" s="1"/>
    </row>
    <row r="231" spans="10:12">
      <c r="J231" s="1"/>
      <c r="K231" s="1"/>
      <c r="L231" s="1"/>
    </row>
    <row r="232" spans="10:12">
      <c r="J232" s="1"/>
      <c r="K232" s="1"/>
      <c r="L232" s="1"/>
    </row>
    <row r="233" spans="10:12">
      <c r="J233" s="1"/>
      <c r="K233" s="1"/>
      <c r="L233" s="1"/>
    </row>
    <row r="234" spans="10:12">
      <c r="J234" s="1"/>
      <c r="K234" s="1"/>
      <c r="L234" s="1"/>
    </row>
    <row r="235" spans="10:12">
      <c r="J235" s="1"/>
      <c r="K235" s="1"/>
      <c r="L235" s="1"/>
    </row>
    <row r="236" spans="10:12">
      <c r="J236" s="1"/>
      <c r="K236" s="1"/>
      <c r="L236" s="1"/>
    </row>
    <row r="237" spans="10:12">
      <c r="J237" s="1"/>
      <c r="K237" s="1"/>
      <c r="L237" s="1"/>
    </row>
    <row r="238" spans="10:12">
      <c r="J238" s="1"/>
      <c r="K238" s="1"/>
      <c r="L238" s="1"/>
    </row>
    <row r="239" spans="10:12">
      <c r="J239" s="1"/>
      <c r="K239" s="1"/>
      <c r="L239" s="1"/>
    </row>
    <row r="240" spans="10:12">
      <c r="J240" s="1"/>
      <c r="K240" s="1"/>
      <c r="L240" s="1"/>
    </row>
    <row r="241" spans="10:12">
      <c r="J241" s="1"/>
      <c r="K241" s="1"/>
      <c r="L241" s="1"/>
    </row>
    <row r="242" spans="10:12">
      <c r="J242" s="1"/>
      <c r="K242" s="1"/>
      <c r="L242" s="1"/>
    </row>
    <row r="243" spans="10:12">
      <c r="J243" s="1"/>
      <c r="K243" s="1"/>
      <c r="L243" s="1"/>
    </row>
    <row r="244" spans="10:12">
      <c r="J244" s="1"/>
      <c r="K244" s="1"/>
      <c r="L244" s="1"/>
    </row>
    <row r="245" spans="10:12">
      <c r="J245" s="1"/>
      <c r="K245" s="1"/>
      <c r="L245" s="1"/>
    </row>
    <row r="246" spans="10:12">
      <c r="J246" s="1"/>
      <c r="K246" s="1"/>
      <c r="L246" s="1"/>
    </row>
    <row r="247" spans="10:12">
      <c r="J247" s="1"/>
      <c r="K247" s="1"/>
      <c r="L247" s="1"/>
    </row>
    <row r="248" spans="10:12">
      <c r="J248" s="1"/>
      <c r="K248" s="1"/>
      <c r="L248" s="1"/>
    </row>
    <row r="249" spans="10:12">
      <c r="J249" s="1"/>
      <c r="K249" s="1"/>
      <c r="L249" s="1"/>
    </row>
    <row r="250" spans="10:12">
      <c r="J250" s="1"/>
      <c r="K250" s="1"/>
      <c r="L250" s="1"/>
    </row>
    <row r="251" spans="10:12">
      <c r="J251" s="1"/>
      <c r="K251" s="1"/>
      <c r="L251" s="1"/>
    </row>
    <row r="252" spans="10:12">
      <c r="J252" s="1"/>
      <c r="K252" s="1"/>
      <c r="L252" s="1"/>
    </row>
    <row r="253" spans="10:12">
      <c r="J253" s="1"/>
      <c r="K253" s="1"/>
      <c r="L253" s="1"/>
    </row>
    <row r="254" spans="10:12">
      <c r="J254" s="1"/>
      <c r="K254" s="1"/>
      <c r="L254" s="1"/>
    </row>
    <row r="255" spans="10:12">
      <c r="J255" s="1"/>
      <c r="K255" s="1"/>
      <c r="L255" s="1"/>
    </row>
    <row r="256" spans="10:12">
      <c r="J256" s="1"/>
      <c r="K256" s="1"/>
      <c r="L256" s="1"/>
    </row>
    <row r="257" spans="10:12">
      <c r="J257" s="1"/>
      <c r="K257" s="1"/>
      <c r="L257" s="1"/>
    </row>
    <row r="258" spans="10:12">
      <c r="J258" s="1"/>
      <c r="K258" s="1"/>
      <c r="L258" s="1"/>
    </row>
    <row r="259" spans="10:12">
      <c r="J259" s="1"/>
      <c r="K259" s="1"/>
      <c r="L259" s="1"/>
    </row>
    <row r="260" spans="10:12">
      <c r="J260" s="1"/>
      <c r="K260" s="1"/>
      <c r="L260" s="1"/>
    </row>
    <row r="261" spans="10:12">
      <c r="J261" s="1"/>
      <c r="K261" s="1"/>
      <c r="L261" s="1"/>
    </row>
    <row r="262" spans="10:12">
      <c r="J262" s="1"/>
      <c r="K262" s="1"/>
      <c r="L262" s="1"/>
    </row>
    <row r="263" spans="10:12">
      <c r="J263" s="1"/>
      <c r="K263" s="1"/>
      <c r="L263" s="1"/>
    </row>
    <row r="264" spans="10:12">
      <c r="J264" s="1"/>
      <c r="K264" s="1"/>
      <c r="L264" s="1"/>
    </row>
    <row r="265" spans="10:12">
      <c r="J265" s="1"/>
      <c r="K265" s="1"/>
      <c r="L265" s="1"/>
    </row>
    <row r="266" spans="10:12">
      <c r="J266" s="1"/>
      <c r="K266" s="1"/>
      <c r="L266" s="1"/>
    </row>
    <row r="267" spans="10:12">
      <c r="J267" s="1"/>
      <c r="K267" s="1"/>
      <c r="L267" s="1"/>
    </row>
    <row r="268" spans="10:12">
      <c r="J268" s="1"/>
      <c r="K268" s="1"/>
      <c r="L268" s="1"/>
    </row>
    <row r="269" spans="10:12">
      <c r="J269" s="1"/>
      <c r="K269" s="1"/>
      <c r="L269" s="1"/>
    </row>
    <row r="270" spans="10:12">
      <c r="J270" s="1"/>
      <c r="K270" s="1"/>
      <c r="L270" s="1"/>
    </row>
    <row r="271" spans="10:12">
      <c r="J271" s="1"/>
      <c r="K271" s="1"/>
      <c r="L271" s="1"/>
    </row>
    <row r="272" spans="10:12">
      <c r="J272" s="1"/>
      <c r="K272" s="1"/>
      <c r="L272" s="1"/>
    </row>
    <row r="273" spans="10:12">
      <c r="J273" s="1"/>
      <c r="K273" s="1"/>
      <c r="L273" s="1"/>
    </row>
    <row r="274" spans="10:12">
      <c r="J274" s="1"/>
      <c r="K274" s="1"/>
      <c r="L274" s="1"/>
    </row>
    <row r="275" spans="10:12">
      <c r="J275" s="1"/>
      <c r="K275" s="1"/>
      <c r="L275" s="1"/>
    </row>
    <row r="276" spans="10:12">
      <c r="J276" s="1"/>
      <c r="K276" s="1"/>
      <c r="L276" s="1"/>
    </row>
    <row r="277" spans="10:12">
      <c r="J277" s="1"/>
      <c r="K277" s="1"/>
      <c r="L277" s="1"/>
    </row>
    <row r="278" spans="10:12">
      <c r="J278" s="1"/>
      <c r="K278" s="1"/>
      <c r="L278" s="1"/>
    </row>
    <row r="279" spans="10:12">
      <c r="J279" s="1"/>
      <c r="K279" s="1"/>
      <c r="L279" s="1"/>
    </row>
    <row r="280" spans="10:12">
      <c r="J280" s="1"/>
      <c r="K280" s="1"/>
      <c r="L280" s="1"/>
    </row>
    <row r="281" spans="10:12">
      <c r="J281" s="1"/>
      <c r="K281" s="1"/>
      <c r="L281" s="1"/>
    </row>
    <row r="282" spans="10:12">
      <c r="J282" s="1"/>
      <c r="K282" s="1"/>
      <c r="L282" s="1"/>
    </row>
    <row r="283" spans="10:12">
      <c r="J283" s="1"/>
      <c r="K283" s="1"/>
      <c r="L283" s="1"/>
    </row>
    <row r="284" spans="10:12">
      <c r="J284" s="1"/>
      <c r="K284" s="1"/>
      <c r="L284" s="1"/>
    </row>
    <row r="285" spans="10:12">
      <c r="J285" s="1"/>
      <c r="K285" s="1"/>
      <c r="L285" s="1"/>
    </row>
    <row r="286" spans="10:12">
      <c r="J286" s="1"/>
      <c r="K286" s="1"/>
      <c r="L286" s="1"/>
    </row>
    <row r="287" spans="10:12">
      <c r="J287" s="1"/>
      <c r="K287" s="1"/>
      <c r="L287" s="1"/>
    </row>
    <row r="288" spans="10:12">
      <c r="J288" s="1"/>
      <c r="K288" s="1"/>
      <c r="L288" s="1"/>
    </row>
    <row r="289" spans="10:12">
      <c r="J289" s="1"/>
      <c r="K289" s="1"/>
      <c r="L289" s="1"/>
    </row>
    <row r="290" spans="10:12">
      <c r="J290" s="1"/>
      <c r="K290" s="1"/>
      <c r="L290" s="1"/>
    </row>
    <row r="291" spans="10:12">
      <c r="J291" s="1"/>
      <c r="K291" s="1"/>
      <c r="L291" s="1"/>
    </row>
    <row r="292" spans="10:12">
      <c r="J292" s="1"/>
      <c r="K292" s="1"/>
      <c r="L292" s="1"/>
    </row>
    <row r="293" spans="10:12">
      <c r="J293" s="1"/>
      <c r="K293" s="1"/>
      <c r="L293" s="1"/>
    </row>
    <row r="294" spans="10:12">
      <c r="J294" s="1"/>
      <c r="K294" s="1"/>
      <c r="L294" s="1"/>
    </row>
    <row r="295" spans="10:12">
      <c r="J295" s="1"/>
      <c r="K295" s="1"/>
      <c r="L295" s="1"/>
    </row>
    <row r="296" spans="10:12">
      <c r="J296" s="1"/>
      <c r="K296" s="1"/>
      <c r="L296" s="1"/>
    </row>
    <row r="297" spans="10:12">
      <c r="J297" s="1"/>
      <c r="K297" s="1"/>
      <c r="L297" s="1"/>
    </row>
    <row r="298" spans="10:12">
      <c r="J298" s="1"/>
      <c r="K298" s="1"/>
      <c r="L298" s="1"/>
    </row>
    <row r="299" spans="10:12">
      <c r="J299" s="1"/>
      <c r="K299" s="1"/>
      <c r="L299" s="1"/>
    </row>
    <row r="300" spans="10:12">
      <c r="J300" s="1"/>
      <c r="K300" s="1"/>
      <c r="L300" s="1"/>
    </row>
    <row r="301" spans="10:12">
      <c r="J301" s="1"/>
      <c r="K301" s="1"/>
      <c r="L301" s="1"/>
    </row>
    <row r="302" spans="10:12">
      <c r="J302" s="1"/>
      <c r="K302" s="1"/>
      <c r="L302" s="1"/>
    </row>
    <row r="303" spans="10:12">
      <c r="J303" s="1"/>
      <c r="K303" s="1"/>
      <c r="L303" s="1"/>
    </row>
    <row r="304" spans="10:12">
      <c r="J304" s="1"/>
      <c r="K304" s="1"/>
      <c r="L304" s="1"/>
    </row>
    <row r="305" spans="10:12">
      <c r="J305" s="1"/>
      <c r="K305" s="1"/>
      <c r="L305" s="1"/>
    </row>
    <row r="306" spans="10:12">
      <c r="J306" s="1"/>
      <c r="K306" s="1"/>
      <c r="L306" s="1"/>
    </row>
    <row r="307" spans="10:12">
      <c r="J307" s="1"/>
      <c r="K307" s="1"/>
      <c r="L307" s="1"/>
    </row>
    <row r="308" spans="10:12">
      <c r="J308" s="1"/>
      <c r="K308" s="1"/>
      <c r="L308" s="1"/>
    </row>
    <row r="309" spans="10:12">
      <c r="J309" s="1"/>
      <c r="K309" s="1"/>
      <c r="L309" s="1"/>
    </row>
    <row r="310" spans="10:12">
      <c r="J310" s="1"/>
      <c r="K310" s="1"/>
      <c r="L310" s="1"/>
    </row>
    <row r="311" spans="10:12">
      <c r="J311" s="1"/>
      <c r="K311" s="1"/>
      <c r="L311" s="1"/>
    </row>
    <row r="312" spans="10:12">
      <c r="J312" s="1"/>
      <c r="K312" s="1"/>
      <c r="L312" s="1"/>
    </row>
    <row r="313" spans="10:12">
      <c r="J313" s="1"/>
      <c r="K313" s="1"/>
      <c r="L313" s="1"/>
    </row>
    <row r="314" spans="10:12">
      <c r="J314" s="1"/>
      <c r="K314" s="1"/>
      <c r="L314" s="1"/>
    </row>
    <row r="315" spans="10:12">
      <c r="J315" s="1"/>
      <c r="K315" s="1"/>
      <c r="L315" s="1"/>
    </row>
    <row r="316" spans="10:12">
      <c r="J316" s="1"/>
      <c r="K316" s="1"/>
      <c r="L316" s="1"/>
    </row>
    <row r="317" spans="10:12">
      <c r="J317" s="1"/>
      <c r="K317" s="1"/>
      <c r="L317" s="1"/>
    </row>
    <row r="318" spans="10:12">
      <c r="J318" s="1"/>
      <c r="K318" s="1"/>
      <c r="L318" s="1"/>
    </row>
    <row r="319" spans="10:12">
      <c r="J319" s="1"/>
      <c r="K319" s="1"/>
      <c r="L319" s="1"/>
    </row>
    <row r="320" spans="10:12">
      <c r="J320" s="1"/>
      <c r="K320" s="1"/>
      <c r="L320" s="1"/>
    </row>
    <row r="321" spans="10:12">
      <c r="J321" s="1"/>
      <c r="K321" s="1"/>
      <c r="L321" s="1"/>
    </row>
    <row r="322" spans="10:12">
      <c r="J322" s="1"/>
      <c r="K322" s="1"/>
      <c r="L322" s="1"/>
    </row>
    <row r="323" spans="10:12">
      <c r="J323" s="1"/>
      <c r="K323" s="1"/>
      <c r="L323" s="1"/>
    </row>
    <row r="324" spans="10:12">
      <c r="J324" s="1"/>
      <c r="K324" s="1"/>
      <c r="L324" s="1"/>
    </row>
    <row r="325" spans="10:12">
      <c r="J325" s="1"/>
      <c r="K325" s="1"/>
      <c r="L325" s="1"/>
    </row>
    <row r="326" spans="10:12">
      <c r="J326" s="1"/>
      <c r="K326" s="1"/>
      <c r="L326" s="1"/>
    </row>
    <row r="327" spans="10:12">
      <c r="J327" s="1"/>
      <c r="K327" s="1"/>
      <c r="L327" s="1"/>
    </row>
    <row r="328" spans="10:12">
      <c r="J328" s="1"/>
      <c r="K328" s="1"/>
      <c r="L328" s="1"/>
    </row>
    <row r="329" spans="10:12">
      <c r="J329" s="1"/>
      <c r="K329" s="1"/>
      <c r="L329" s="1"/>
    </row>
    <row r="330" spans="10:12">
      <c r="J330" s="1"/>
      <c r="K330" s="1"/>
      <c r="L330" s="1"/>
    </row>
    <row r="331" spans="10:12">
      <c r="J331" s="1"/>
      <c r="K331" s="1"/>
      <c r="L331" s="1"/>
    </row>
    <row r="332" spans="10:12">
      <c r="J332" s="1"/>
      <c r="K332" s="1"/>
      <c r="L332" s="1"/>
    </row>
    <row r="333" spans="10:12">
      <c r="J333" s="1"/>
      <c r="K333" s="1"/>
      <c r="L333" s="1"/>
    </row>
    <row r="334" spans="10:12">
      <c r="J334" s="1"/>
      <c r="K334" s="1"/>
      <c r="L334" s="1"/>
    </row>
    <row r="335" spans="10:12">
      <c r="J335" s="1"/>
      <c r="K335" s="1"/>
      <c r="L335" s="1"/>
    </row>
    <row r="336" spans="10:12">
      <c r="J336" s="1"/>
      <c r="K336" s="1"/>
      <c r="L336" s="1"/>
    </row>
    <row r="337" spans="10:12">
      <c r="J337" s="1"/>
      <c r="K337" s="1"/>
      <c r="L337" s="1"/>
    </row>
    <row r="338" spans="10:12">
      <c r="J338" s="1"/>
      <c r="K338" s="1"/>
      <c r="L338" s="1"/>
    </row>
    <row r="339" spans="10:12">
      <c r="J339" s="1"/>
      <c r="K339" s="1"/>
      <c r="L339" s="1"/>
    </row>
    <row r="340" spans="10:12">
      <c r="J340" s="1"/>
      <c r="K340" s="1"/>
      <c r="L340" s="1"/>
    </row>
    <row r="341" spans="10:12">
      <c r="J341" s="1"/>
      <c r="K341" s="1"/>
      <c r="L341" s="1"/>
    </row>
    <row r="342" spans="10:12">
      <c r="J342" s="1"/>
      <c r="K342" s="1"/>
      <c r="L342" s="1"/>
    </row>
    <row r="343" spans="10:12">
      <c r="J343" s="1"/>
      <c r="K343" s="1"/>
      <c r="L343" s="1"/>
    </row>
    <row r="344" spans="10:12">
      <c r="J344" s="1"/>
      <c r="K344" s="1"/>
      <c r="L344" s="1"/>
    </row>
    <row r="345" spans="10:12">
      <c r="J345" s="1"/>
      <c r="K345" s="1"/>
      <c r="L345" s="1"/>
    </row>
    <row r="346" spans="10:12">
      <c r="J346" s="1"/>
      <c r="K346" s="1"/>
      <c r="L346" s="1"/>
    </row>
    <row r="347" spans="10:12">
      <c r="J347" s="1"/>
      <c r="K347" s="1"/>
      <c r="L347" s="1"/>
    </row>
    <row r="348" spans="10:12">
      <c r="J348" s="1"/>
      <c r="K348" s="1"/>
      <c r="L348" s="1"/>
    </row>
    <row r="349" spans="10:12">
      <c r="J349" s="1"/>
      <c r="K349" s="1"/>
      <c r="L349" s="1"/>
    </row>
    <row r="350" spans="10:12">
      <c r="J350" s="1"/>
      <c r="K350" s="1"/>
      <c r="L350" s="1"/>
    </row>
    <row r="351" spans="10:12">
      <c r="J351" s="1"/>
      <c r="K351" s="1"/>
      <c r="L351" s="1"/>
    </row>
    <row r="352" spans="10:12">
      <c r="J352" s="1"/>
      <c r="K352" s="1"/>
      <c r="L352" s="1"/>
    </row>
    <row r="353" spans="10:12">
      <c r="J353" s="1"/>
      <c r="K353" s="1"/>
      <c r="L353" s="1"/>
    </row>
    <row r="354" spans="10:12">
      <c r="J354" s="1"/>
      <c r="K354" s="1"/>
      <c r="L354" s="1"/>
    </row>
    <row r="355" spans="10:12">
      <c r="J355" s="1"/>
      <c r="K355" s="1"/>
      <c r="L355" s="1"/>
    </row>
    <row r="356" spans="10:12">
      <c r="J356" s="1"/>
      <c r="K356" s="1"/>
      <c r="L356" s="1"/>
    </row>
    <row r="357" spans="10:12">
      <c r="J357" s="1"/>
      <c r="K357" s="1"/>
      <c r="L357" s="1"/>
    </row>
    <row r="358" spans="10:12">
      <c r="J358" s="1"/>
      <c r="K358" s="1"/>
      <c r="L358" s="1"/>
    </row>
    <row r="359" spans="10:12">
      <c r="J359" s="1"/>
      <c r="K359" s="1"/>
      <c r="L359" s="1"/>
    </row>
    <row r="360" spans="10:12">
      <c r="J360" s="1"/>
      <c r="K360" s="1"/>
      <c r="L360" s="1"/>
    </row>
    <row r="361" spans="10:12">
      <c r="J361" s="1"/>
      <c r="K361" s="1"/>
      <c r="L361" s="1"/>
    </row>
    <row r="362" spans="10:12">
      <c r="J362" s="1"/>
      <c r="K362" s="1"/>
      <c r="L362" s="1"/>
    </row>
    <row r="363" spans="10:12">
      <c r="J363" s="1"/>
      <c r="K363" s="1"/>
      <c r="L363" s="1"/>
    </row>
    <row r="364" spans="10:12">
      <c r="J364" s="1"/>
      <c r="K364" s="1"/>
      <c r="L364" s="1"/>
    </row>
    <row r="365" spans="10:12">
      <c r="J365" s="1"/>
      <c r="K365" s="1"/>
      <c r="L365" s="1"/>
    </row>
    <row r="366" spans="10:12">
      <c r="J366" s="1"/>
      <c r="K366" s="1"/>
      <c r="L366" s="1"/>
    </row>
    <row r="367" spans="10:12">
      <c r="J367" s="1"/>
      <c r="K367" s="1"/>
      <c r="L367" s="1"/>
    </row>
    <row r="368" spans="10:12">
      <c r="J368" s="1"/>
      <c r="K368" s="1"/>
      <c r="L368" s="1"/>
    </row>
    <row r="369" spans="10:12">
      <c r="J369" s="1"/>
      <c r="K369" s="1"/>
      <c r="L369" s="1"/>
    </row>
    <row r="370" spans="10:12">
      <c r="J370" s="1"/>
      <c r="K370" s="1"/>
      <c r="L370" s="1"/>
    </row>
    <row r="371" spans="10:12">
      <c r="J371" s="1"/>
      <c r="K371" s="1"/>
      <c r="L371" s="1"/>
    </row>
    <row r="372" spans="10:12">
      <c r="J372" s="1"/>
      <c r="K372" s="1"/>
      <c r="L372" s="1"/>
    </row>
    <row r="373" spans="10:12">
      <c r="J373" s="1"/>
      <c r="K373" s="1"/>
      <c r="L373" s="1"/>
    </row>
    <row r="374" spans="10:12">
      <c r="J374" s="1"/>
      <c r="K374" s="1"/>
      <c r="L374" s="1"/>
    </row>
    <row r="375" spans="10:12">
      <c r="J375" s="1"/>
      <c r="K375" s="1"/>
      <c r="L375" s="1"/>
    </row>
    <row r="376" spans="10:12">
      <c r="J376" s="1"/>
      <c r="K376" s="1"/>
      <c r="L376" s="1"/>
    </row>
    <row r="377" spans="10:12">
      <c r="J377" s="1"/>
      <c r="K377" s="1"/>
      <c r="L377" s="1"/>
    </row>
    <row r="378" spans="10:12">
      <c r="J378" s="1"/>
      <c r="K378" s="1"/>
      <c r="L378" s="1"/>
    </row>
    <row r="379" spans="10:12">
      <c r="J379" s="1"/>
      <c r="K379" s="1"/>
      <c r="L379" s="1"/>
    </row>
    <row r="380" spans="10:12">
      <c r="J380" s="1"/>
      <c r="K380" s="1"/>
      <c r="L380" s="1"/>
    </row>
    <row r="381" spans="10:12">
      <c r="J381" s="1"/>
      <c r="K381" s="1"/>
      <c r="L381" s="1"/>
    </row>
    <row r="382" spans="10:12">
      <c r="J382" s="1"/>
      <c r="K382" s="1"/>
      <c r="L382" s="1"/>
    </row>
    <row r="383" spans="10:12">
      <c r="J383" s="1"/>
      <c r="K383" s="1"/>
      <c r="L383" s="1"/>
    </row>
    <row r="384" spans="10:12">
      <c r="J384" s="1"/>
      <c r="K384" s="1"/>
      <c r="L384" s="1"/>
    </row>
    <row r="385" spans="10:12">
      <c r="J385" s="1"/>
      <c r="K385" s="1"/>
      <c r="L385" s="1"/>
    </row>
    <row r="386" spans="10:12">
      <c r="J386" s="1"/>
      <c r="K386" s="1"/>
      <c r="L386" s="1"/>
    </row>
    <row r="387" spans="10:12">
      <c r="J387" s="1"/>
      <c r="K387" s="1"/>
      <c r="L387" s="1"/>
    </row>
    <row r="388" spans="10:12">
      <c r="J388" s="1"/>
      <c r="K388" s="1"/>
      <c r="L388" s="1"/>
    </row>
    <row r="389" spans="10:12">
      <c r="J389" s="1"/>
      <c r="K389" s="1"/>
      <c r="L389" s="1"/>
    </row>
    <row r="390" spans="10:12">
      <c r="J390" s="1"/>
      <c r="K390" s="1"/>
      <c r="L390" s="1"/>
    </row>
    <row r="391" spans="10:12">
      <c r="J391" s="1"/>
      <c r="K391" s="1"/>
      <c r="L391" s="1"/>
    </row>
    <row r="392" spans="10:12">
      <c r="J392" s="1"/>
      <c r="K392" s="1"/>
      <c r="L392" s="1"/>
    </row>
    <row r="393" spans="10:12">
      <c r="J393" s="1"/>
      <c r="K393" s="1"/>
      <c r="L393" s="1"/>
    </row>
    <row r="394" spans="10:12">
      <c r="J394" s="1"/>
      <c r="K394" s="1"/>
      <c r="L394" s="1"/>
    </row>
    <row r="395" spans="10:12">
      <c r="J395" s="1"/>
      <c r="K395" s="1"/>
      <c r="L395" s="1"/>
    </row>
    <row r="396" spans="10:12">
      <c r="J396" s="1"/>
      <c r="K396" s="1"/>
      <c r="L396" s="1"/>
    </row>
    <row r="397" spans="10:12">
      <c r="J397" s="1"/>
      <c r="K397" s="1"/>
      <c r="L397" s="1"/>
    </row>
    <row r="398" spans="10:12">
      <c r="J398" s="1"/>
      <c r="K398" s="1"/>
      <c r="L398" s="1"/>
    </row>
    <row r="399" spans="10:12">
      <c r="J399" s="1"/>
      <c r="K399" s="1"/>
      <c r="L399" s="1"/>
    </row>
    <row r="400" spans="10:12">
      <c r="J400" s="1"/>
      <c r="K400" s="1"/>
      <c r="L400" s="1"/>
    </row>
    <row r="401" spans="10:12">
      <c r="J401" s="1"/>
      <c r="K401" s="1"/>
      <c r="L401" s="1"/>
    </row>
    <row r="402" spans="10:12">
      <c r="J402" s="1"/>
      <c r="K402" s="1"/>
      <c r="L402" s="1"/>
    </row>
    <row r="403" spans="10:12">
      <c r="J403" s="1"/>
      <c r="K403" s="1"/>
      <c r="L403" s="1"/>
    </row>
    <row r="404" spans="10:12">
      <c r="J404" s="1"/>
      <c r="K404" s="1"/>
      <c r="L404" s="1"/>
    </row>
    <row r="405" spans="10:12">
      <c r="J405" s="1"/>
      <c r="K405" s="1"/>
      <c r="L405" s="1"/>
    </row>
    <row r="406" spans="10:12">
      <c r="J406" s="1"/>
      <c r="K406" s="1"/>
      <c r="L406" s="1"/>
    </row>
    <row r="407" spans="10:12">
      <c r="J407" s="1"/>
      <c r="K407" s="1"/>
      <c r="L407" s="1"/>
    </row>
    <row r="408" spans="10:12">
      <c r="J408" s="1"/>
      <c r="K408" s="1"/>
      <c r="L408" s="1"/>
    </row>
    <row r="409" spans="10:12">
      <c r="J409" s="1"/>
      <c r="K409" s="1"/>
      <c r="L409" s="1"/>
    </row>
    <row r="410" spans="10:12">
      <c r="J410" s="1"/>
      <c r="K410" s="1"/>
      <c r="L410" s="1"/>
    </row>
    <row r="411" spans="10:12">
      <c r="J411" s="1"/>
      <c r="K411" s="1"/>
      <c r="L411" s="1"/>
    </row>
    <row r="412" spans="10:12">
      <c r="J412" s="1"/>
      <c r="K412" s="1"/>
      <c r="L412" s="1"/>
    </row>
    <row r="413" spans="10:12">
      <c r="J413" s="1"/>
      <c r="K413" s="1"/>
      <c r="L413" s="1"/>
    </row>
    <row r="414" spans="10:12">
      <c r="J414" s="1"/>
      <c r="K414" s="1"/>
      <c r="L414" s="1"/>
    </row>
    <row r="415" spans="10:12">
      <c r="J415" s="1"/>
      <c r="K415" s="1"/>
      <c r="L415" s="1"/>
    </row>
    <row r="416" spans="10:12">
      <c r="J416" s="1"/>
      <c r="K416" s="1"/>
      <c r="L416" s="1"/>
    </row>
    <row r="417" spans="10:12">
      <c r="J417" s="1"/>
      <c r="K417" s="1"/>
      <c r="L417" s="1"/>
    </row>
    <row r="418" spans="10:12">
      <c r="J418" s="1"/>
      <c r="K418" s="1"/>
      <c r="L418" s="1"/>
    </row>
    <row r="419" spans="10:12">
      <c r="J419" s="1"/>
      <c r="K419" s="1"/>
      <c r="L419" s="1"/>
    </row>
    <row r="420" spans="10:12">
      <c r="J420" s="1"/>
      <c r="K420" s="1"/>
      <c r="L420" s="1"/>
    </row>
    <row r="421" spans="10:12">
      <c r="J421" s="1"/>
      <c r="K421" s="1"/>
      <c r="L421" s="1"/>
    </row>
    <row r="422" spans="10:12">
      <c r="J422" s="1"/>
      <c r="K422" s="1"/>
      <c r="L422" s="1"/>
    </row>
    <row r="423" spans="10:12">
      <c r="J423" s="1"/>
      <c r="K423" s="1"/>
      <c r="L423" s="1"/>
    </row>
    <row r="424" spans="10:12">
      <c r="J424" s="1"/>
      <c r="K424" s="1"/>
      <c r="L424" s="1"/>
    </row>
    <row r="425" spans="10:12">
      <c r="J425" s="1"/>
      <c r="K425" s="1"/>
      <c r="L425" s="1"/>
    </row>
    <row r="426" spans="10:12">
      <c r="J426" s="1"/>
      <c r="K426" s="1"/>
      <c r="L426" s="1"/>
    </row>
    <row r="427" spans="10:12">
      <c r="J427" s="1"/>
      <c r="K427" s="1"/>
      <c r="L427" s="1"/>
    </row>
    <row r="428" spans="10:12">
      <c r="J428" s="1"/>
      <c r="K428" s="1"/>
      <c r="L428" s="1"/>
    </row>
    <row r="429" spans="10:12">
      <c r="J429" s="1"/>
      <c r="K429" s="1"/>
      <c r="L429" s="1"/>
    </row>
    <row r="430" spans="10:12">
      <c r="J430" s="1"/>
      <c r="K430" s="1"/>
      <c r="L430" s="1"/>
    </row>
    <row r="431" spans="10:12">
      <c r="J431" s="1"/>
      <c r="K431" s="1"/>
      <c r="L431" s="1"/>
    </row>
    <row r="432" spans="10:12">
      <c r="J432" s="1"/>
      <c r="K432" s="1"/>
      <c r="L432" s="1"/>
    </row>
    <row r="433" spans="10:12">
      <c r="J433" s="1"/>
      <c r="K433" s="1"/>
      <c r="L433" s="1"/>
    </row>
    <row r="434" spans="10:12">
      <c r="J434" s="1"/>
      <c r="K434" s="1"/>
      <c r="L434" s="1"/>
    </row>
    <row r="435" spans="10:12">
      <c r="J435" s="1"/>
      <c r="K435" s="1"/>
      <c r="L435" s="1"/>
    </row>
    <row r="436" spans="10:12">
      <c r="J436" s="1"/>
      <c r="K436" s="1"/>
      <c r="L436" s="1"/>
    </row>
    <row r="437" spans="10:12">
      <c r="J437" s="1"/>
      <c r="K437" s="1"/>
      <c r="L437" s="1"/>
    </row>
    <row r="438" spans="10:12">
      <c r="J438" s="1"/>
      <c r="K438" s="1"/>
      <c r="L438" s="1"/>
    </row>
    <row r="439" spans="10:12">
      <c r="J439" s="1"/>
      <c r="K439" s="1"/>
      <c r="L439" s="1"/>
    </row>
    <row r="440" spans="10:12">
      <c r="J440" s="1"/>
      <c r="K440" s="1"/>
      <c r="L440" s="1"/>
    </row>
    <row r="441" spans="10:12">
      <c r="J441" s="1"/>
      <c r="K441" s="1"/>
      <c r="L441" s="1"/>
    </row>
    <row r="442" spans="10:12">
      <c r="J442" s="1"/>
      <c r="K442" s="1"/>
      <c r="L442" s="1"/>
    </row>
    <row r="443" spans="10:12">
      <c r="J443" s="1"/>
      <c r="K443" s="1"/>
      <c r="L443" s="1"/>
    </row>
    <row r="444" spans="10:12">
      <c r="J444" s="1"/>
      <c r="K444" s="1"/>
      <c r="L444" s="1"/>
    </row>
    <row r="445" spans="10:12">
      <c r="J445" s="1"/>
      <c r="K445" s="1"/>
      <c r="L445" s="1"/>
    </row>
    <row r="446" spans="10:12">
      <c r="J446" s="1"/>
      <c r="K446" s="1"/>
      <c r="L446" s="1"/>
    </row>
    <row r="447" spans="10:12">
      <c r="J447" s="1"/>
      <c r="K447" s="1"/>
      <c r="L447" s="1"/>
    </row>
    <row r="448" spans="10:12">
      <c r="J448" s="1"/>
      <c r="K448" s="1"/>
      <c r="L448" s="1"/>
    </row>
    <row r="449" spans="10:12">
      <c r="J449" s="1"/>
      <c r="K449" s="1"/>
      <c r="L449" s="1"/>
    </row>
    <row r="450" spans="10:12">
      <c r="J450" s="1"/>
      <c r="K450" s="1"/>
      <c r="L450" s="1"/>
    </row>
    <row r="451" spans="10:12">
      <c r="J451" s="1"/>
      <c r="K451" s="1"/>
      <c r="L451" s="1"/>
    </row>
    <row r="452" spans="10:12">
      <c r="J452" s="1"/>
      <c r="K452" s="1"/>
      <c r="L452" s="1"/>
    </row>
    <row r="453" spans="10:12">
      <c r="J453" s="1"/>
      <c r="K453" s="1"/>
      <c r="L453" s="1"/>
    </row>
    <row r="454" spans="10:12">
      <c r="J454" s="1"/>
      <c r="K454" s="1"/>
      <c r="L454" s="1"/>
    </row>
    <row r="455" spans="10:12">
      <c r="J455" s="1"/>
      <c r="K455" s="1"/>
      <c r="L455" s="1"/>
    </row>
    <row r="456" spans="10:12">
      <c r="J456" s="1"/>
      <c r="K456" s="1"/>
      <c r="L456" s="1"/>
    </row>
    <row r="457" spans="10:12">
      <c r="J457" s="1"/>
      <c r="K457" s="1"/>
      <c r="L457" s="1"/>
    </row>
    <row r="458" spans="10:12">
      <c r="J458" s="1"/>
      <c r="K458" s="1"/>
      <c r="L458" s="1"/>
    </row>
    <row r="459" spans="10:12">
      <c r="J459" s="1"/>
      <c r="K459" s="1"/>
      <c r="L459" s="1"/>
    </row>
    <row r="460" spans="10:12">
      <c r="J460" s="1"/>
      <c r="K460" s="1"/>
      <c r="L460" s="1"/>
    </row>
    <row r="461" spans="10:12">
      <c r="J461" s="1"/>
      <c r="K461" s="1"/>
      <c r="L461" s="1"/>
    </row>
    <row r="462" spans="10:12">
      <c r="J462" s="1"/>
      <c r="K462" s="1"/>
      <c r="L462" s="1"/>
    </row>
    <row r="463" spans="10:12">
      <c r="J463" s="1"/>
      <c r="K463" s="1"/>
      <c r="L463" s="1"/>
    </row>
    <row r="464" spans="10:12">
      <c r="J464" s="1"/>
      <c r="K464" s="1"/>
      <c r="L464" s="1"/>
    </row>
    <row r="465" spans="10:12">
      <c r="J465" s="1"/>
      <c r="K465" s="1"/>
      <c r="L465" s="1"/>
    </row>
    <row r="466" spans="10:12">
      <c r="J466" s="1"/>
      <c r="K466" s="1"/>
      <c r="L466" s="1"/>
    </row>
    <row r="467" spans="10:12">
      <c r="J467" s="1"/>
      <c r="K467" s="1"/>
      <c r="L467" s="1"/>
    </row>
    <row r="468" spans="10:12">
      <c r="J468" s="1"/>
      <c r="K468" s="1"/>
      <c r="L468" s="1"/>
    </row>
    <row r="469" spans="10:12">
      <c r="J469" s="1"/>
      <c r="K469" s="1"/>
      <c r="L469" s="1"/>
    </row>
    <row r="470" spans="10:12">
      <c r="J470" s="1"/>
      <c r="K470" s="1"/>
      <c r="L470" s="1"/>
    </row>
    <row r="471" spans="10:12">
      <c r="J471" s="1"/>
      <c r="K471" s="1"/>
      <c r="L471" s="1"/>
    </row>
    <row r="472" spans="10:12">
      <c r="J472" s="1"/>
      <c r="K472" s="1"/>
      <c r="L472" s="1"/>
    </row>
    <row r="473" spans="10:12">
      <c r="J473" s="1"/>
      <c r="K473" s="1"/>
      <c r="L473" s="1"/>
    </row>
    <row r="474" spans="10:12">
      <c r="J474" s="1"/>
      <c r="K474" s="1"/>
      <c r="L474" s="1"/>
    </row>
    <row r="475" spans="10:12">
      <c r="J475" s="1"/>
      <c r="K475" s="1"/>
      <c r="L475" s="1"/>
    </row>
    <row r="476" spans="10:12">
      <c r="J476" s="1"/>
      <c r="K476" s="1"/>
      <c r="L476" s="1"/>
    </row>
    <row r="477" spans="10:12">
      <c r="J477" s="1"/>
      <c r="K477" s="1"/>
      <c r="L477" s="1"/>
    </row>
    <row r="478" spans="10:12">
      <c r="J478" s="1"/>
      <c r="K478" s="1"/>
      <c r="L478" s="1"/>
    </row>
    <row r="479" spans="10:12">
      <c r="J479" s="1"/>
      <c r="K479" s="1"/>
      <c r="L479" s="1"/>
    </row>
    <row r="480" spans="10:12">
      <c r="J480" s="1"/>
      <c r="K480" s="1"/>
      <c r="L480" s="1"/>
    </row>
    <row r="481" spans="10:12">
      <c r="J481" s="1"/>
      <c r="K481" s="1"/>
      <c r="L481" s="1"/>
    </row>
    <row r="482" spans="10:12">
      <c r="J482" s="1"/>
      <c r="K482" s="1"/>
      <c r="L482" s="1"/>
    </row>
    <row r="483" spans="10:12">
      <c r="J483" s="1"/>
      <c r="K483" s="1"/>
      <c r="L483" s="1"/>
    </row>
    <row r="484" spans="10:12">
      <c r="J484" s="1"/>
      <c r="K484" s="1"/>
      <c r="L484" s="1"/>
    </row>
    <row r="485" spans="10:12">
      <c r="J485" s="1"/>
      <c r="K485" s="1"/>
      <c r="L485" s="1"/>
    </row>
    <row r="486" spans="10:12">
      <c r="J486" s="1"/>
      <c r="K486" s="1"/>
      <c r="L486" s="1"/>
    </row>
    <row r="487" spans="10:12">
      <c r="J487" s="1"/>
      <c r="K487" s="1"/>
      <c r="L487" s="1"/>
    </row>
    <row r="488" spans="10:12">
      <c r="J488" s="1"/>
      <c r="K488" s="1"/>
      <c r="L488" s="1"/>
    </row>
    <row r="489" spans="10:12">
      <c r="J489" s="1"/>
      <c r="K489" s="1"/>
      <c r="L489" s="1"/>
    </row>
    <row r="490" spans="10:12">
      <c r="J490" s="1"/>
      <c r="K490" s="1"/>
      <c r="L490" s="1"/>
    </row>
    <row r="491" spans="10:12">
      <c r="J491" s="1"/>
      <c r="K491" s="1"/>
      <c r="L491" s="1"/>
    </row>
    <row r="492" spans="10:12">
      <c r="J492" s="1"/>
      <c r="K492" s="1"/>
      <c r="L492" s="1"/>
    </row>
    <row r="493" spans="10:12">
      <c r="J493" s="1"/>
      <c r="K493" s="1"/>
      <c r="L493" s="1"/>
    </row>
    <row r="494" spans="10:12">
      <c r="J494" s="1"/>
      <c r="K494" s="1"/>
      <c r="L494" s="1"/>
    </row>
    <row r="495" spans="10:12">
      <c r="J495" s="1"/>
      <c r="K495" s="1"/>
      <c r="L495" s="1"/>
    </row>
    <row r="496" spans="10:12">
      <c r="J496" s="1"/>
      <c r="K496" s="1"/>
      <c r="L496" s="1"/>
    </row>
    <row r="497" spans="10:12">
      <c r="J497" s="1"/>
      <c r="K497" s="1"/>
      <c r="L497" s="1"/>
    </row>
    <row r="498" spans="10:12">
      <c r="J498" s="1"/>
      <c r="K498" s="1"/>
      <c r="L498" s="1"/>
    </row>
    <row r="499" spans="10:12">
      <c r="J499" s="1"/>
      <c r="K499" s="1"/>
      <c r="L499" s="1"/>
    </row>
    <row r="500" spans="10:12">
      <c r="J500" s="1"/>
      <c r="K500" s="1"/>
      <c r="L500" s="1"/>
    </row>
    <row r="501" spans="10:12">
      <c r="J501" s="1"/>
      <c r="K501" s="1"/>
      <c r="L501" s="1"/>
    </row>
    <row r="502" spans="10:12">
      <c r="J502" s="1"/>
      <c r="K502" s="1"/>
      <c r="L502" s="1"/>
    </row>
    <row r="503" spans="10:12">
      <c r="J503" s="1"/>
      <c r="K503" s="1"/>
      <c r="L503" s="1"/>
    </row>
    <row r="504" spans="10:12">
      <c r="J504" s="1"/>
      <c r="K504" s="1"/>
      <c r="L504" s="1"/>
    </row>
    <row r="505" spans="10:12">
      <c r="J505" s="1"/>
      <c r="K505" s="1"/>
      <c r="L505" s="1"/>
    </row>
    <row r="506" spans="10:12">
      <c r="J506" s="1"/>
      <c r="K506" s="1"/>
      <c r="L506" s="1"/>
    </row>
    <row r="507" spans="10:12">
      <c r="J507" s="1"/>
      <c r="K507" s="1"/>
      <c r="L507" s="1"/>
    </row>
    <row r="508" spans="10:12">
      <c r="J508" s="1"/>
      <c r="K508" s="1"/>
      <c r="L508" s="1"/>
    </row>
    <row r="509" spans="10:12">
      <c r="J509" s="1"/>
      <c r="K509" s="1"/>
      <c r="L509" s="1"/>
    </row>
    <row r="510" spans="10:12">
      <c r="J510" s="1"/>
      <c r="K510" s="1"/>
      <c r="L510" s="1"/>
    </row>
    <row r="511" spans="10:12">
      <c r="J511" s="1"/>
      <c r="K511" s="1"/>
      <c r="L511" s="1"/>
    </row>
    <row r="512" spans="10:12">
      <c r="J512" s="1"/>
      <c r="K512" s="1"/>
      <c r="L512" s="1"/>
    </row>
    <row r="513" spans="10:12">
      <c r="J513" s="1"/>
      <c r="K513" s="1"/>
      <c r="L513" s="1"/>
    </row>
    <row r="514" spans="10:12">
      <c r="J514" s="1"/>
      <c r="K514" s="1"/>
      <c r="L514" s="1"/>
    </row>
    <row r="515" spans="10:12">
      <c r="J515" s="1"/>
      <c r="K515" s="1"/>
      <c r="L515" s="1"/>
    </row>
    <row r="516" spans="10:12">
      <c r="J516" s="1"/>
      <c r="K516" s="1"/>
      <c r="L516" s="1"/>
    </row>
    <row r="517" spans="10:12">
      <c r="J517" s="1"/>
      <c r="K517" s="1"/>
      <c r="L517" s="1"/>
    </row>
    <row r="518" spans="10:12">
      <c r="J518" s="1"/>
      <c r="K518" s="1"/>
      <c r="L518" s="1"/>
    </row>
    <row r="519" spans="10:12">
      <c r="J519" s="1"/>
      <c r="K519" s="1"/>
      <c r="L519" s="1"/>
    </row>
    <row r="520" spans="10:12">
      <c r="J520" s="1"/>
      <c r="K520" s="1"/>
      <c r="L520" s="1"/>
    </row>
    <row r="521" spans="10:12">
      <c r="J521" s="1"/>
      <c r="K521" s="1"/>
      <c r="L521" s="1"/>
    </row>
    <row r="522" spans="10:12">
      <c r="J522" s="1"/>
      <c r="K522" s="1"/>
      <c r="L522" s="1"/>
    </row>
    <row r="523" spans="10:12">
      <c r="J523" s="1"/>
      <c r="K523" s="1"/>
      <c r="L523" s="1"/>
    </row>
    <row r="524" spans="10:12">
      <c r="J524" s="1"/>
      <c r="K524" s="1"/>
      <c r="L524" s="1"/>
    </row>
    <row r="525" spans="10:12">
      <c r="J525" s="1"/>
      <c r="K525" s="1"/>
      <c r="L525" s="1"/>
    </row>
    <row r="526" spans="10:12">
      <c r="J526" s="1"/>
      <c r="K526" s="1"/>
      <c r="L526" s="1"/>
    </row>
    <row r="527" spans="10:12">
      <c r="J527" s="1"/>
      <c r="K527" s="1"/>
      <c r="L527" s="1"/>
    </row>
    <row r="528" spans="10:12">
      <c r="J528" s="1"/>
      <c r="K528" s="1"/>
      <c r="L528" s="1"/>
    </row>
    <row r="529" spans="10:12">
      <c r="J529" s="1"/>
      <c r="K529" s="1"/>
      <c r="L529" s="1"/>
    </row>
    <row r="530" spans="10:12">
      <c r="J530" s="1"/>
      <c r="K530" s="1"/>
      <c r="L530" s="1"/>
    </row>
    <row r="531" spans="10:12">
      <c r="J531" s="1"/>
      <c r="K531" s="1"/>
      <c r="L531" s="1"/>
    </row>
    <row r="532" spans="10:12">
      <c r="J532" s="1"/>
      <c r="K532" s="1"/>
      <c r="L532" s="1"/>
    </row>
    <row r="533" spans="10:12">
      <c r="J533" s="1"/>
      <c r="K533" s="1"/>
      <c r="L533" s="1"/>
    </row>
    <row r="534" spans="10:12">
      <c r="J534" s="1"/>
      <c r="K534" s="1"/>
      <c r="L534" s="1"/>
    </row>
    <row r="535" spans="10:12">
      <c r="J535" s="1"/>
      <c r="K535" s="1"/>
      <c r="L535" s="1"/>
    </row>
    <row r="536" spans="10:12">
      <c r="J536" s="1"/>
      <c r="K536" s="1"/>
      <c r="L536" s="1"/>
    </row>
    <row r="537" spans="10:12">
      <c r="J537" s="1"/>
      <c r="K537" s="1"/>
      <c r="L537" s="1"/>
    </row>
    <row r="538" spans="10:12">
      <c r="J538" s="1"/>
      <c r="K538" s="1"/>
      <c r="L538" s="1"/>
    </row>
    <row r="539" spans="10:12">
      <c r="J539" s="1"/>
      <c r="K539" s="1"/>
      <c r="L539" s="1"/>
    </row>
    <row r="540" spans="10:12">
      <c r="J540" s="1"/>
      <c r="K540" s="1"/>
      <c r="L540" s="1"/>
    </row>
    <row r="541" spans="10:12">
      <c r="J541" s="1"/>
      <c r="K541" s="1"/>
      <c r="L541" s="1"/>
    </row>
    <row r="542" spans="10:12">
      <c r="J542" s="1"/>
      <c r="K542" s="1"/>
      <c r="L542" s="1"/>
    </row>
    <row r="543" spans="10:12">
      <c r="J543" s="1"/>
      <c r="K543" s="1"/>
      <c r="L543" s="1"/>
    </row>
    <row r="544" spans="10:12">
      <c r="J544" s="1"/>
      <c r="K544" s="1"/>
      <c r="L544" s="1"/>
    </row>
    <row r="545" spans="10:12">
      <c r="J545" s="1"/>
      <c r="K545" s="1"/>
      <c r="L545" s="1"/>
    </row>
    <row r="546" spans="10:12">
      <c r="J546" s="1"/>
      <c r="K546" s="1"/>
      <c r="L546" s="1"/>
    </row>
    <row r="547" spans="10:12">
      <c r="J547" s="1"/>
      <c r="K547" s="1"/>
      <c r="L547" s="1"/>
    </row>
    <row r="548" spans="10:12">
      <c r="J548" s="1"/>
      <c r="K548" s="1"/>
      <c r="L548" s="1"/>
    </row>
    <row r="549" spans="10:12">
      <c r="J549" s="1"/>
      <c r="K549" s="1"/>
      <c r="L549" s="1"/>
    </row>
    <row r="550" spans="10:12">
      <c r="J550" s="1"/>
      <c r="K550" s="1"/>
      <c r="L550" s="1"/>
    </row>
    <row r="551" spans="10:12">
      <c r="J551" s="1"/>
      <c r="K551" s="1"/>
      <c r="L551" s="1"/>
    </row>
    <row r="552" spans="10:12">
      <c r="J552" s="1"/>
      <c r="K552" s="1"/>
      <c r="L552" s="1"/>
    </row>
    <row r="553" spans="10:12">
      <c r="J553" s="1"/>
      <c r="K553" s="1"/>
      <c r="L553" s="1"/>
    </row>
    <row r="554" spans="10:12">
      <c r="J554" s="1"/>
      <c r="K554" s="1"/>
      <c r="L554" s="1"/>
    </row>
    <row r="555" spans="10:12">
      <c r="J555" s="1"/>
      <c r="K555" s="1"/>
      <c r="L555" s="1"/>
    </row>
    <row r="556" spans="10:12">
      <c r="J556" s="1"/>
      <c r="K556" s="1"/>
      <c r="L556" s="1"/>
    </row>
    <row r="557" spans="10:12">
      <c r="J557" s="1"/>
      <c r="K557" s="1"/>
      <c r="L557" s="1"/>
    </row>
    <row r="558" spans="10:12">
      <c r="J558" s="1"/>
      <c r="K558" s="1"/>
      <c r="L558" s="1"/>
    </row>
    <row r="559" spans="10:12">
      <c r="J559" s="1"/>
      <c r="K559" s="1"/>
      <c r="L559" s="1"/>
    </row>
    <row r="560" spans="10:12">
      <c r="J560" s="1"/>
      <c r="K560" s="1"/>
      <c r="L560" s="1"/>
    </row>
    <row r="561" spans="10:12">
      <c r="J561" s="1"/>
      <c r="K561" s="1"/>
      <c r="L561" s="1"/>
    </row>
    <row r="562" spans="10:12">
      <c r="J562" s="1"/>
      <c r="K562" s="1"/>
      <c r="L562" s="1"/>
    </row>
    <row r="563" spans="10:12">
      <c r="J563" s="1"/>
      <c r="K563" s="1"/>
      <c r="L563" s="1"/>
    </row>
    <row r="564" spans="10:12">
      <c r="J564" s="1"/>
      <c r="K564" s="1"/>
      <c r="L564" s="1"/>
    </row>
    <row r="565" spans="10:12">
      <c r="J565" s="1"/>
      <c r="K565" s="1"/>
      <c r="L565" s="1"/>
    </row>
    <row r="566" spans="10:12">
      <c r="J566" s="1"/>
      <c r="K566" s="1"/>
      <c r="L566" s="1"/>
    </row>
    <row r="567" spans="10:12">
      <c r="J567" s="1"/>
      <c r="K567" s="1"/>
      <c r="L567" s="1"/>
    </row>
    <row r="568" spans="10:12">
      <c r="J568" s="1"/>
      <c r="K568" s="1"/>
      <c r="L568" s="1"/>
    </row>
    <row r="569" spans="10:12">
      <c r="J569" s="1"/>
      <c r="K569" s="1"/>
      <c r="L569" s="1"/>
    </row>
    <row r="570" spans="10:12">
      <c r="J570" s="1"/>
      <c r="K570" s="1"/>
      <c r="L570" s="1"/>
    </row>
    <row r="571" spans="10:12">
      <c r="J571" s="1"/>
      <c r="K571" s="1"/>
      <c r="L571" s="1"/>
    </row>
    <row r="572" spans="10:12">
      <c r="J572" s="1"/>
      <c r="K572" s="1"/>
      <c r="L572" s="1"/>
    </row>
    <row r="573" spans="10:12">
      <c r="J573" s="1"/>
      <c r="K573" s="1"/>
      <c r="L573" s="1"/>
    </row>
    <row r="574" spans="10:12">
      <c r="J574" s="1"/>
      <c r="K574" s="1"/>
      <c r="L574" s="1"/>
    </row>
    <row r="575" spans="10:12">
      <c r="J575" s="1"/>
      <c r="K575" s="1"/>
      <c r="L575" s="1"/>
    </row>
    <row r="576" spans="10:12">
      <c r="J576" s="1"/>
      <c r="K576" s="1"/>
      <c r="L576" s="1"/>
    </row>
    <row r="577" spans="10:12">
      <c r="J577" s="1"/>
      <c r="K577" s="1"/>
      <c r="L577" s="1"/>
    </row>
    <row r="578" spans="10:12">
      <c r="J578" s="1"/>
      <c r="K578" s="1"/>
      <c r="L578" s="1"/>
    </row>
    <row r="579" spans="10:12">
      <c r="J579" s="1"/>
      <c r="K579" s="1"/>
      <c r="L579" s="1"/>
    </row>
    <row r="580" spans="10:12">
      <c r="J580" s="1"/>
      <c r="K580" s="1"/>
      <c r="L580" s="1"/>
    </row>
    <row r="581" spans="10:12">
      <c r="J581" s="1"/>
      <c r="K581" s="1"/>
      <c r="L581" s="1"/>
    </row>
    <row r="582" spans="10:12">
      <c r="J582" s="1"/>
      <c r="K582" s="1"/>
      <c r="L582" s="1"/>
    </row>
    <row r="583" spans="10:12">
      <c r="J583" s="1"/>
      <c r="K583" s="1"/>
      <c r="L583" s="1"/>
    </row>
    <row r="584" spans="10:12">
      <c r="J584" s="1"/>
      <c r="K584" s="1"/>
      <c r="L584" s="1"/>
    </row>
    <row r="585" spans="10:12">
      <c r="J585" s="1"/>
      <c r="K585" s="1"/>
      <c r="L585" s="1"/>
    </row>
    <row r="586" spans="10:12">
      <c r="J586" s="1"/>
      <c r="K586" s="1"/>
      <c r="L586" s="1"/>
    </row>
    <row r="587" spans="10:12">
      <c r="J587" s="1"/>
      <c r="K587" s="1"/>
      <c r="L587" s="1"/>
    </row>
    <row r="588" spans="10:12">
      <c r="J588" s="1"/>
      <c r="K588" s="1"/>
      <c r="L588" s="1"/>
    </row>
    <row r="589" spans="10:12">
      <c r="J589" s="1"/>
      <c r="K589" s="1"/>
      <c r="L589" s="1"/>
    </row>
    <row r="590" spans="10:12">
      <c r="J590" s="1"/>
      <c r="K590" s="1"/>
      <c r="L590" s="1"/>
    </row>
    <row r="591" spans="10:12">
      <c r="J591" s="1"/>
      <c r="K591" s="1"/>
      <c r="L591" s="1"/>
    </row>
    <row r="592" spans="10:12">
      <c r="J592" s="1"/>
      <c r="K592" s="1"/>
      <c r="L592" s="1"/>
    </row>
    <row r="593" spans="10:12">
      <c r="J593" s="1"/>
      <c r="K593" s="1"/>
      <c r="L593" s="1"/>
    </row>
    <row r="594" spans="10:12">
      <c r="J594" s="1"/>
      <c r="K594" s="1"/>
      <c r="L594" s="1"/>
    </row>
    <row r="595" spans="10:12">
      <c r="J595" s="1"/>
      <c r="K595" s="1"/>
      <c r="L595" s="1"/>
    </row>
    <row r="596" spans="10:12">
      <c r="J596" s="1"/>
      <c r="K596" s="1"/>
      <c r="L596" s="1"/>
    </row>
    <row r="597" spans="10:12">
      <c r="J597" s="1"/>
      <c r="K597" s="1"/>
      <c r="L597" s="1"/>
    </row>
    <row r="598" spans="10:12">
      <c r="J598" s="1"/>
      <c r="K598" s="1"/>
      <c r="L598" s="1"/>
    </row>
    <row r="599" spans="10:12">
      <c r="J599" s="1"/>
      <c r="K599" s="1"/>
      <c r="L599" s="1"/>
    </row>
    <row r="600" spans="10:12">
      <c r="J600" s="1"/>
      <c r="K600" s="1"/>
      <c r="L600" s="1"/>
    </row>
    <row r="601" spans="10:12">
      <c r="J601" s="1"/>
      <c r="K601" s="1"/>
      <c r="L601" s="1"/>
    </row>
    <row r="602" spans="10:12">
      <c r="J602" s="1"/>
      <c r="K602" s="1"/>
      <c r="L602" s="1"/>
    </row>
    <row r="603" spans="10:12">
      <c r="J603" s="1"/>
      <c r="K603" s="1"/>
      <c r="L603" s="1"/>
    </row>
    <row r="604" spans="10:12">
      <c r="J604" s="1"/>
      <c r="K604" s="1"/>
      <c r="L604" s="1"/>
    </row>
    <row r="605" spans="10:12">
      <c r="J605" s="1"/>
      <c r="K605" s="1"/>
      <c r="L605" s="1"/>
    </row>
    <row r="606" spans="10:12">
      <c r="J606" s="1"/>
      <c r="K606" s="1"/>
      <c r="L606" s="1"/>
    </row>
    <row r="607" spans="10:12">
      <c r="J607" s="1"/>
      <c r="K607" s="1"/>
      <c r="L607" s="1"/>
    </row>
    <row r="608" spans="10:12">
      <c r="J608" s="1"/>
      <c r="K608" s="1"/>
      <c r="L608" s="1"/>
    </row>
    <row r="609" spans="10:12">
      <c r="J609" s="1"/>
      <c r="K609" s="1"/>
      <c r="L609" s="1"/>
    </row>
    <row r="610" spans="10:12">
      <c r="J610" s="1"/>
      <c r="K610" s="1"/>
      <c r="L610" s="1"/>
    </row>
    <row r="611" spans="10:12">
      <c r="J611" s="1"/>
      <c r="K611" s="1"/>
      <c r="L611" s="1"/>
    </row>
    <row r="612" spans="10:12">
      <c r="J612" s="1"/>
      <c r="K612" s="1"/>
      <c r="L612" s="1"/>
    </row>
    <row r="613" spans="10:12">
      <c r="J613" s="1"/>
      <c r="K613" s="1"/>
      <c r="L613" s="1"/>
    </row>
    <row r="614" spans="10:12">
      <c r="J614" s="1"/>
      <c r="K614" s="1"/>
      <c r="L614" s="1"/>
    </row>
    <row r="615" spans="10:12">
      <c r="J615" s="1"/>
      <c r="K615" s="1"/>
      <c r="L615" s="1"/>
    </row>
    <row r="616" spans="10:12">
      <c r="J616" s="1"/>
      <c r="K616" s="1"/>
      <c r="L616" s="1"/>
    </row>
    <row r="617" spans="10:12">
      <c r="J617" s="1"/>
      <c r="K617" s="1"/>
      <c r="L617" s="1"/>
    </row>
    <row r="618" spans="10:12">
      <c r="J618" s="1"/>
      <c r="K618" s="1"/>
      <c r="L618" s="1"/>
    </row>
    <row r="619" spans="10:12">
      <c r="J619" s="1"/>
      <c r="K619" s="1"/>
      <c r="L619" s="1"/>
    </row>
    <row r="620" spans="10:12">
      <c r="J620" s="1"/>
      <c r="K620" s="1"/>
      <c r="L620" s="1"/>
    </row>
    <row r="621" spans="10:12">
      <c r="J621" s="1"/>
      <c r="K621" s="1"/>
      <c r="L621" s="1"/>
    </row>
    <row r="622" spans="10:12">
      <c r="J622" s="1"/>
      <c r="K622" s="1"/>
      <c r="L622" s="1"/>
    </row>
    <row r="623" spans="10:12">
      <c r="J623" s="1"/>
      <c r="K623" s="1"/>
      <c r="L623" s="1"/>
    </row>
    <row r="624" spans="10:12">
      <c r="J624" s="1"/>
      <c r="K624" s="1"/>
      <c r="L624" s="1"/>
    </row>
    <row r="625" spans="10:12">
      <c r="J625" s="1"/>
      <c r="K625" s="1"/>
      <c r="L625" s="1"/>
    </row>
    <row r="626" spans="10:12">
      <c r="J626" s="1"/>
      <c r="K626" s="1"/>
      <c r="L626" s="1"/>
    </row>
    <row r="627" spans="10:12">
      <c r="J627" s="1"/>
      <c r="K627" s="1"/>
      <c r="L627" s="1"/>
    </row>
    <row r="628" spans="10:12">
      <c r="J628" s="1"/>
      <c r="K628" s="1"/>
      <c r="L628" s="1"/>
    </row>
    <row r="629" spans="10:12">
      <c r="J629" s="1"/>
      <c r="K629" s="1"/>
      <c r="L629" s="1"/>
    </row>
    <row r="630" spans="10:12">
      <c r="J630" s="1"/>
      <c r="K630" s="1"/>
      <c r="L630" s="1"/>
    </row>
    <row r="631" spans="10:12">
      <c r="J631" s="1"/>
      <c r="K631" s="1"/>
      <c r="L631" s="1"/>
    </row>
    <row r="632" spans="10:12">
      <c r="J632" s="1"/>
      <c r="K632" s="1"/>
      <c r="L632" s="1"/>
    </row>
    <row r="633" spans="10:12">
      <c r="J633" s="1"/>
      <c r="K633" s="1"/>
      <c r="L633" s="1"/>
    </row>
    <row r="634" spans="10:12">
      <c r="J634" s="1"/>
      <c r="K634" s="1"/>
      <c r="L634" s="1"/>
    </row>
    <row r="635" spans="10:12">
      <c r="J635" s="1"/>
      <c r="K635" s="1"/>
      <c r="L635" s="1"/>
    </row>
    <row r="636" spans="10:12">
      <c r="J636" s="1"/>
      <c r="K636" s="1"/>
      <c r="L636" s="1"/>
    </row>
    <row r="637" spans="10:12">
      <c r="J637" s="1"/>
      <c r="K637" s="1"/>
      <c r="L637" s="1"/>
    </row>
    <row r="638" spans="10:12">
      <c r="J638" s="1"/>
      <c r="K638" s="1"/>
      <c r="L638" s="1"/>
    </row>
    <row r="639" spans="10:12">
      <c r="J639" s="1"/>
      <c r="K639" s="1"/>
      <c r="L639" s="1"/>
    </row>
    <row r="640" spans="10:12">
      <c r="J640" s="1"/>
      <c r="K640" s="1"/>
      <c r="L640" s="1"/>
    </row>
    <row r="641" spans="10:12">
      <c r="J641" s="1"/>
      <c r="K641" s="1"/>
      <c r="L641" s="1"/>
    </row>
    <row r="642" spans="10:12">
      <c r="J642" s="1"/>
      <c r="K642" s="1"/>
      <c r="L642" s="1"/>
    </row>
    <row r="643" spans="10:12">
      <c r="J643" s="1"/>
      <c r="K643" s="1"/>
      <c r="L643" s="1"/>
    </row>
    <row r="644" spans="10:12">
      <c r="J644" s="1"/>
      <c r="K644" s="1"/>
      <c r="L644" s="1"/>
    </row>
    <row r="645" spans="10:12">
      <c r="J645" s="1"/>
      <c r="K645" s="1"/>
      <c r="L645" s="1"/>
    </row>
    <row r="646" spans="10:12">
      <c r="J646" s="1"/>
      <c r="K646" s="1"/>
      <c r="L646" s="1"/>
    </row>
    <row r="647" spans="10:12">
      <c r="J647" s="1"/>
      <c r="K647" s="1"/>
      <c r="L647" s="1"/>
    </row>
    <row r="648" spans="10:12">
      <c r="J648" s="1"/>
      <c r="K648" s="1"/>
      <c r="L648" s="1"/>
    </row>
    <row r="649" spans="10:12">
      <c r="J649" s="1"/>
      <c r="K649" s="1"/>
      <c r="L649" s="1"/>
    </row>
    <row r="650" spans="10:12">
      <c r="J650" s="1"/>
      <c r="K650" s="1"/>
      <c r="L650" s="1"/>
    </row>
    <row r="651" spans="10:12">
      <c r="J651" s="1"/>
      <c r="K651" s="1"/>
      <c r="L651" s="1"/>
    </row>
    <row r="652" spans="10:12">
      <c r="J652" s="1"/>
      <c r="K652" s="1"/>
      <c r="L652" s="1"/>
    </row>
    <row r="653" spans="10:12">
      <c r="J653" s="1"/>
      <c r="K653" s="1"/>
      <c r="L653" s="1"/>
    </row>
    <row r="654" spans="10:12">
      <c r="J654" s="1"/>
      <c r="K654" s="1"/>
      <c r="L654" s="1"/>
    </row>
    <row r="655" spans="10:12">
      <c r="J655" s="1"/>
      <c r="K655" s="1"/>
      <c r="L655" s="1"/>
    </row>
    <row r="656" spans="10:12">
      <c r="J656" s="1"/>
      <c r="K656" s="1"/>
      <c r="L656" s="1"/>
    </row>
    <row r="657" spans="10:12">
      <c r="J657" s="1"/>
      <c r="K657" s="1"/>
      <c r="L657" s="1"/>
    </row>
    <row r="658" spans="10:12">
      <c r="J658" s="1"/>
      <c r="K658" s="1"/>
      <c r="L658" s="1"/>
    </row>
    <row r="659" spans="10:12">
      <c r="J659" s="1"/>
      <c r="K659" s="1"/>
      <c r="L659" s="1"/>
    </row>
    <row r="660" spans="10:12">
      <c r="J660" s="1"/>
      <c r="K660" s="1"/>
      <c r="L660" s="1"/>
    </row>
    <row r="661" spans="10:12">
      <c r="J661" s="1"/>
      <c r="K661" s="1"/>
      <c r="L661" s="1"/>
    </row>
    <row r="662" spans="10:12">
      <c r="J662" s="1"/>
      <c r="K662" s="1"/>
      <c r="L662" s="1"/>
    </row>
    <row r="663" spans="10:12">
      <c r="J663" s="1"/>
      <c r="K663" s="1"/>
      <c r="L663" s="1"/>
    </row>
    <row r="664" spans="10:12">
      <c r="J664" s="1"/>
      <c r="K664" s="1"/>
      <c r="L664" s="1"/>
    </row>
    <row r="665" spans="10:12">
      <c r="J665" s="1"/>
      <c r="K665" s="1"/>
      <c r="L665" s="1"/>
    </row>
    <row r="666" spans="10:12">
      <c r="J666" s="1"/>
      <c r="K666" s="1"/>
      <c r="L666" s="1"/>
    </row>
    <row r="667" spans="10:12">
      <c r="J667" s="1"/>
      <c r="K667" s="1"/>
      <c r="L667" s="1"/>
    </row>
    <row r="668" spans="10:12">
      <c r="J668" s="1"/>
      <c r="K668" s="1"/>
      <c r="L668" s="1"/>
    </row>
    <row r="669" spans="10:12">
      <c r="J669" s="1"/>
      <c r="K669" s="1"/>
      <c r="L669" s="1"/>
    </row>
    <row r="670" spans="10:12">
      <c r="J670" s="1"/>
      <c r="K670" s="1"/>
      <c r="L670" s="1"/>
    </row>
    <row r="671" spans="10:12">
      <c r="J671" s="1"/>
      <c r="K671" s="1"/>
      <c r="L671" s="1"/>
    </row>
    <row r="672" spans="10:12">
      <c r="J672" s="1"/>
      <c r="K672" s="1"/>
      <c r="L672" s="1"/>
    </row>
    <row r="673" spans="10:12">
      <c r="J673" s="1"/>
      <c r="K673" s="1"/>
      <c r="L673" s="1"/>
    </row>
    <row r="674" spans="10:12">
      <c r="J674" s="1"/>
      <c r="K674" s="1"/>
      <c r="L674" s="1"/>
    </row>
    <row r="675" spans="10:12">
      <c r="J675" s="1"/>
      <c r="K675" s="1"/>
      <c r="L675" s="1"/>
    </row>
    <row r="676" spans="10:12">
      <c r="J676" s="1"/>
      <c r="K676" s="1"/>
      <c r="L676" s="1"/>
    </row>
    <row r="677" spans="10:12">
      <c r="J677" s="1"/>
      <c r="K677" s="1"/>
      <c r="L677" s="1"/>
    </row>
    <row r="678" spans="10:12">
      <c r="J678" s="1"/>
      <c r="K678" s="1"/>
      <c r="L678" s="1"/>
    </row>
    <row r="679" spans="10:12">
      <c r="J679" s="1"/>
      <c r="K679" s="1"/>
      <c r="L679" s="1"/>
    </row>
    <row r="680" spans="10:12">
      <c r="J680" s="1"/>
      <c r="K680" s="1"/>
      <c r="L680" s="1"/>
    </row>
    <row r="681" spans="10:12">
      <c r="J681" s="1"/>
      <c r="K681" s="1"/>
      <c r="L681" s="1"/>
    </row>
    <row r="682" spans="10:12">
      <c r="J682" s="1"/>
      <c r="K682" s="1"/>
      <c r="L682" s="1"/>
    </row>
    <row r="683" spans="10:12">
      <c r="J683" s="1"/>
      <c r="K683" s="1"/>
      <c r="L683" s="1"/>
    </row>
    <row r="684" spans="10:12">
      <c r="J684" s="1"/>
      <c r="K684" s="1"/>
      <c r="L684" s="1"/>
    </row>
    <row r="685" spans="10:12">
      <c r="J685" s="1"/>
      <c r="K685" s="1"/>
      <c r="L685" s="1"/>
    </row>
    <row r="686" spans="10:12">
      <c r="J686" s="1"/>
      <c r="K686" s="1"/>
      <c r="L686" s="1"/>
    </row>
    <row r="687" spans="10:12">
      <c r="J687" s="1"/>
      <c r="K687" s="1"/>
      <c r="L687" s="1"/>
    </row>
    <row r="688" spans="10:12">
      <c r="J688" s="1"/>
      <c r="K688" s="1"/>
      <c r="L688" s="1"/>
    </row>
    <row r="689" spans="10:12">
      <c r="J689" s="1"/>
      <c r="K689" s="1"/>
      <c r="L689" s="1"/>
    </row>
    <row r="690" spans="10:12">
      <c r="J690" s="1"/>
      <c r="K690" s="1"/>
      <c r="L690" s="1"/>
    </row>
    <row r="691" spans="10:12">
      <c r="J691" s="1"/>
      <c r="K691" s="1"/>
      <c r="L691" s="1"/>
    </row>
    <row r="692" spans="10:12">
      <c r="J692" s="1"/>
      <c r="K692" s="1"/>
      <c r="L692" s="1"/>
    </row>
    <row r="693" spans="10:12">
      <c r="J693" s="1"/>
      <c r="K693" s="1"/>
      <c r="L693" s="1"/>
    </row>
    <row r="694" spans="10:12">
      <c r="J694" s="1"/>
      <c r="K694" s="1"/>
      <c r="L694" s="1"/>
    </row>
    <row r="695" spans="10:12">
      <c r="J695" s="1"/>
      <c r="K695" s="1"/>
      <c r="L695" s="1"/>
    </row>
    <row r="696" spans="10:12">
      <c r="J696" s="1"/>
      <c r="K696" s="1"/>
      <c r="L696" s="1"/>
    </row>
    <row r="697" spans="10:12">
      <c r="J697" s="1"/>
      <c r="K697" s="1"/>
      <c r="L697" s="1"/>
    </row>
    <row r="698" spans="10:12">
      <c r="J698" s="1"/>
      <c r="K698" s="1"/>
      <c r="L698" s="1"/>
    </row>
    <row r="699" spans="10:12">
      <c r="J699" s="1"/>
      <c r="K699" s="1"/>
      <c r="L699" s="1"/>
    </row>
    <row r="700" spans="10:12">
      <c r="J700" s="1"/>
      <c r="K700" s="1"/>
      <c r="L700" s="1"/>
    </row>
    <row r="701" spans="10:12">
      <c r="J701" s="1"/>
      <c r="K701" s="1"/>
      <c r="L701" s="1"/>
    </row>
    <row r="702" spans="10:12">
      <c r="J702" s="1"/>
      <c r="K702" s="1"/>
      <c r="L702" s="1"/>
    </row>
    <row r="703" spans="10:12">
      <c r="J703" s="1"/>
      <c r="K703" s="1"/>
      <c r="L703" s="1"/>
    </row>
    <row r="704" spans="10:12">
      <c r="J704" s="1"/>
      <c r="K704" s="1"/>
      <c r="L704" s="1"/>
    </row>
    <row r="705" spans="10:12">
      <c r="J705" s="1"/>
      <c r="K705" s="1"/>
      <c r="L705" s="1"/>
    </row>
    <row r="706" spans="10:12">
      <c r="J706" s="1"/>
      <c r="K706" s="1"/>
      <c r="L706" s="1"/>
    </row>
    <row r="707" spans="10:12">
      <c r="J707" s="1"/>
      <c r="K707" s="1"/>
      <c r="L707" s="1"/>
    </row>
    <row r="708" spans="10:12">
      <c r="J708" s="1"/>
      <c r="K708" s="1"/>
      <c r="L708" s="1"/>
    </row>
    <row r="709" spans="10:12">
      <c r="J709" s="1"/>
      <c r="K709" s="1"/>
      <c r="L709" s="1"/>
    </row>
    <row r="710" spans="10:12">
      <c r="J710" s="1"/>
      <c r="K710" s="1"/>
      <c r="L710" s="1"/>
    </row>
    <row r="711" spans="10:12">
      <c r="J711" s="1"/>
      <c r="K711" s="1"/>
      <c r="L711" s="1"/>
    </row>
    <row r="712" spans="10:12">
      <c r="J712" s="1"/>
      <c r="K712" s="1"/>
      <c r="L712" s="1"/>
    </row>
    <row r="713" spans="10:12">
      <c r="J713" s="1"/>
      <c r="K713" s="1"/>
      <c r="L713" s="1"/>
    </row>
    <row r="714" spans="10:12">
      <c r="J714" s="1"/>
      <c r="K714" s="1"/>
      <c r="L714" s="1"/>
    </row>
    <row r="715" spans="10:12">
      <c r="J715" s="1"/>
      <c r="K715" s="1"/>
      <c r="L715" s="1"/>
    </row>
    <row r="716" spans="10:12">
      <c r="J716" s="1"/>
      <c r="K716" s="1"/>
      <c r="L716" s="1"/>
    </row>
    <row r="717" spans="10:12">
      <c r="J717" s="1"/>
      <c r="K717" s="1"/>
      <c r="L717" s="1"/>
    </row>
    <row r="718" spans="10:12">
      <c r="J718" s="1"/>
      <c r="K718" s="1"/>
      <c r="L718" s="1"/>
    </row>
    <row r="719" spans="10:12">
      <c r="J719" s="1"/>
      <c r="K719" s="1"/>
      <c r="L719" s="1"/>
    </row>
    <row r="720" spans="10:12">
      <c r="J720" s="1"/>
      <c r="K720" s="1"/>
      <c r="L720" s="1"/>
    </row>
    <row r="721" spans="10:12">
      <c r="J721" s="1"/>
      <c r="K721" s="1"/>
      <c r="L721" s="1"/>
    </row>
    <row r="722" spans="10:12">
      <c r="J722" s="1"/>
      <c r="K722" s="1"/>
      <c r="L722" s="1"/>
    </row>
    <row r="723" spans="10:12">
      <c r="J723" s="1"/>
      <c r="K723" s="1"/>
      <c r="L723" s="1"/>
    </row>
    <row r="724" spans="10:12">
      <c r="J724" s="1"/>
      <c r="K724" s="1"/>
      <c r="L724" s="1"/>
    </row>
    <row r="725" spans="10:12">
      <c r="J725" s="1"/>
      <c r="K725" s="1"/>
      <c r="L725" s="1"/>
    </row>
    <row r="726" spans="10:12">
      <c r="J726" s="1"/>
      <c r="K726" s="1"/>
      <c r="L726" s="1"/>
    </row>
    <row r="727" spans="10:12">
      <c r="J727" s="1"/>
      <c r="K727" s="1"/>
      <c r="L727" s="1"/>
    </row>
    <row r="728" spans="10:12">
      <c r="J728" s="1"/>
      <c r="K728" s="1"/>
      <c r="L728" s="1"/>
    </row>
    <row r="729" spans="10:12">
      <c r="J729" s="1"/>
      <c r="K729" s="1"/>
      <c r="L729" s="1"/>
    </row>
    <row r="730" spans="10:12">
      <c r="J730" s="1"/>
      <c r="K730" s="1"/>
      <c r="L730" s="1"/>
    </row>
    <row r="731" spans="10:12">
      <c r="J731" s="1"/>
      <c r="K731" s="1"/>
      <c r="L731" s="1"/>
    </row>
    <row r="732" spans="10:12">
      <c r="J732" s="1"/>
      <c r="K732" s="1"/>
      <c r="L732" s="1"/>
    </row>
    <row r="733" spans="10:12">
      <c r="J733" s="1"/>
      <c r="K733" s="1"/>
      <c r="L733" s="1"/>
    </row>
    <row r="734" spans="10:12">
      <c r="J734" s="1"/>
      <c r="K734" s="1"/>
      <c r="L734" s="1"/>
    </row>
    <row r="735" spans="10:12">
      <c r="J735" s="1"/>
      <c r="K735" s="1"/>
      <c r="L735" s="1"/>
    </row>
    <row r="736" spans="10:12">
      <c r="J736" s="1"/>
      <c r="K736" s="1"/>
      <c r="L736" s="1"/>
    </row>
    <row r="737" spans="10:12">
      <c r="J737" s="1"/>
      <c r="K737" s="1"/>
      <c r="L737" s="1"/>
    </row>
    <row r="738" spans="10:12">
      <c r="J738" s="1"/>
      <c r="K738" s="1"/>
      <c r="L738" s="1"/>
    </row>
    <row r="739" spans="10:12">
      <c r="J739" s="1"/>
      <c r="K739" s="1"/>
      <c r="L739" s="1"/>
    </row>
    <row r="740" spans="10:12">
      <c r="J740" s="1"/>
      <c r="K740" s="1"/>
      <c r="L740" s="1"/>
    </row>
    <row r="741" spans="10:12">
      <c r="J741" s="1"/>
      <c r="K741" s="1"/>
      <c r="L741" s="1"/>
    </row>
    <row r="742" spans="10:12">
      <c r="J742" s="1"/>
      <c r="K742" s="1"/>
      <c r="L742" s="1"/>
    </row>
    <row r="743" spans="10:12">
      <c r="J743" s="1"/>
      <c r="K743" s="1"/>
      <c r="L743" s="1"/>
    </row>
    <row r="744" spans="10:12">
      <c r="J744" s="1"/>
      <c r="K744" s="1"/>
      <c r="L744" s="1"/>
    </row>
    <row r="745" spans="10:12">
      <c r="J745" s="1"/>
      <c r="K745" s="1"/>
      <c r="L745" s="1"/>
    </row>
    <row r="746" spans="10:12">
      <c r="J746" s="1"/>
      <c r="K746" s="1"/>
      <c r="L746" s="1"/>
    </row>
    <row r="747" spans="10:12">
      <c r="J747" s="1"/>
      <c r="K747" s="1"/>
      <c r="L747" s="1"/>
    </row>
    <row r="748" spans="10:12">
      <c r="J748" s="1"/>
      <c r="K748" s="1"/>
      <c r="L748" s="1"/>
    </row>
    <row r="749" spans="10:12">
      <c r="J749" s="1"/>
      <c r="K749" s="1"/>
      <c r="L749" s="1"/>
    </row>
    <row r="750" spans="10:12">
      <c r="J750" s="1"/>
      <c r="K750" s="1"/>
      <c r="L750" s="1"/>
    </row>
    <row r="751" spans="10:12">
      <c r="J751" s="1"/>
      <c r="K751" s="1"/>
      <c r="L751" s="1"/>
    </row>
    <row r="752" spans="10:12">
      <c r="J752" s="1"/>
      <c r="K752" s="1"/>
      <c r="L752" s="1"/>
    </row>
    <row r="753" spans="10:12">
      <c r="J753" s="1"/>
      <c r="K753" s="1"/>
      <c r="L753" s="1"/>
    </row>
    <row r="754" spans="10:12">
      <c r="J754" s="1"/>
      <c r="K754" s="1"/>
      <c r="L754" s="1"/>
    </row>
    <row r="755" spans="10:12">
      <c r="J755" s="1"/>
      <c r="K755" s="1"/>
      <c r="L755" s="1"/>
    </row>
    <row r="756" spans="10:12">
      <c r="J756" s="1"/>
      <c r="K756" s="1"/>
      <c r="L756" s="1"/>
    </row>
    <row r="757" spans="10:12">
      <c r="J757" s="1"/>
      <c r="K757" s="1"/>
      <c r="L757" s="1"/>
    </row>
    <row r="758" spans="10:12">
      <c r="J758" s="1"/>
      <c r="K758" s="1"/>
      <c r="L758" s="1"/>
    </row>
    <row r="759" spans="10:12">
      <c r="J759" s="1"/>
      <c r="K759" s="1"/>
      <c r="L759" s="1"/>
    </row>
    <row r="760" spans="10:12">
      <c r="J760" s="1"/>
      <c r="K760" s="1"/>
      <c r="L760" s="1"/>
    </row>
    <row r="761" spans="10:12">
      <c r="J761" s="1"/>
      <c r="K761" s="1"/>
      <c r="L761" s="1"/>
    </row>
    <row r="762" spans="10:12">
      <c r="J762" s="1"/>
      <c r="K762" s="1"/>
      <c r="L762" s="1"/>
    </row>
    <row r="763" spans="10:12">
      <c r="J763" s="1"/>
      <c r="K763" s="1"/>
      <c r="L763" s="1"/>
    </row>
    <row r="764" spans="10:12">
      <c r="J764" s="1"/>
      <c r="K764" s="1"/>
      <c r="L764" s="1"/>
    </row>
    <row r="765" spans="10:12">
      <c r="J765" s="1"/>
      <c r="K765" s="1"/>
      <c r="L765" s="1"/>
    </row>
    <row r="766" spans="10:12">
      <c r="J766" s="1"/>
      <c r="K766" s="1"/>
      <c r="L766" s="1"/>
    </row>
    <row r="767" spans="10:12">
      <c r="J767" s="1"/>
      <c r="K767" s="1"/>
      <c r="L767" s="1"/>
    </row>
    <row r="768" spans="10:12">
      <c r="J768" s="1"/>
      <c r="K768" s="1"/>
      <c r="L768" s="1"/>
    </row>
    <row r="769" spans="10:12">
      <c r="J769" s="1"/>
      <c r="K769" s="1"/>
      <c r="L769" s="1"/>
    </row>
    <row r="770" spans="10:12">
      <c r="J770" s="1"/>
      <c r="K770" s="1"/>
      <c r="L770" s="1"/>
    </row>
    <row r="771" spans="10:12">
      <c r="J771" s="1"/>
      <c r="K771" s="1"/>
      <c r="L771" s="1"/>
    </row>
    <row r="772" spans="10:12">
      <c r="J772" s="1"/>
      <c r="K772" s="1"/>
      <c r="L772" s="1"/>
    </row>
    <row r="773" spans="10:12">
      <c r="J773" s="1"/>
      <c r="K773" s="1"/>
      <c r="L773" s="1"/>
    </row>
    <row r="774" spans="10:12">
      <c r="J774" s="1"/>
      <c r="K774" s="1"/>
      <c r="L774" s="1"/>
    </row>
    <row r="775" spans="10:12">
      <c r="J775" s="1"/>
      <c r="K775" s="1"/>
      <c r="L775" s="1"/>
    </row>
    <row r="776" spans="10:12">
      <c r="J776" s="1"/>
      <c r="K776" s="1"/>
      <c r="L776" s="1"/>
    </row>
    <row r="777" spans="10:12">
      <c r="J777" s="1"/>
      <c r="K777" s="1"/>
      <c r="L777" s="1"/>
    </row>
    <row r="778" spans="10:12">
      <c r="J778" s="1"/>
      <c r="K778" s="1"/>
      <c r="L778" s="1"/>
    </row>
    <row r="779" spans="10:12">
      <c r="J779" s="1"/>
      <c r="K779" s="1"/>
      <c r="L779" s="1"/>
    </row>
    <row r="780" spans="10:12">
      <c r="J780" s="1"/>
      <c r="K780" s="1"/>
      <c r="L780" s="1"/>
    </row>
    <row r="781" spans="10:12">
      <c r="J781" s="1"/>
      <c r="K781" s="1"/>
      <c r="L781" s="1"/>
    </row>
    <row r="782" spans="10:12">
      <c r="J782" s="1"/>
      <c r="K782" s="1"/>
      <c r="L782" s="1"/>
    </row>
    <row r="783" spans="10:12">
      <c r="J783" s="1"/>
      <c r="K783" s="1"/>
      <c r="L783" s="1"/>
    </row>
    <row r="784" spans="10:12">
      <c r="J784" s="1"/>
      <c r="K784" s="1"/>
      <c r="L784" s="1"/>
    </row>
    <row r="785" spans="10:12">
      <c r="J785" s="1"/>
      <c r="K785" s="1"/>
      <c r="L785" s="1"/>
    </row>
    <row r="786" spans="10:12">
      <c r="J786" s="1"/>
      <c r="K786" s="1"/>
      <c r="L786" s="1"/>
    </row>
    <row r="787" spans="10:12">
      <c r="J787" s="1"/>
      <c r="K787" s="1"/>
      <c r="L787" s="1"/>
    </row>
    <row r="788" spans="10:12">
      <c r="J788" s="1"/>
      <c r="K788" s="1"/>
      <c r="L788" s="1"/>
    </row>
    <row r="789" spans="10:12">
      <c r="J789" s="1"/>
      <c r="K789" s="1"/>
      <c r="L789" s="1"/>
    </row>
    <row r="790" spans="10:12">
      <c r="J790" s="1"/>
      <c r="K790" s="1"/>
      <c r="L790" s="1"/>
    </row>
    <row r="791" spans="10:12">
      <c r="J791" s="1"/>
      <c r="K791" s="1"/>
      <c r="L791" s="1"/>
    </row>
    <row r="792" spans="10:12">
      <c r="J792" s="1"/>
      <c r="K792" s="1"/>
      <c r="L792" s="1"/>
    </row>
    <row r="793" spans="10:12">
      <c r="J793" s="1"/>
      <c r="K793" s="1"/>
      <c r="L793" s="1"/>
    </row>
    <row r="794" spans="10:12">
      <c r="J794" s="1"/>
      <c r="K794" s="1"/>
      <c r="L794" s="1"/>
    </row>
    <row r="795" spans="10:12">
      <c r="J795" s="1"/>
      <c r="K795" s="1"/>
      <c r="L795" s="1"/>
    </row>
    <row r="796" spans="10:12">
      <c r="J796" s="1"/>
      <c r="K796" s="1"/>
      <c r="L796" s="1"/>
    </row>
    <row r="797" spans="10:12">
      <c r="J797" s="1"/>
      <c r="K797" s="1"/>
      <c r="L797" s="1"/>
    </row>
    <row r="798" spans="10:12">
      <c r="J798" s="1"/>
      <c r="K798" s="1"/>
      <c r="L798" s="1"/>
    </row>
    <row r="799" spans="10:12">
      <c r="J799" s="1"/>
      <c r="K799" s="1"/>
      <c r="L799" s="1"/>
    </row>
    <row r="800" spans="10:12">
      <c r="J800" s="1"/>
      <c r="K800" s="1"/>
      <c r="L800" s="1"/>
    </row>
    <row r="801" spans="10:12">
      <c r="J801" s="1"/>
      <c r="K801" s="1"/>
      <c r="L801" s="1"/>
    </row>
    <row r="802" spans="10:12">
      <c r="J802" s="1"/>
      <c r="K802" s="1"/>
      <c r="L802" s="1"/>
    </row>
    <row r="803" spans="10:12">
      <c r="J803" s="1"/>
      <c r="K803" s="1"/>
      <c r="L803" s="1"/>
    </row>
    <row r="804" spans="10:12">
      <c r="J804" s="1"/>
      <c r="K804" s="1"/>
      <c r="L804" s="1"/>
    </row>
    <row r="805" spans="10:12">
      <c r="J805" s="1"/>
      <c r="K805" s="1"/>
      <c r="L805" s="1"/>
    </row>
    <row r="806" spans="10:12">
      <c r="J806" s="1"/>
      <c r="K806" s="1"/>
      <c r="L806" s="1"/>
    </row>
    <row r="807" spans="10:12">
      <c r="J807" s="1"/>
      <c r="K807" s="1"/>
      <c r="L807" s="1"/>
    </row>
    <row r="808" spans="10:12">
      <c r="J808" s="1"/>
      <c r="K808" s="1"/>
      <c r="L808" s="1"/>
    </row>
    <row r="809" spans="10:12">
      <c r="J809" s="1"/>
      <c r="K809" s="1"/>
      <c r="L809" s="1"/>
    </row>
    <row r="810" spans="10:12">
      <c r="J810" s="1"/>
      <c r="K810" s="1"/>
      <c r="L810" s="1"/>
    </row>
    <row r="811" spans="10:12">
      <c r="J811" s="1"/>
      <c r="K811" s="1"/>
      <c r="L811" s="1"/>
    </row>
    <row r="812" spans="10:12">
      <c r="J812" s="1"/>
      <c r="K812" s="1"/>
      <c r="L812" s="1"/>
    </row>
    <row r="813" spans="10:12">
      <c r="J813" s="1"/>
      <c r="K813" s="1"/>
      <c r="L813" s="1"/>
    </row>
    <row r="814" spans="10:12">
      <c r="J814" s="1"/>
      <c r="K814" s="1"/>
      <c r="L814" s="1"/>
    </row>
    <row r="815" spans="10:12">
      <c r="J815" s="1"/>
      <c r="K815" s="1"/>
      <c r="L815" s="1"/>
    </row>
    <row r="816" spans="10:12">
      <c r="J816" s="1"/>
      <c r="K816" s="1"/>
      <c r="L816" s="1"/>
    </row>
    <row r="817" spans="10:12">
      <c r="J817" s="1"/>
      <c r="K817" s="1"/>
      <c r="L817" s="1"/>
    </row>
    <row r="818" spans="10:12">
      <c r="J818" s="1"/>
      <c r="K818" s="1"/>
      <c r="L818" s="1"/>
    </row>
    <row r="819" spans="10:12">
      <c r="J819" s="1"/>
      <c r="K819" s="1"/>
      <c r="L819" s="1"/>
    </row>
    <row r="820" spans="10:12">
      <c r="J820" s="1"/>
      <c r="K820" s="1"/>
      <c r="L820" s="1"/>
    </row>
    <row r="821" spans="10:12">
      <c r="J821" s="1"/>
      <c r="K821" s="1"/>
      <c r="L821" s="1"/>
    </row>
    <row r="822" spans="10:12">
      <c r="J822" s="1"/>
      <c r="K822" s="1"/>
      <c r="L822" s="1"/>
    </row>
    <row r="823" spans="10:12">
      <c r="J823" s="1"/>
      <c r="K823" s="1"/>
      <c r="L823" s="1"/>
    </row>
    <row r="824" spans="10:12">
      <c r="J824" s="1"/>
      <c r="K824" s="1"/>
      <c r="L824" s="1"/>
    </row>
    <row r="825" spans="10:12">
      <c r="J825" s="1"/>
      <c r="K825" s="1"/>
      <c r="L825" s="1"/>
    </row>
    <row r="826" spans="10:12">
      <c r="J826" s="1"/>
      <c r="K826" s="1"/>
      <c r="L826" s="1"/>
    </row>
    <row r="827" spans="10:12">
      <c r="J827" s="1"/>
      <c r="K827" s="1"/>
      <c r="L827" s="1"/>
    </row>
    <row r="828" spans="10:12">
      <c r="J828" s="1"/>
      <c r="K828" s="1"/>
      <c r="L828" s="1"/>
    </row>
    <row r="829" spans="10:12">
      <c r="J829" s="1"/>
      <c r="K829" s="1"/>
      <c r="L829" s="1"/>
    </row>
    <row r="830" spans="10:12">
      <c r="J830" s="1"/>
      <c r="K830" s="1"/>
      <c r="L830" s="1"/>
    </row>
    <row r="831" spans="10:12">
      <c r="J831" s="1"/>
      <c r="K831" s="1"/>
      <c r="L831" s="1"/>
    </row>
    <row r="832" spans="10:12">
      <c r="J832" s="1"/>
      <c r="K832" s="1"/>
      <c r="L832" s="1"/>
    </row>
    <row r="833" spans="10:12">
      <c r="J833" s="1"/>
      <c r="K833" s="1"/>
      <c r="L833" s="1"/>
    </row>
    <row r="834" spans="10:12">
      <c r="J834" s="1"/>
      <c r="K834" s="1"/>
      <c r="L834" s="1"/>
    </row>
    <row r="835" spans="10:12">
      <c r="J835" s="1"/>
      <c r="K835" s="1"/>
      <c r="L835" s="1"/>
    </row>
    <row r="836" spans="10:12">
      <c r="J836" s="1"/>
      <c r="K836" s="1"/>
      <c r="L836" s="1"/>
    </row>
    <row r="837" spans="10:12">
      <c r="J837" s="1"/>
      <c r="K837" s="1"/>
      <c r="L837" s="1"/>
    </row>
    <row r="838" spans="10:12">
      <c r="J838" s="1"/>
      <c r="K838" s="1"/>
      <c r="L838" s="1"/>
    </row>
    <row r="839" spans="10:12">
      <c r="J839" s="1"/>
      <c r="K839" s="1"/>
      <c r="L839" s="1"/>
    </row>
    <row r="840" spans="10:12">
      <c r="J840" s="1"/>
      <c r="K840" s="1"/>
      <c r="L840" s="1"/>
    </row>
    <row r="841" spans="10:12">
      <c r="J841" s="1"/>
      <c r="K841" s="1"/>
      <c r="L841" s="1"/>
    </row>
    <row r="842" spans="10:12">
      <c r="J842" s="1"/>
      <c r="K842" s="1"/>
      <c r="L842" s="1"/>
    </row>
    <row r="843" spans="10:12">
      <c r="J843" s="1"/>
      <c r="K843" s="1"/>
      <c r="L843" s="1"/>
    </row>
    <row r="844" spans="10:12">
      <c r="J844" s="1"/>
      <c r="K844" s="1"/>
      <c r="L844" s="1"/>
    </row>
    <row r="845" spans="10:12">
      <c r="J845" s="1"/>
      <c r="K845" s="1"/>
      <c r="L845" s="1"/>
    </row>
    <row r="846" spans="10:12">
      <c r="J846" s="1"/>
      <c r="K846" s="1"/>
      <c r="L846" s="1"/>
    </row>
    <row r="847" spans="10:12">
      <c r="J847" s="1"/>
      <c r="K847" s="1"/>
      <c r="L847" s="1"/>
    </row>
    <row r="848" spans="10:12">
      <c r="J848" s="1"/>
      <c r="K848" s="1"/>
      <c r="L848" s="1"/>
    </row>
    <row r="849" spans="10:12">
      <c r="J849" s="1"/>
      <c r="K849" s="1"/>
      <c r="L849" s="1"/>
    </row>
    <row r="850" spans="10:12">
      <c r="J850" s="1"/>
      <c r="K850" s="1"/>
      <c r="L850" s="1"/>
    </row>
    <row r="851" spans="10:12">
      <c r="J851" s="1"/>
      <c r="K851" s="1"/>
      <c r="L851" s="1"/>
    </row>
    <row r="852" spans="10:12">
      <c r="J852" s="1"/>
      <c r="K852" s="1"/>
      <c r="L852" s="1"/>
    </row>
    <row r="853" spans="10:12">
      <c r="J853" s="1"/>
      <c r="K853" s="1"/>
      <c r="L853" s="1"/>
    </row>
    <row r="854" spans="10:12">
      <c r="J854" s="1"/>
      <c r="K854" s="1"/>
      <c r="L854" s="1"/>
    </row>
    <row r="855" spans="10:12">
      <c r="J855" s="1"/>
      <c r="K855" s="1"/>
      <c r="L855" s="1"/>
    </row>
    <row r="856" spans="10:12">
      <c r="J856" s="1"/>
      <c r="K856" s="1"/>
      <c r="L856" s="1"/>
    </row>
    <row r="857" spans="10:12">
      <c r="J857" s="1"/>
      <c r="K857" s="1"/>
      <c r="L857" s="1"/>
    </row>
    <row r="858" spans="10:12">
      <c r="J858" s="1"/>
      <c r="K858" s="1"/>
      <c r="L858" s="1"/>
    </row>
    <row r="859" spans="10:12">
      <c r="J859" s="1"/>
      <c r="K859" s="1"/>
      <c r="L859" s="1"/>
    </row>
    <row r="860" spans="10:12">
      <c r="J860" s="1"/>
      <c r="K860" s="1"/>
      <c r="L860" s="1"/>
    </row>
    <row r="861" spans="10:12">
      <c r="J861" s="1"/>
      <c r="K861" s="1"/>
      <c r="L861" s="1"/>
    </row>
    <row r="862" spans="10:12">
      <c r="J862" s="1"/>
      <c r="K862" s="1"/>
      <c r="L862" s="1"/>
    </row>
    <row r="863" spans="10:12">
      <c r="J863" s="1"/>
      <c r="K863" s="1"/>
      <c r="L863" s="1"/>
    </row>
    <row r="864" spans="10:12">
      <c r="J864" s="1"/>
      <c r="K864" s="1"/>
      <c r="L864" s="1"/>
    </row>
    <row r="865" spans="10:12">
      <c r="J865" s="1"/>
      <c r="K865" s="1"/>
      <c r="L865" s="1"/>
    </row>
    <row r="866" spans="10:12">
      <c r="J866" s="1"/>
      <c r="K866" s="1"/>
      <c r="L866" s="1"/>
    </row>
    <row r="867" spans="10:12">
      <c r="J867" s="1"/>
      <c r="K867" s="1"/>
      <c r="L867" s="1"/>
    </row>
    <row r="868" spans="10:12">
      <c r="J868" s="1"/>
      <c r="K868" s="1"/>
      <c r="L868" s="1"/>
    </row>
    <row r="869" spans="10:12">
      <c r="J869" s="1"/>
      <c r="K869" s="1"/>
      <c r="L869" s="1"/>
    </row>
    <row r="870" spans="10:12">
      <c r="J870" s="1"/>
      <c r="K870" s="1"/>
      <c r="L870" s="1"/>
    </row>
    <row r="871" spans="10:12">
      <c r="J871" s="1"/>
      <c r="K871" s="1"/>
      <c r="L871" s="1"/>
    </row>
    <row r="872" spans="10:12">
      <c r="J872" s="1"/>
      <c r="K872" s="1"/>
      <c r="L872" s="1"/>
    </row>
    <row r="873" spans="10:12">
      <c r="J873" s="1"/>
      <c r="K873" s="1"/>
      <c r="L873" s="1"/>
    </row>
    <row r="874" spans="10:12">
      <c r="J874" s="1"/>
      <c r="K874" s="1"/>
      <c r="L874" s="1"/>
    </row>
    <row r="875" spans="10:12">
      <c r="J875" s="1"/>
      <c r="K875" s="1"/>
      <c r="L875" s="1"/>
    </row>
    <row r="876" spans="10:12">
      <c r="J876" s="1"/>
      <c r="K876" s="1"/>
      <c r="L876" s="1"/>
    </row>
    <row r="877" spans="10:12">
      <c r="J877" s="1"/>
      <c r="K877" s="1"/>
      <c r="L877" s="1"/>
    </row>
    <row r="878" spans="10:12">
      <c r="J878" s="1"/>
      <c r="K878" s="1"/>
      <c r="L878" s="1"/>
    </row>
    <row r="879" spans="10:12">
      <c r="J879" s="1"/>
      <c r="K879" s="1"/>
      <c r="L879" s="1"/>
    </row>
    <row r="880" spans="10:12">
      <c r="J880" s="1"/>
      <c r="K880" s="1"/>
      <c r="L880" s="1"/>
    </row>
    <row r="881" spans="10:12">
      <c r="J881" s="1"/>
      <c r="K881" s="1"/>
      <c r="L881" s="1"/>
    </row>
    <row r="882" spans="10:12">
      <c r="J882" s="1"/>
      <c r="K882" s="1"/>
      <c r="L882" s="1"/>
    </row>
    <row r="883" spans="10:12">
      <c r="J883" s="1"/>
      <c r="K883" s="1"/>
      <c r="L883" s="1"/>
    </row>
    <row r="884" spans="10:12">
      <c r="J884" s="1"/>
      <c r="K884" s="1"/>
      <c r="L884" s="1"/>
    </row>
    <row r="885" spans="10:12">
      <c r="J885" s="1"/>
      <c r="K885" s="1"/>
      <c r="L885" s="1"/>
    </row>
    <row r="886" spans="10:12">
      <c r="J886" s="1"/>
      <c r="K886" s="1"/>
      <c r="L886" s="1"/>
    </row>
    <row r="887" spans="10:12">
      <c r="J887" s="1"/>
      <c r="K887" s="1"/>
      <c r="L887" s="1"/>
    </row>
    <row r="888" spans="10:12">
      <c r="J888" s="1"/>
      <c r="K888" s="1"/>
      <c r="L888" s="1"/>
    </row>
    <row r="889" spans="10:12">
      <c r="J889" s="1"/>
      <c r="K889" s="1"/>
      <c r="L889" s="1"/>
    </row>
    <row r="890" spans="10:12">
      <c r="J890" s="1"/>
      <c r="K890" s="1"/>
      <c r="L890" s="1"/>
    </row>
    <row r="891" spans="10:12">
      <c r="J891" s="1"/>
      <c r="K891" s="1"/>
      <c r="L891" s="1"/>
    </row>
    <row r="892" spans="10:12">
      <c r="J892" s="1"/>
      <c r="K892" s="1"/>
      <c r="L892" s="1"/>
    </row>
    <row r="893" spans="10:12">
      <c r="J893" s="1"/>
      <c r="K893" s="1"/>
      <c r="L893" s="1"/>
    </row>
    <row r="894" spans="10:12">
      <c r="J894" s="1"/>
      <c r="K894" s="1"/>
      <c r="L894" s="1"/>
    </row>
    <row r="895" spans="10:12">
      <c r="J895" s="1"/>
      <c r="K895" s="1"/>
      <c r="L895" s="1"/>
    </row>
    <row r="896" spans="10:12">
      <c r="J896" s="1"/>
      <c r="K896" s="1"/>
      <c r="L896" s="1"/>
    </row>
    <row r="897" spans="10:12">
      <c r="J897" s="1"/>
      <c r="K897" s="1"/>
      <c r="L897" s="1"/>
    </row>
    <row r="898" spans="10:12">
      <c r="J898" s="1"/>
      <c r="K898" s="1"/>
      <c r="L898" s="1"/>
    </row>
    <row r="899" spans="10:12">
      <c r="J899" s="1"/>
      <c r="K899" s="1"/>
      <c r="L899" s="1"/>
    </row>
    <row r="900" spans="10:12">
      <c r="J900" s="1"/>
      <c r="K900" s="1"/>
      <c r="L900" s="1"/>
    </row>
    <row r="901" spans="10:12">
      <c r="J901" s="1"/>
      <c r="K901" s="1"/>
      <c r="L901" s="1"/>
    </row>
    <row r="902" spans="10:12">
      <c r="J902" s="1"/>
      <c r="K902" s="1"/>
      <c r="L902" s="1"/>
    </row>
    <row r="903" spans="10:12">
      <c r="J903" s="1"/>
      <c r="K903" s="1"/>
      <c r="L903" s="1"/>
    </row>
    <row r="904" spans="10:12">
      <c r="J904" s="1"/>
      <c r="K904" s="1"/>
      <c r="L904" s="1"/>
    </row>
    <row r="905" spans="10:12">
      <c r="J905" s="1"/>
      <c r="K905" s="1"/>
      <c r="L905" s="1"/>
    </row>
    <row r="906" spans="10:12">
      <c r="J906" s="1"/>
      <c r="K906" s="1"/>
      <c r="L906" s="1"/>
    </row>
    <row r="907" spans="10:12">
      <c r="J907" s="1"/>
      <c r="K907" s="1"/>
      <c r="L907" s="1"/>
    </row>
    <row r="908" spans="10:12">
      <c r="J908" s="1"/>
      <c r="K908" s="1"/>
      <c r="L908" s="1"/>
    </row>
    <row r="909" spans="10:12">
      <c r="J909" s="1"/>
      <c r="K909" s="1"/>
      <c r="L909" s="1"/>
    </row>
    <row r="910" spans="10:12">
      <c r="J910" s="1"/>
      <c r="K910" s="1"/>
      <c r="L910" s="1"/>
    </row>
    <row r="911" spans="10:12">
      <c r="J911" s="1"/>
      <c r="K911" s="1"/>
      <c r="L911" s="1"/>
    </row>
    <row r="912" spans="10:12">
      <c r="J912" s="1"/>
      <c r="K912" s="1"/>
      <c r="L912" s="1"/>
    </row>
    <row r="913" spans="10:12">
      <c r="J913" s="1"/>
      <c r="K913" s="1"/>
      <c r="L913" s="1"/>
    </row>
    <row r="914" spans="10:12">
      <c r="J914" s="1"/>
      <c r="K914" s="1"/>
      <c r="L914" s="1"/>
    </row>
    <row r="915" spans="10:12">
      <c r="J915" s="1"/>
      <c r="K915" s="1"/>
      <c r="L915" s="1"/>
    </row>
    <row r="916" spans="10:12">
      <c r="J916" s="1"/>
      <c r="K916" s="1"/>
      <c r="L916" s="1"/>
    </row>
    <row r="917" spans="10:12">
      <c r="J917" s="1"/>
      <c r="K917" s="1"/>
      <c r="L917" s="1"/>
    </row>
    <row r="918" spans="10:12">
      <c r="J918" s="1"/>
      <c r="K918" s="1"/>
      <c r="L918" s="1"/>
    </row>
    <row r="919" spans="10:12">
      <c r="J919" s="1"/>
      <c r="K919" s="1"/>
      <c r="L919" s="1"/>
    </row>
    <row r="920" spans="10:12">
      <c r="J920" s="1"/>
      <c r="K920" s="1"/>
      <c r="L920" s="1"/>
    </row>
    <row r="921" spans="10:12">
      <c r="J921" s="1"/>
      <c r="K921" s="1"/>
      <c r="L921" s="1"/>
    </row>
    <row r="922" spans="10:12">
      <c r="J922" s="1"/>
      <c r="K922" s="1"/>
      <c r="L922" s="1"/>
    </row>
    <row r="923" spans="10:12">
      <c r="J923" s="1"/>
      <c r="K923" s="1"/>
      <c r="L923" s="1"/>
    </row>
    <row r="924" spans="10:12">
      <c r="J924" s="1"/>
      <c r="K924" s="1"/>
      <c r="L924" s="1"/>
    </row>
    <row r="925" spans="10:12">
      <c r="J925" s="1"/>
      <c r="K925" s="1"/>
      <c r="L925" s="1"/>
    </row>
    <row r="926" spans="10:12">
      <c r="J926" s="1"/>
      <c r="K926" s="1"/>
      <c r="L926" s="1"/>
    </row>
    <row r="927" spans="10:12">
      <c r="J927" s="1"/>
      <c r="K927" s="1"/>
      <c r="L927" s="1"/>
    </row>
    <row r="928" spans="10:12">
      <c r="J928" s="1"/>
      <c r="K928" s="1"/>
      <c r="L928" s="1"/>
    </row>
    <row r="929" spans="10:12">
      <c r="J929" s="1"/>
      <c r="K929" s="1"/>
      <c r="L929" s="1"/>
    </row>
    <row r="930" spans="10:12">
      <c r="J930" s="1"/>
      <c r="K930" s="1"/>
      <c r="L930" s="1"/>
    </row>
    <row r="931" spans="10:12">
      <c r="J931" s="1"/>
      <c r="K931" s="1"/>
      <c r="L931" s="1"/>
    </row>
    <row r="932" spans="10:12">
      <c r="J932" s="1"/>
      <c r="K932" s="1"/>
      <c r="L932" s="1"/>
    </row>
    <row r="933" spans="10:12">
      <c r="J933" s="1"/>
      <c r="K933" s="1"/>
      <c r="L933" s="1"/>
    </row>
    <row r="934" spans="10:12">
      <c r="J934" s="1"/>
      <c r="K934" s="1"/>
      <c r="L934" s="1"/>
    </row>
    <row r="935" spans="10:12">
      <c r="J935" s="1"/>
      <c r="K935" s="1"/>
      <c r="L935" s="1"/>
    </row>
    <row r="936" spans="10:12">
      <c r="J936" s="1"/>
      <c r="K936" s="1"/>
      <c r="L936" s="1"/>
    </row>
    <row r="937" spans="10:12">
      <c r="J937" s="1"/>
      <c r="K937" s="1"/>
      <c r="L937" s="1"/>
    </row>
    <row r="938" spans="10:12">
      <c r="J938" s="1"/>
      <c r="K938" s="1"/>
      <c r="L938" s="1"/>
    </row>
    <row r="939" spans="10:12">
      <c r="J939" s="1"/>
      <c r="K939" s="1"/>
      <c r="L939" s="1"/>
    </row>
    <row r="940" spans="10:12">
      <c r="J940" s="1"/>
      <c r="K940" s="1"/>
      <c r="L940" s="1"/>
    </row>
    <row r="941" spans="10:12">
      <c r="J941" s="1"/>
      <c r="K941" s="1"/>
      <c r="L941" s="1"/>
    </row>
    <row r="942" spans="10:12">
      <c r="J942" s="1"/>
      <c r="K942" s="1"/>
      <c r="L942" s="1"/>
    </row>
    <row r="943" spans="10:12">
      <c r="J943" s="1"/>
      <c r="K943" s="1"/>
      <c r="L943" s="1"/>
    </row>
    <row r="944" spans="10:12">
      <c r="J944" s="1"/>
      <c r="K944" s="1"/>
      <c r="L944" s="1"/>
    </row>
    <row r="945" spans="10:12">
      <c r="J945" s="1"/>
      <c r="K945" s="1"/>
      <c r="L945" s="1"/>
    </row>
    <row r="946" spans="10:12">
      <c r="J946" s="1"/>
      <c r="K946" s="1"/>
      <c r="L946" s="1"/>
    </row>
    <row r="947" spans="10:12">
      <c r="J947" s="1"/>
      <c r="K947" s="1"/>
      <c r="L947" s="1"/>
    </row>
    <row r="948" spans="10:12">
      <c r="J948" s="1"/>
      <c r="K948" s="1"/>
      <c r="L948" s="1"/>
    </row>
    <row r="949" spans="10:12">
      <c r="J949" s="1"/>
      <c r="K949" s="1"/>
      <c r="L949" s="1"/>
    </row>
    <row r="950" spans="10:12">
      <c r="J950" s="1"/>
      <c r="K950" s="1"/>
      <c r="L950" s="1"/>
    </row>
    <row r="951" spans="10:12">
      <c r="J951" s="1"/>
      <c r="K951" s="1"/>
      <c r="L951" s="1"/>
    </row>
    <row r="952" spans="10:12">
      <c r="J952" s="1"/>
      <c r="K952" s="1"/>
      <c r="L952" s="1"/>
    </row>
    <row r="953" spans="10:12">
      <c r="J953" s="1"/>
      <c r="K953" s="1"/>
      <c r="L953" s="1"/>
    </row>
    <row r="954" spans="10:12">
      <c r="J954" s="1"/>
      <c r="K954" s="1"/>
      <c r="L954" s="1"/>
    </row>
    <row r="955" spans="10:12">
      <c r="J955" s="1"/>
      <c r="K955" s="1"/>
      <c r="L955" s="1"/>
    </row>
    <row r="956" spans="10:12">
      <c r="J956" s="1"/>
      <c r="K956" s="1"/>
      <c r="L956" s="1"/>
    </row>
    <row r="957" spans="10:12">
      <c r="J957" s="1"/>
      <c r="K957" s="1"/>
      <c r="L957" s="1"/>
    </row>
    <row r="958" spans="10:12">
      <c r="J958" s="1"/>
      <c r="K958" s="1"/>
      <c r="L958" s="1"/>
    </row>
    <row r="959" spans="10:12">
      <c r="J959" s="1"/>
      <c r="K959" s="1"/>
      <c r="L959" s="1"/>
    </row>
    <row r="960" spans="10:12">
      <c r="J960" s="1"/>
      <c r="K960" s="1"/>
      <c r="L960" s="1"/>
    </row>
    <row r="961" spans="10:12">
      <c r="J961" s="1"/>
      <c r="K961" s="1"/>
      <c r="L961" s="1"/>
    </row>
    <row r="962" spans="10:12">
      <c r="J962" s="1"/>
      <c r="K962" s="1"/>
      <c r="L962" s="1"/>
    </row>
    <row r="963" spans="10:12">
      <c r="J963" s="1"/>
      <c r="K963" s="1"/>
      <c r="L963" s="1"/>
    </row>
    <row r="964" spans="10:12">
      <c r="J964" s="1"/>
      <c r="K964" s="1"/>
      <c r="L964" s="1"/>
    </row>
    <row r="965" spans="10:12">
      <c r="J965" s="1"/>
      <c r="K965" s="1"/>
      <c r="L965" s="1"/>
    </row>
    <row r="966" spans="10:12">
      <c r="J966" s="1"/>
      <c r="K966" s="1"/>
      <c r="L966" s="1"/>
    </row>
    <row r="967" spans="10:12">
      <c r="J967" s="1"/>
      <c r="K967" s="1"/>
      <c r="L967" s="1"/>
    </row>
    <row r="968" spans="10:12">
      <c r="J968" s="1"/>
      <c r="K968" s="1"/>
      <c r="L968" s="1"/>
    </row>
    <row r="969" spans="10:12">
      <c r="J969" s="1"/>
      <c r="K969" s="1"/>
      <c r="L969" s="1"/>
    </row>
    <row r="970" spans="10:12">
      <c r="J970" s="1"/>
      <c r="K970" s="1"/>
      <c r="L970" s="1"/>
    </row>
    <row r="971" spans="10:12">
      <c r="J971" s="1"/>
      <c r="K971" s="1"/>
      <c r="L971" s="1"/>
    </row>
    <row r="972" spans="10:12">
      <c r="J972" s="1"/>
      <c r="K972" s="1"/>
      <c r="L972" s="1"/>
    </row>
    <row r="973" spans="10:12">
      <c r="J973" s="1"/>
      <c r="K973" s="1"/>
      <c r="L973" s="1"/>
    </row>
    <row r="974" spans="10:12">
      <c r="J974" s="1"/>
      <c r="K974" s="1"/>
      <c r="L974" s="1"/>
    </row>
    <row r="975" spans="10:12">
      <c r="J975" s="1"/>
      <c r="K975" s="1"/>
      <c r="L975" s="1"/>
    </row>
    <row r="976" spans="10:12">
      <c r="J976" s="1"/>
      <c r="K976" s="1"/>
      <c r="L976" s="1"/>
    </row>
    <row r="977" spans="10:12">
      <c r="J977" s="1"/>
      <c r="K977" s="1"/>
      <c r="L977" s="1"/>
    </row>
    <row r="978" spans="10:12">
      <c r="J978" s="1"/>
      <c r="K978" s="1"/>
      <c r="L978" s="1"/>
    </row>
    <row r="979" spans="10:12">
      <c r="J979" s="1"/>
      <c r="K979" s="1"/>
      <c r="L979" s="1"/>
    </row>
    <row r="980" spans="10:12">
      <c r="J980" s="1"/>
      <c r="K980" s="1"/>
      <c r="L980" s="1"/>
    </row>
    <row r="981" spans="10:12">
      <c r="J981" s="1"/>
      <c r="K981" s="1"/>
      <c r="L981" s="1"/>
    </row>
    <row r="982" spans="10:12">
      <c r="J982" s="1"/>
      <c r="K982" s="1"/>
      <c r="L982" s="1"/>
    </row>
    <row r="983" spans="10:12">
      <c r="J983" s="1"/>
      <c r="K983" s="1"/>
      <c r="L983" s="1"/>
    </row>
    <row r="984" spans="10:12">
      <c r="J984" s="1"/>
      <c r="K984" s="1"/>
      <c r="L984" s="1"/>
    </row>
    <row r="985" spans="10:12">
      <c r="J985" s="1"/>
      <c r="K985" s="1"/>
      <c r="L985" s="1"/>
    </row>
    <row r="986" spans="10:12">
      <c r="J986" s="1"/>
      <c r="K986" s="1"/>
      <c r="L986" s="1"/>
    </row>
    <row r="987" spans="10:12">
      <c r="J987" s="1"/>
      <c r="K987" s="1"/>
      <c r="L987" s="1"/>
    </row>
    <row r="988" spans="10:12">
      <c r="J988" s="1"/>
      <c r="K988" s="1"/>
      <c r="L988" s="1"/>
    </row>
    <row r="989" spans="10:12">
      <c r="J989" s="1"/>
      <c r="K989" s="1"/>
      <c r="L989" s="1"/>
    </row>
    <row r="990" spans="10:12">
      <c r="J990" s="1"/>
      <c r="K990" s="1"/>
      <c r="L990" s="1"/>
    </row>
    <row r="991" spans="10:12">
      <c r="J991" s="1"/>
      <c r="K991" s="1"/>
      <c r="L991" s="1"/>
    </row>
    <row r="992" spans="10:12">
      <c r="J992" s="1"/>
      <c r="K992" s="1"/>
      <c r="L992" s="1"/>
    </row>
    <row r="993" spans="10:12">
      <c r="J993" s="1"/>
      <c r="K993" s="1"/>
      <c r="L993" s="1"/>
    </row>
    <row r="994" spans="10:12">
      <c r="J994" s="1"/>
      <c r="K994" s="1"/>
      <c r="L994" s="1"/>
    </row>
    <row r="995" spans="10:12">
      <c r="J995" s="1"/>
      <c r="K995" s="1"/>
      <c r="L995" s="1"/>
    </row>
    <row r="996" spans="10:12">
      <c r="J996" s="1"/>
      <c r="K996" s="1"/>
      <c r="L996" s="1"/>
    </row>
    <row r="997" spans="10:12">
      <c r="J997" s="1"/>
      <c r="K997" s="1"/>
      <c r="L997" s="1"/>
    </row>
    <row r="998" spans="10:12">
      <c r="J998" s="1"/>
      <c r="K998" s="1"/>
      <c r="L998" s="1"/>
    </row>
    <row r="999" spans="10:12">
      <c r="J999" s="1"/>
      <c r="K999" s="1"/>
      <c r="L999" s="1"/>
    </row>
    <row r="1000" spans="10:12">
      <c r="J1000" s="1"/>
      <c r="K1000" s="1"/>
      <c r="L1000" s="1"/>
    </row>
    <row r="1001" spans="10:12">
      <c r="J1001" s="1"/>
      <c r="K1001" s="1"/>
      <c r="L1001" s="1"/>
    </row>
    <row r="1002" spans="10:12">
      <c r="J1002" s="1"/>
      <c r="K1002" s="1"/>
      <c r="L1002" s="1"/>
    </row>
    <row r="1003" spans="10:12">
      <c r="J1003" s="1"/>
      <c r="K1003" s="1"/>
      <c r="L1003" s="1"/>
    </row>
    <row r="1004" spans="10:12">
      <c r="J1004" s="1"/>
      <c r="K1004" s="1"/>
      <c r="L1004" s="1"/>
    </row>
    <row r="1005" spans="10:12">
      <c r="J1005" s="1"/>
      <c r="K1005" s="1"/>
      <c r="L1005" s="1"/>
    </row>
    <row r="1006" spans="10:12">
      <c r="J1006" s="1"/>
      <c r="K1006" s="1"/>
      <c r="L1006" s="1"/>
    </row>
    <row r="1007" spans="10:12">
      <c r="J1007" s="1"/>
      <c r="K1007" s="1"/>
      <c r="L1007" s="1"/>
    </row>
    <row r="1008" spans="10:12">
      <c r="J1008" s="1"/>
      <c r="K1008" s="1"/>
      <c r="L1008" s="1"/>
    </row>
    <row r="1009" spans="10:12">
      <c r="J1009" s="1"/>
      <c r="K1009" s="1"/>
      <c r="L1009" s="1"/>
    </row>
    <row r="1010" spans="10:12">
      <c r="J1010" s="1"/>
      <c r="K1010" s="1"/>
      <c r="L1010" s="1"/>
    </row>
    <row r="1011" spans="10:12">
      <c r="J1011" s="1"/>
      <c r="K1011" s="1"/>
      <c r="L1011" s="1"/>
    </row>
    <row r="1012" spans="10:12">
      <c r="J1012" s="1"/>
      <c r="K1012" s="1"/>
      <c r="L1012" s="1"/>
    </row>
    <row r="1013" spans="10:12">
      <c r="J1013" s="1"/>
      <c r="K1013" s="1"/>
      <c r="L1013" s="1"/>
    </row>
    <row r="1014" spans="10:12">
      <c r="J1014" s="1"/>
      <c r="K1014" s="1"/>
      <c r="L1014" s="1"/>
    </row>
    <row r="1015" spans="10:12">
      <c r="J1015" s="1"/>
      <c r="K1015" s="1"/>
      <c r="L1015" s="1"/>
    </row>
    <row r="1016" spans="10:12">
      <c r="J1016" s="1"/>
      <c r="K1016" s="1"/>
      <c r="L1016" s="1"/>
    </row>
    <row r="1017" spans="10:12">
      <c r="J1017" s="1"/>
      <c r="K1017" s="1"/>
      <c r="L1017" s="1"/>
    </row>
    <row r="1018" spans="10:12">
      <c r="J1018" s="1"/>
      <c r="K1018" s="1"/>
      <c r="L1018" s="1"/>
    </row>
    <row r="1019" spans="10:12">
      <c r="J1019" s="1"/>
      <c r="K1019" s="1"/>
      <c r="L1019" s="1"/>
    </row>
    <row r="1020" spans="10:12">
      <c r="J1020" s="1"/>
      <c r="K1020" s="1"/>
      <c r="L1020" s="1"/>
    </row>
    <row r="1021" spans="10:12">
      <c r="J1021" s="1"/>
      <c r="K1021" s="1"/>
      <c r="L1021" s="1"/>
    </row>
    <row r="1022" spans="10:12">
      <c r="J1022" s="1"/>
      <c r="K1022" s="1"/>
      <c r="L1022" s="1"/>
    </row>
    <row r="1023" spans="10:12">
      <c r="J1023" s="1"/>
      <c r="K1023" s="1"/>
      <c r="L1023" s="1"/>
    </row>
    <row r="1024" spans="10:12">
      <c r="J1024" s="1"/>
      <c r="K1024" s="1"/>
      <c r="L1024" s="1"/>
    </row>
    <row r="1025" spans="10:12">
      <c r="J1025" s="1"/>
      <c r="K1025" s="1"/>
      <c r="L1025" s="1"/>
    </row>
    <row r="1026" spans="10:12">
      <c r="J1026" s="1"/>
      <c r="K1026" s="1"/>
      <c r="L1026" s="1"/>
    </row>
    <row r="1027" spans="10:12">
      <c r="J1027" s="1"/>
      <c r="K1027" s="1"/>
      <c r="L1027" s="1"/>
    </row>
    <row r="1028" spans="10:12">
      <c r="J1028" s="1"/>
      <c r="K1028" s="1"/>
      <c r="L1028" s="1"/>
    </row>
    <row r="1029" spans="10:12">
      <c r="J1029" s="1"/>
      <c r="K1029" s="1"/>
      <c r="L1029" s="1"/>
    </row>
    <row r="1030" spans="10:12">
      <c r="J1030" s="1"/>
      <c r="K1030" s="1"/>
      <c r="L1030" s="1"/>
    </row>
    <row r="1031" spans="10:12">
      <c r="J1031" s="1"/>
      <c r="K1031" s="1"/>
      <c r="L1031" s="1"/>
    </row>
    <row r="1032" spans="10:12">
      <c r="J1032" s="1"/>
      <c r="K1032" s="1"/>
      <c r="L1032" s="1"/>
    </row>
    <row r="1033" spans="10:12">
      <c r="J1033" s="1"/>
      <c r="K1033" s="1"/>
      <c r="L1033" s="1"/>
    </row>
    <row r="1034" spans="10:12">
      <c r="J1034" s="1"/>
      <c r="K1034" s="1"/>
      <c r="L1034" s="1"/>
    </row>
    <row r="1035" spans="10:12">
      <c r="J1035" s="1"/>
      <c r="K1035" s="1"/>
      <c r="L1035" s="1"/>
    </row>
    <row r="1036" spans="10:12">
      <c r="J1036" s="1"/>
      <c r="K1036" s="1"/>
      <c r="L1036" s="1"/>
    </row>
    <row r="1037" spans="10:12">
      <c r="J1037" s="1"/>
      <c r="K1037" s="1"/>
      <c r="L1037" s="1"/>
    </row>
    <row r="1038" spans="10:12">
      <c r="J1038" s="1"/>
      <c r="K1038" s="1"/>
      <c r="L1038" s="1"/>
    </row>
    <row r="1039" spans="10:12">
      <c r="J1039" s="1"/>
      <c r="K1039" s="1"/>
      <c r="L1039" s="1"/>
    </row>
    <row r="1040" spans="10:12">
      <c r="J1040" s="1"/>
      <c r="K1040" s="1"/>
      <c r="L1040" s="1"/>
    </row>
    <row r="1041" spans="10:12">
      <c r="J1041" s="1"/>
      <c r="K1041" s="1"/>
      <c r="L1041" s="1"/>
    </row>
    <row r="1042" spans="10:12">
      <c r="J1042" s="1"/>
      <c r="K1042" s="1"/>
      <c r="L1042" s="1"/>
    </row>
    <row r="1043" spans="10:12">
      <c r="J1043" s="1"/>
      <c r="K1043" s="1"/>
      <c r="L1043" s="1"/>
    </row>
    <row r="1044" spans="10:12">
      <c r="J1044" s="1"/>
      <c r="K1044" s="1"/>
      <c r="L1044" s="1"/>
    </row>
    <row r="1045" spans="10:12">
      <c r="J1045" s="1"/>
      <c r="K1045" s="1"/>
      <c r="L1045" s="1"/>
    </row>
    <row r="1046" spans="10:12">
      <c r="J1046" s="1"/>
      <c r="K1046" s="1"/>
      <c r="L1046" s="1"/>
    </row>
    <row r="1047" spans="10:12">
      <c r="J1047" s="1"/>
      <c r="K1047" s="1"/>
      <c r="L1047" s="1"/>
    </row>
    <row r="1048" spans="10:12">
      <c r="J1048" s="1"/>
      <c r="K1048" s="1"/>
      <c r="L1048" s="1"/>
    </row>
    <row r="1049" spans="10:12">
      <c r="J1049" s="1"/>
      <c r="K1049" s="1"/>
      <c r="L1049" s="1"/>
    </row>
    <row r="1050" spans="10:12">
      <c r="J1050" s="1"/>
      <c r="K1050" s="1"/>
      <c r="L1050" s="1"/>
    </row>
    <row r="1051" spans="10:12">
      <c r="J1051" s="1"/>
      <c r="K1051" s="1"/>
      <c r="L1051" s="1"/>
    </row>
    <row r="1052" spans="10:12">
      <c r="J1052" s="1"/>
      <c r="K1052" s="1"/>
      <c r="L1052" s="1"/>
    </row>
    <row r="1053" spans="10:12">
      <c r="J1053" s="1"/>
      <c r="K1053" s="1"/>
      <c r="L1053" s="1"/>
    </row>
    <row r="1054" spans="10:12">
      <c r="J1054" s="1"/>
      <c r="K1054" s="1"/>
      <c r="L1054" s="1"/>
    </row>
    <row r="1055" spans="10:12">
      <c r="J1055" s="1"/>
      <c r="K1055" s="1"/>
      <c r="L1055" s="1"/>
    </row>
    <row r="1056" spans="10:12">
      <c r="J1056" s="1"/>
      <c r="K1056" s="1"/>
      <c r="L1056" s="1"/>
    </row>
    <row r="1057" spans="10:12">
      <c r="J1057" s="1"/>
      <c r="K1057" s="1"/>
      <c r="L1057" s="1"/>
    </row>
    <row r="1058" spans="10:12">
      <c r="J1058" s="1"/>
      <c r="K1058" s="1"/>
      <c r="L1058" s="1"/>
    </row>
    <row r="1059" spans="10:12">
      <c r="J1059" s="1"/>
      <c r="K1059" s="1"/>
      <c r="L1059" s="1"/>
    </row>
  </sheetData>
  <mergeCells count="207">
    <mergeCell ref="D198:E198"/>
    <mergeCell ref="D199:E199"/>
    <mergeCell ref="D206:E206"/>
    <mergeCell ref="D207:E207"/>
    <mergeCell ref="D208:E208"/>
    <mergeCell ref="D209:E209"/>
    <mergeCell ref="D200:E200"/>
    <mergeCell ref="D201:E201"/>
    <mergeCell ref="D202:E202"/>
    <mergeCell ref="D203:E203"/>
    <mergeCell ref="D204:E204"/>
    <mergeCell ref="D205:E205"/>
    <mergeCell ref="D189:E189"/>
    <mergeCell ref="D190:E190"/>
    <mergeCell ref="D191:E191"/>
    <mergeCell ref="D192:E192"/>
    <mergeCell ref="D193:E193"/>
    <mergeCell ref="D194:E194"/>
    <mergeCell ref="D195:E195"/>
    <mergeCell ref="D196:E196"/>
    <mergeCell ref="D197:E197"/>
    <mergeCell ref="D180:E180"/>
    <mergeCell ref="D181:E181"/>
    <mergeCell ref="D182:E182"/>
    <mergeCell ref="D183:E183"/>
    <mergeCell ref="D184:E184"/>
    <mergeCell ref="D185:E185"/>
    <mergeCell ref="D186:E186"/>
    <mergeCell ref="D187:E187"/>
    <mergeCell ref="D188:E188"/>
    <mergeCell ref="D171:E171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62:E162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08:E108"/>
    <mergeCell ref="D109:E109"/>
    <mergeCell ref="D110:E110"/>
    <mergeCell ref="D111:E111"/>
    <mergeCell ref="D112:E112"/>
    <mergeCell ref="D113:E113"/>
    <mergeCell ref="D114:E114"/>
    <mergeCell ref="D115:E115"/>
    <mergeCell ref="D116:E116"/>
    <mergeCell ref="D99:E99"/>
    <mergeCell ref="D100:E100"/>
    <mergeCell ref="D101:E101"/>
    <mergeCell ref="D102:E102"/>
    <mergeCell ref="D103:E103"/>
    <mergeCell ref="D104:E104"/>
    <mergeCell ref="D105:E105"/>
    <mergeCell ref="D106:E106"/>
    <mergeCell ref="D107:E107"/>
    <mergeCell ref="D90:E90"/>
    <mergeCell ref="D91:E91"/>
    <mergeCell ref="D92:E92"/>
    <mergeCell ref="D93:E93"/>
    <mergeCell ref="D94:E94"/>
    <mergeCell ref="D95:E95"/>
    <mergeCell ref="D96:E96"/>
    <mergeCell ref="D97:E97"/>
    <mergeCell ref="D98:E98"/>
    <mergeCell ref="D81:E81"/>
    <mergeCell ref="D82:E82"/>
    <mergeCell ref="D83:E83"/>
    <mergeCell ref="D84:E84"/>
    <mergeCell ref="D85:E85"/>
    <mergeCell ref="D86:E86"/>
    <mergeCell ref="D87:E87"/>
    <mergeCell ref="D88:E88"/>
    <mergeCell ref="D89:E89"/>
    <mergeCell ref="D58:E58"/>
    <mergeCell ref="D59:E59"/>
    <mergeCell ref="D210:E210"/>
    <mergeCell ref="D60:E60"/>
    <mergeCell ref="D61:E61"/>
    <mergeCell ref="D62:E62"/>
    <mergeCell ref="D63:E63"/>
    <mergeCell ref="D64:E64"/>
    <mergeCell ref="D65:E65"/>
    <mergeCell ref="D66:E66"/>
    <mergeCell ref="D67:E67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78:E78"/>
    <mergeCell ref="D79:E79"/>
    <mergeCell ref="D80:E80"/>
    <mergeCell ref="D49:E49"/>
    <mergeCell ref="D50:E50"/>
    <mergeCell ref="D51:E51"/>
    <mergeCell ref="D52:E52"/>
    <mergeCell ref="D53:E53"/>
    <mergeCell ref="D54:E54"/>
    <mergeCell ref="D55:E55"/>
    <mergeCell ref="D56:E56"/>
    <mergeCell ref="D57:E57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R1:S1"/>
    <mergeCell ref="G9:G10"/>
    <mergeCell ref="H9:H10"/>
    <mergeCell ref="D9:E9"/>
    <mergeCell ref="M9:M10"/>
    <mergeCell ref="O9:O10"/>
    <mergeCell ref="D10:E10"/>
    <mergeCell ref="D11:E11"/>
    <mergeCell ref="D12:E12"/>
  </mergeCells>
  <phoneticPr fontId="0" type="noConversion"/>
  <conditionalFormatting sqref="B11:D11 B12:C210 F11:F210">
    <cfRule type="expression" dxfId="399" priority="200" stopIfTrue="1">
      <formula>$F11&lt;=0</formula>
    </cfRule>
  </conditionalFormatting>
  <conditionalFormatting sqref="D12">
    <cfRule type="expression" dxfId="398" priority="199" stopIfTrue="1">
      <formula>$F12&lt;=0</formula>
    </cfRule>
  </conditionalFormatting>
  <conditionalFormatting sqref="D13">
    <cfRule type="expression" dxfId="397" priority="198" stopIfTrue="1">
      <formula>$F13&lt;=0</formula>
    </cfRule>
  </conditionalFormatting>
  <conditionalFormatting sqref="D14">
    <cfRule type="expression" dxfId="396" priority="197" stopIfTrue="1">
      <formula>$F14&lt;=0</formula>
    </cfRule>
  </conditionalFormatting>
  <conditionalFormatting sqref="D15">
    <cfRule type="expression" dxfId="395" priority="196" stopIfTrue="1">
      <formula>$F15&lt;=0</formula>
    </cfRule>
  </conditionalFormatting>
  <conditionalFormatting sqref="D16">
    <cfRule type="expression" dxfId="394" priority="195" stopIfTrue="1">
      <formula>$F16&lt;=0</formula>
    </cfRule>
  </conditionalFormatting>
  <conditionalFormatting sqref="D17">
    <cfRule type="expression" dxfId="393" priority="194" stopIfTrue="1">
      <formula>$F17&lt;=0</formula>
    </cfRule>
  </conditionalFormatting>
  <conditionalFormatting sqref="D18">
    <cfRule type="expression" dxfId="392" priority="193" stopIfTrue="1">
      <formula>$F18&lt;=0</formula>
    </cfRule>
  </conditionalFormatting>
  <conditionalFormatting sqref="D19">
    <cfRule type="expression" dxfId="391" priority="192" stopIfTrue="1">
      <formula>$F19&lt;=0</formula>
    </cfRule>
  </conditionalFormatting>
  <conditionalFormatting sqref="D20">
    <cfRule type="expression" dxfId="390" priority="191" stopIfTrue="1">
      <formula>$F20&lt;=0</formula>
    </cfRule>
  </conditionalFormatting>
  <conditionalFormatting sqref="D21">
    <cfRule type="expression" dxfId="389" priority="190" stopIfTrue="1">
      <formula>$F21&lt;=0</formula>
    </cfRule>
  </conditionalFormatting>
  <conditionalFormatting sqref="D22">
    <cfRule type="expression" dxfId="388" priority="189" stopIfTrue="1">
      <formula>$F22&lt;=0</formula>
    </cfRule>
  </conditionalFormatting>
  <conditionalFormatting sqref="D23">
    <cfRule type="expression" dxfId="387" priority="188" stopIfTrue="1">
      <formula>$F23&lt;=0</formula>
    </cfRule>
  </conditionalFormatting>
  <conditionalFormatting sqref="D24">
    <cfRule type="expression" dxfId="386" priority="187" stopIfTrue="1">
      <formula>$F24&lt;=0</formula>
    </cfRule>
  </conditionalFormatting>
  <conditionalFormatting sqref="D25">
    <cfRule type="expression" dxfId="385" priority="186" stopIfTrue="1">
      <formula>$F25&lt;=0</formula>
    </cfRule>
  </conditionalFormatting>
  <conditionalFormatting sqref="D26">
    <cfRule type="expression" dxfId="384" priority="185" stopIfTrue="1">
      <formula>$F26&lt;=0</formula>
    </cfRule>
  </conditionalFormatting>
  <conditionalFormatting sqref="D27">
    <cfRule type="expression" dxfId="383" priority="184" stopIfTrue="1">
      <formula>$F27&lt;=0</formula>
    </cfRule>
  </conditionalFormatting>
  <conditionalFormatting sqref="D28">
    <cfRule type="expression" dxfId="382" priority="183" stopIfTrue="1">
      <formula>$F28&lt;=0</formula>
    </cfRule>
  </conditionalFormatting>
  <conditionalFormatting sqref="D29">
    <cfRule type="expression" dxfId="381" priority="182" stopIfTrue="1">
      <formula>$F29&lt;=0</formula>
    </cfRule>
  </conditionalFormatting>
  <conditionalFormatting sqref="D30">
    <cfRule type="expression" dxfId="380" priority="181" stopIfTrue="1">
      <formula>$F30&lt;=0</formula>
    </cfRule>
  </conditionalFormatting>
  <conditionalFormatting sqref="D31">
    <cfRule type="expression" dxfId="379" priority="180" stopIfTrue="1">
      <formula>$F31&lt;=0</formula>
    </cfRule>
  </conditionalFormatting>
  <conditionalFormatting sqref="D32">
    <cfRule type="expression" dxfId="378" priority="179" stopIfTrue="1">
      <formula>$F32&lt;=0</formula>
    </cfRule>
  </conditionalFormatting>
  <conditionalFormatting sqref="D33">
    <cfRule type="expression" dxfId="377" priority="178" stopIfTrue="1">
      <formula>$F33&lt;=0</formula>
    </cfRule>
  </conditionalFormatting>
  <conditionalFormatting sqref="D34">
    <cfRule type="expression" dxfId="376" priority="177" stopIfTrue="1">
      <formula>$F34&lt;=0</formula>
    </cfRule>
  </conditionalFormatting>
  <conditionalFormatting sqref="D35">
    <cfRule type="expression" dxfId="375" priority="176" stopIfTrue="1">
      <formula>$F35&lt;=0</formula>
    </cfRule>
  </conditionalFormatting>
  <conditionalFormatting sqref="D36">
    <cfRule type="expression" dxfId="374" priority="175" stopIfTrue="1">
      <formula>$F36&lt;=0</formula>
    </cfRule>
  </conditionalFormatting>
  <conditionalFormatting sqref="D37">
    <cfRule type="expression" dxfId="373" priority="174" stopIfTrue="1">
      <formula>$F37&lt;=0</formula>
    </cfRule>
  </conditionalFormatting>
  <conditionalFormatting sqref="D38">
    <cfRule type="expression" dxfId="372" priority="173" stopIfTrue="1">
      <formula>$F38&lt;=0</formula>
    </cfRule>
  </conditionalFormatting>
  <conditionalFormatting sqref="D39">
    <cfRule type="expression" dxfId="371" priority="172" stopIfTrue="1">
      <formula>$F39&lt;=0</formula>
    </cfRule>
  </conditionalFormatting>
  <conditionalFormatting sqref="D40">
    <cfRule type="expression" dxfId="370" priority="171" stopIfTrue="1">
      <formula>$F40&lt;=0</formula>
    </cfRule>
  </conditionalFormatting>
  <conditionalFormatting sqref="D41">
    <cfRule type="expression" dxfId="369" priority="170" stopIfTrue="1">
      <formula>$F41&lt;=0</formula>
    </cfRule>
  </conditionalFormatting>
  <conditionalFormatting sqref="D42">
    <cfRule type="expression" dxfId="368" priority="169" stopIfTrue="1">
      <formula>$F42&lt;=0</formula>
    </cfRule>
  </conditionalFormatting>
  <conditionalFormatting sqref="D43">
    <cfRule type="expression" dxfId="367" priority="168" stopIfTrue="1">
      <formula>$F43&lt;=0</formula>
    </cfRule>
  </conditionalFormatting>
  <conditionalFormatting sqref="D44">
    <cfRule type="expression" dxfId="366" priority="167" stopIfTrue="1">
      <formula>$F44&lt;=0</formula>
    </cfRule>
  </conditionalFormatting>
  <conditionalFormatting sqref="D45">
    <cfRule type="expression" dxfId="365" priority="166" stopIfTrue="1">
      <formula>$F45&lt;=0</formula>
    </cfRule>
  </conditionalFormatting>
  <conditionalFormatting sqref="D46">
    <cfRule type="expression" dxfId="364" priority="165" stopIfTrue="1">
      <formula>$F46&lt;=0</formula>
    </cfRule>
  </conditionalFormatting>
  <conditionalFormatting sqref="D47">
    <cfRule type="expression" dxfId="363" priority="164" stopIfTrue="1">
      <formula>$F47&lt;=0</formula>
    </cfRule>
  </conditionalFormatting>
  <conditionalFormatting sqref="D48">
    <cfRule type="expression" dxfId="362" priority="163" stopIfTrue="1">
      <formula>$F48&lt;=0</formula>
    </cfRule>
  </conditionalFormatting>
  <conditionalFormatting sqref="D49">
    <cfRule type="expression" dxfId="361" priority="162" stopIfTrue="1">
      <formula>$F49&lt;=0</formula>
    </cfRule>
  </conditionalFormatting>
  <conditionalFormatting sqref="D50">
    <cfRule type="expression" dxfId="360" priority="161" stopIfTrue="1">
      <formula>$F50&lt;=0</formula>
    </cfRule>
  </conditionalFormatting>
  <conditionalFormatting sqref="D51">
    <cfRule type="expression" dxfId="359" priority="160" stopIfTrue="1">
      <formula>$F51&lt;=0</formula>
    </cfRule>
  </conditionalFormatting>
  <conditionalFormatting sqref="D52">
    <cfRule type="expression" dxfId="358" priority="159" stopIfTrue="1">
      <formula>$F52&lt;=0</formula>
    </cfRule>
  </conditionalFormatting>
  <conditionalFormatting sqref="D53">
    <cfRule type="expression" dxfId="357" priority="158" stopIfTrue="1">
      <formula>$F53&lt;=0</formula>
    </cfRule>
  </conditionalFormatting>
  <conditionalFormatting sqref="D54">
    <cfRule type="expression" dxfId="356" priority="157" stopIfTrue="1">
      <formula>$F54&lt;=0</formula>
    </cfRule>
  </conditionalFormatting>
  <conditionalFormatting sqref="D55">
    <cfRule type="expression" dxfId="355" priority="156" stopIfTrue="1">
      <formula>$F55&lt;=0</formula>
    </cfRule>
  </conditionalFormatting>
  <conditionalFormatting sqref="D56">
    <cfRule type="expression" dxfId="354" priority="155" stopIfTrue="1">
      <formula>$F56&lt;=0</formula>
    </cfRule>
  </conditionalFormatting>
  <conditionalFormatting sqref="D57">
    <cfRule type="expression" dxfId="353" priority="154" stopIfTrue="1">
      <formula>$F57&lt;=0</formula>
    </cfRule>
  </conditionalFormatting>
  <conditionalFormatting sqref="D58">
    <cfRule type="expression" dxfId="352" priority="153" stopIfTrue="1">
      <formula>$F58&lt;=0</formula>
    </cfRule>
  </conditionalFormatting>
  <conditionalFormatting sqref="D59">
    <cfRule type="expression" dxfId="351" priority="152" stopIfTrue="1">
      <formula>$F59&lt;=0</formula>
    </cfRule>
  </conditionalFormatting>
  <conditionalFormatting sqref="D60">
    <cfRule type="expression" dxfId="350" priority="151" stopIfTrue="1">
      <formula>$F60&lt;=0</formula>
    </cfRule>
  </conditionalFormatting>
  <conditionalFormatting sqref="D61">
    <cfRule type="expression" dxfId="349" priority="150" stopIfTrue="1">
      <formula>$F61&lt;=0</formula>
    </cfRule>
  </conditionalFormatting>
  <conditionalFormatting sqref="D62">
    <cfRule type="expression" dxfId="348" priority="149" stopIfTrue="1">
      <formula>$F62&lt;=0</formula>
    </cfRule>
  </conditionalFormatting>
  <conditionalFormatting sqref="D63">
    <cfRule type="expression" dxfId="347" priority="148" stopIfTrue="1">
      <formula>$F63&lt;=0</formula>
    </cfRule>
  </conditionalFormatting>
  <conditionalFormatting sqref="D64">
    <cfRule type="expression" dxfId="346" priority="147" stopIfTrue="1">
      <formula>$F64&lt;=0</formula>
    </cfRule>
  </conditionalFormatting>
  <conditionalFormatting sqref="D65">
    <cfRule type="expression" dxfId="345" priority="146" stopIfTrue="1">
      <formula>$F65&lt;=0</formula>
    </cfRule>
  </conditionalFormatting>
  <conditionalFormatting sqref="D66">
    <cfRule type="expression" dxfId="344" priority="145" stopIfTrue="1">
      <formula>$F66&lt;=0</formula>
    </cfRule>
  </conditionalFormatting>
  <conditionalFormatting sqref="D67">
    <cfRule type="expression" dxfId="343" priority="144" stopIfTrue="1">
      <formula>$F67&lt;=0</formula>
    </cfRule>
  </conditionalFormatting>
  <conditionalFormatting sqref="D68">
    <cfRule type="expression" dxfId="342" priority="143" stopIfTrue="1">
      <formula>$F68&lt;=0</formula>
    </cfRule>
  </conditionalFormatting>
  <conditionalFormatting sqref="D69">
    <cfRule type="expression" dxfId="341" priority="142" stopIfTrue="1">
      <formula>$F69&lt;=0</formula>
    </cfRule>
  </conditionalFormatting>
  <conditionalFormatting sqref="D70">
    <cfRule type="expression" dxfId="340" priority="141" stopIfTrue="1">
      <formula>$F70&lt;=0</formula>
    </cfRule>
  </conditionalFormatting>
  <conditionalFormatting sqref="D71">
    <cfRule type="expression" dxfId="339" priority="140" stopIfTrue="1">
      <formula>$F71&lt;=0</formula>
    </cfRule>
  </conditionalFormatting>
  <conditionalFormatting sqref="D72">
    <cfRule type="expression" dxfId="338" priority="139" stopIfTrue="1">
      <formula>$F72&lt;=0</formula>
    </cfRule>
  </conditionalFormatting>
  <conditionalFormatting sqref="D73">
    <cfRule type="expression" dxfId="337" priority="138" stopIfTrue="1">
      <formula>$F73&lt;=0</formula>
    </cfRule>
  </conditionalFormatting>
  <conditionalFormatting sqref="D74">
    <cfRule type="expression" dxfId="336" priority="137" stopIfTrue="1">
      <formula>$F74&lt;=0</formula>
    </cfRule>
  </conditionalFormatting>
  <conditionalFormatting sqref="D75">
    <cfRule type="expression" dxfId="335" priority="136" stopIfTrue="1">
      <formula>$F75&lt;=0</formula>
    </cfRule>
  </conditionalFormatting>
  <conditionalFormatting sqref="D76">
    <cfRule type="expression" dxfId="334" priority="135" stopIfTrue="1">
      <formula>$F76&lt;=0</formula>
    </cfRule>
  </conditionalFormatting>
  <conditionalFormatting sqref="D77">
    <cfRule type="expression" dxfId="333" priority="134" stopIfTrue="1">
      <formula>$F77&lt;=0</formula>
    </cfRule>
  </conditionalFormatting>
  <conditionalFormatting sqref="D78">
    <cfRule type="expression" dxfId="332" priority="133" stopIfTrue="1">
      <formula>$F78&lt;=0</formula>
    </cfRule>
  </conditionalFormatting>
  <conditionalFormatting sqref="D79">
    <cfRule type="expression" dxfId="331" priority="132" stopIfTrue="1">
      <formula>$F79&lt;=0</formula>
    </cfRule>
  </conditionalFormatting>
  <conditionalFormatting sqref="D80">
    <cfRule type="expression" dxfId="330" priority="131" stopIfTrue="1">
      <formula>$F80&lt;=0</formula>
    </cfRule>
  </conditionalFormatting>
  <conditionalFormatting sqref="D81">
    <cfRule type="expression" dxfId="329" priority="130" stopIfTrue="1">
      <formula>$F81&lt;=0</formula>
    </cfRule>
  </conditionalFormatting>
  <conditionalFormatting sqref="D82">
    <cfRule type="expression" dxfId="328" priority="129" stopIfTrue="1">
      <formula>$F82&lt;=0</formula>
    </cfRule>
  </conditionalFormatting>
  <conditionalFormatting sqref="D83">
    <cfRule type="expression" dxfId="327" priority="128" stopIfTrue="1">
      <formula>$F83&lt;=0</formula>
    </cfRule>
  </conditionalFormatting>
  <conditionalFormatting sqref="D84">
    <cfRule type="expression" dxfId="326" priority="127" stopIfTrue="1">
      <formula>$F84&lt;=0</formula>
    </cfRule>
  </conditionalFormatting>
  <conditionalFormatting sqref="D85">
    <cfRule type="expression" dxfId="325" priority="126" stopIfTrue="1">
      <formula>$F85&lt;=0</formula>
    </cfRule>
  </conditionalFormatting>
  <conditionalFormatting sqref="D86">
    <cfRule type="expression" dxfId="324" priority="125" stopIfTrue="1">
      <formula>$F86&lt;=0</formula>
    </cfRule>
  </conditionalFormatting>
  <conditionalFormatting sqref="D87">
    <cfRule type="expression" dxfId="323" priority="124" stopIfTrue="1">
      <formula>$F87&lt;=0</formula>
    </cfRule>
  </conditionalFormatting>
  <conditionalFormatting sqref="D88">
    <cfRule type="expression" dxfId="322" priority="123" stopIfTrue="1">
      <formula>$F88&lt;=0</formula>
    </cfRule>
  </conditionalFormatting>
  <conditionalFormatting sqref="D89">
    <cfRule type="expression" dxfId="321" priority="122" stopIfTrue="1">
      <formula>$F89&lt;=0</formula>
    </cfRule>
  </conditionalFormatting>
  <conditionalFormatting sqref="D90">
    <cfRule type="expression" dxfId="320" priority="121" stopIfTrue="1">
      <formula>$F90&lt;=0</formula>
    </cfRule>
  </conditionalFormatting>
  <conditionalFormatting sqref="D91">
    <cfRule type="expression" dxfId="319" priority="120" stopIfTrue="1">
      <formula>$F91&lt;=0</formula>
    </cfRule>
  </conditionalFormatting>
  <conditionalFormatting sqref="D92">
    <cfRule type="expression" dxfId="318" priority="119" stopIfTrue="1">
      <formula>$F92&lt;=0</formula>
    </cfRule>
  </conditionalFormatting>
  <conditionalFormatting sqref="D93">
    <cfRule type="expression" dxfId="317" priority="118" stopIfTrue="1">
      <formula>$F93&lt;=0</formula>
    </cfRule>
  </conditionalFormatting>
  <conditionalFormatting sqref="D94">
    <cfRule type="expression" dxfId="316" priority="117" stopIfTrue="1">
      <formula>$F94&lt;=0</formula>
    </cfRule>
  </conditionalFormatting>
  <conditionalFormatting sqref="D95">
    <cfRule type="expression" dxfId="315" priority="116" stopIfTrue="1">
      <formula>$F95&lt;=0</formula>
    </cfRule>
  </conditionalFormatting>
  <conditionalFormatting sqref="D96">
    <cfRule type="expression" dxfId="314" priority="115" stopIfTrue="1">
      <formula>$F96&lt;=0</formula>
    </cfRule>
  </conditionalFormatting>
  <conditionalFormatting sqref="D97">
    <cfRule type="expression" dxfId="313" priority="114" stopIfTrue="1">
      <formula>$F97&lt;=0</formula>
    </cfRule>
  </conditionalFormatting>
  <conditionalFormatting sqref="D98">
    <cfRule type="expression" dxfId="312" priority="113" stopIfTrue="1">
      <formula>$F98&lt;=0</formula>
    </cfRule>
  </conditionalFormatting>
  <conditionalFormatting sqref="D99">
    <cfRule type="expression" dxfId="311" priority="112" stopIfTrue="1">
      <formula>$F99&lt;=0</formula>
    </cfRule>
  </conditionalFormatting>
  <conditionalFormatting sqref="D100">
    <cfRule type="expression" dxfId="310" priority="111" stopIfTrue="1">
      <formula>$F100&lt;=0</formula>
    </cfRule>
  </conditionalFormatting>
  <conditionalFormatting sqref="D101">
    <cfRule type="expression" dxfId="309" priority="110" stopIfTrue="1">
      <formula>$F101&lt;=0</formula>
    </cfRule>
  </conditionalFormatting>
  <conditionalFormatting sqref="D102">
    <cfRule type="expression" dxfId="308" priority="109" stopIfTrue="1">
      <formula>$F102&lt;=0</formula>
    </cfRule>
  </conditionalFormatting>
  <conditionalFormatting sqref="D103">
    <cfRule type="expression" dxfId="307" priority="108" stopIfTrue="1">
      <formula>$F103&lt;=0</formula>
    </cfRule>
  </conditionalFormatting>
  <conditionalFormatting sqref="D104">
    <cfRule type="expression" dxfId="306" priority="107" stopIfTrue="1">
      <formula>$F104&lt;=0</formula>
    </cfRule>
  </conditionalFormatting>
  <conditionalFormatting sqref="D105">
    <cfRule type="expression" dxfId="305" priority="106" stopIfTrue="1">
      <formula>$F105&lt;=0</formula>
    </cfRule>
  </conditionalFormatting>
  <conditionalFormatting sqref="D106">
    <cfRule type="expression" dxfId="304" priority="105" stopIfTrue="1">
      <formula>$F106&lt;=0</formula>
    </cfRule>
  </conditionalFormatting>
  <conditionalFormatting sqref="D107">
    <cfRule type="expression" dxfId="303" priority="104" stopIfTrue="1">
      <formula>$F107&lt;=0</formula>
    </cfRule>
  </conditionalFormatting>
  <conditionalFormatting sqref="D108">
    <cfRule type="expression" dxfId="302" priority="103" stopIfTrue="1">
      <formula>$F108&lt;=0</formula>
    </cfRule>
  </conditionalFormatting>
  <conditionalFormatting sqref="D109">
    <cfRule type="expression" dxfId="301" priority="102" stopIfTrue="1">
      <formula>$F109&lt;=0</formula>
    </cfRule>
  </conditionalFormatting>
  <conditionalFormatting sqref="D110">
    <cfRule type="expression" dxfId="300" priority="101" stopIfTrue="1">
      <formula>$F110&lt;=0</formula>
    </cfRule>
  </conditionalFormatting>
  <conditionalFormatting sqref="D111">
    <cfRule type="expression" dxfId="299" priority="100" stopIfTrue="1">
      <formula>$F111&lt;=0</formula>
    </cfRule>
  </conditionalFormatting>
  <conditionalFormatting sqref="D112">
    <cfRule type="expression" dxfId="298" priority="99" stopIfTrue="1">
      <formula>$F112&lt;=0</formula>
    </cfRule>
  </conditionalFormatting>
  <conditionalFormatting sqref="D113">
    <cfRule type="expression" dxfId="297" priority="98" stopIfTrue="1">
      <formula>$F113&lt;=0</formula>
    </cfRule>
  </conditionalFormatting>
  <conditionalFormatting sqref="D114">
    <cfRule type="expression" dxfId="296" priority="97" stopIfTrue="1">
      <formula>$F114&lt;=0</formula>
    </cfRule>
  </conditionalFormatting>
  <conditionalFormatting sqref="D115">
    <cfRule type="expression" dxfId="295" priority="96" stopIfTrue="1">
      <formula>$F115&lt;=0</formula>
    </cfRule>
  </conditionalFormatting>
  <conditionalFormatting sqref="D116">
    <cfRule type="expression" dxfId="294" priority="95" stopIfTrue="1">
      <formula>$F116&lt;=0</formula>
    </cfRule>
  </conditionalFormatting>
  <conditionalFormatting sqref="D117">
    <cfRule type="expression" dxfId="293" priority="94" stopIfTrue="1">
      <formula>$F117&lt;=0</formula>
    </cfRule>
  </conditionalFormatting>
  <conditionalFormatting sqref="D118">
    <cfRule type="expression" dxfId="292" priority="93" stopIfTrue="1">
      <formula>$F118&lt;=0</formula>
    </cfRule>
  </conditionalFormatting>
  <conditionalFormatting sqref="D119">
    <cfRule type="expression" dxfId="291" priority="92" stopIfTrue="1">
      <formula>$F119&lt;=0</formula>
    </cfRule>
  </conditionalFormatting>
  <conditionalFormatting sqref="D120">
    <cfRule type="expression" dxfId="290" priority="91" stopIfTrue="1">
      <formula>$F120&lt;=0</formula>
    </cfRule>
  </conditionalFormatting>
  <conditionalFormatting sqref="D121">
    <cfRule type="expression" dxfId="289" priority="90" stopIfTrue="1">
      <formula>$F121&lt;=0</formula>
    </cfRule>
  </conditionalFormatting>
  <conditionalFormatting sqref="D122">
    <cfRule type="expression" dxfId="288" priority="89" stopIfTrue="1">
      <formula>$F122&lt;=0</formula>
    </cfRule>
  </conditionalFormatting>
  <conditionalFormatting sqref="D123">
    <cfRule type="expression" dxfId="287" priority="88" stopIfTrue="1">
      <formula>$F123&lt;=0</formula>
    </cfRule>
  </conditionalFormatting>
  <conditionalFormatting sqref="D124">
    <cfRule type="expression" dxfId="286" priority="87" stopIfTrue="1">
      <formula>$F124&lt;=0</formula>
    </cfRule>
  </conditionalFormatting>
  <conditionalFormatting sqref="D125">
    <cfRule type="expression" dxfId="285" priority="86" stopIfTrue="1">
      <formula>$F125&lt;=0</formula>
    </cfRule>
  </conditionalFormatting>
  <conditionalFormatting sqref="D126">
    <cfRule type="expression" dxfId="284" priority="85" stopIfTrue="1">
      <formula>$F126&lt;=0</formula>
    </cfRule>
  </conditionalFormatting>
  <conditionalFormatting sqref="D127">
    <cfRule type="expression" dxfId="283" priority="84" stopIfTrue="1">
      <formula>$F127&lt;=0</formula>
    </cfRule>
  </conditionalFormatting>
  <conditionalFormatting sqref="D128">
    <cfRule type="expression" dxfId="282" priority="83" stopIfTrue="1">
      <formula>$F128&lt;=0</formula>
    </cfRule>
  </conditionalFormatting>
  <conditionalFormatting sqref="D129">
    <cfRule type="expression" dxfId="281" priority="82" stopIfTrue="1">
      <formula>$F129&lt;=0</formula>
    </cfRule>
  </conditionalFormatting>
  <conditionalFormatting sqref="D130">
    <cfRule type="expression" dxfId="280" priority="81" stopIfTrue="1">
      <formula>$F130&lt;=0</formula>
    </cfRule>
  </conditionalFormatting>
  <conditionalFormatting sqref="D131">
    <cfRule type="expression" dxfId="279" priority="80" stopIfTrue="1">
      <formula>$F131&lt;=0</formula>
    </cfRule>
  </conditionalFormatting>
  <conditionalFormatting sqref="D132">
    <cfRule type="expression" dxfId="278" priority="79" stopIfTrue="1">
      <formula>$F132&lt;=0</formula>
    </cfRule>
  </conditionalFormatting>
  <conditionalFormatting sqref="D133">
    <cfRule type="expression" dxfId="277" priority="78" stopIfTrue="1">
      <formula>$F133&lt;=0</formula>
    </cfRule>
  </conditionalFormatting>
  <conditionalFormatting sqref="D134">
    <cfRule type="expression" dxfId="276" priority="77" stopIfTrue="1">
      <formula>$F134&lt;=0</formula>
    </cfRule>
  </conditionalFormatting>
  <conditionalFormatting sqref="D135">
    <cfRule type="expression" dxfId="275" priority="76" stopIfTrue="1">
      <formula>$F135&lt;=0</formula>
    </cfRule>
  </conditionalFormatting>
  <conditionalFormatting sqref="D136">
    <cfRule type="expression" dxfId="274" priority="75" stopIfTrue="1">
      <formula>$F136&lt;=0</formula>
    </cfRule>
  </conditionalFormatting>
  <conditionalFormatting sqref="D137">
    <cfRule type="expression" dxfId="273" priority="74" stopIfTrue="1">
      <formula>$F137&lt;=0</formula>
    </cfRule>
  </conditionalFormatting>
  <conditionalFormatting sqref="D138">
    <cfRule type="expression" dxfId="272" priority="73" stopIfTrue="1">
      <formula>$F138&lt;=0</formula>
    </cfRule>
  </conditionalFormatting>
  <conditionalFormatting sqref="D139">
    <cfRule type="expression" dxfId="271" priority="72" stopIfTrue="1">
      <formula>$F139&lt;=0</formula>
    </cfRule>
  </conditionalFormatting>
  <conditionalFormatting sqref="D140">
    <cfRule type="expression" dxfId="270" priority="71" stopIfTrue="1">
      <formula>$F140&lt;=0</formula>
    </cfRule>
  </conditionalFormatting>
  <conditionalFormatting sqref="D141">
    <cfRule type="expression" dxfId="269" priority="70" stopIfTrue="1">
      <formula>$F141&lt;=0</formula>
    </cfRule>
  </conditionalFormatting>
  <conditionalFormatting sqref="D142">
    <cfRule type="expression" dxfId="268" priority="69" stopIfTrue="1">
      <formula>$F142&lt;=0</formula>
    </cfRule>
  </conditionalFormatting>
  <conditionalFormatting sqref="D143">
    <cfRule type="expression" dxfId="267" priority="68" stopIfTrue="1">
      <formula>$F143&lt;=0</formula>
    </cfRule>
  </conditionalFormatting>
  <conditionalFormatting sqref="D144">
    <cfRule type="expression" dxfId="266" priority="67" stopIfTrue="1">
      <formula>$F144&lt;=0</formula>
    </cfRule>
  </conditionalFormatting>
  <conditionalFormatting sqref="D145">
    <cfRule type="expression" dxfId="265" priority="66" stopIfTrue="1">
      <formula>$F145&lt;=0</formula>
    </cfRule>
  </conditionalFormatting>
  <conditionalFormatting sqref="D146">
    <cfRule type="expression" dxfId="264" priority="65" stopIfTrue="1">
      <formula>$F146&lt;=0</formula>
    </cfRule>
  </conditionalFormatting>
  <conditionalFormatting sqref="D147">
    <cfRule type="expression" dxfId="263" priority="64" stopIfTrue="1">
      <formula>$F147&lt;=0</formula>
    </cfRule>
  </conditionalFormatting>
  <conditionalFormatting sqref="D148">
    <cfRule type="expression" dxfId="262" priority="63" stopIfTrue="1">
      <formula>$F148&lt;=0</formula>
    </cfRule>
  </conditionalFormatting>
  <conditionalFormatting sqref="D149">
    <cfRule type="expression" dxfId="261" priority="62" stopIfTrue="1">
      <formula>$F149&lt;=0</formula>
    </cfRule>
  </conditionalFormatting>
  <conditionalFormatting sqref="D150">
    <cfRule type="expression" dxfId="260" priority="61" stopIfTrue="1">
      <formula>$F150&lt;=0</formula>
    </cfRule>
  </conditionalFormatting>
  <conditionalFormatting sqref="D151">
    <cfRule type="expression" dxfId="259" priority="60" stopIfTrue="1">
      <formula>$F151&lt;=0</formula>
    </cfRule>
  </conditionalFormatting>
  <conditionalFormatting sqref="D152">
    <cfRule type="expression" dxfId="258" priority="59" stopIfTrue="1">
      <formula>$F152&lt;=0</formula>
    </cfRule>
  </conditionalFormatting>
  <conditionalFormatting sqref="D153">
    <cfRule type="expression" dxfId="257" priority="58" stopIfTrue="1">
      <formula>$F153&lt;=0</formula>
    </cfRule>
  </conditionalFormatting>
  <conditionalFormatting sqref="D154">
    <cfRule type="expression" dxfId="256" priority="57" stopIfTrue="1">
      <formula>$F154&lt;=0</formula>
    </cfRule>
  </conditionalFormatting>
  <conditionalFormatting sqref="D155">
    <cfRule type="expression" dxfId="255" priority="56" stopIfTrue="1">
      <formula>$F155&lt;=0</formula>
    </cfRule>
  </conditionalFormatting>
  <conditionalFormatting sqref="D156">
    <cfRule type="expression" dxfId="254" priority="55" stopIfTrue="1">
      <formula>$F156&lt;=0</formula>
    </cfRule>
  </conditionalFormatting>
  <conditionalFormatting sqref="D157">
    <cfRule type="expression" dxfId="253" priority="54" stopIfTrue="1">
      <formula>$F157&lt;=0</formula>
    </cfRule>
  </conditionalFormatting>
  <conditionalFormatting sqref="D158">
    <cfRule type="expression" dxfId="252" priority="53" stopIfTrue="1">
      <formula>$F158&lt;=0</formula>
    </cfRule>
  </conditionalFormatting>
  <conditionalFormatting sqref="D159">
    <cfRule type="expression" dxfId="251" priority="52" stopIfTrue="1">
      <formula>$F159&lt;=0</formula>
    </cfRule>
  </conditionalFormatting>
  <conditionalFormatting sqref="D160">
    <cfRule type="expression" dxfId="250" priority="51" stopIfTrue="1">
      <formula>$F160&lt;=0</formula>
    </cfRule>
  </conditionalFormatting>
  <conditionalFormatting sqref="D161">
    <cfRule type="expression" dxfId="249" priority="50" stopIfTrue="1">
      <formula>$F161&lt;=0</formula>
    </cfRule>
  </conditionalFormatting>
  <conditionalFormatting sqref="D162">
    <cfRule type="expression" dxfId="248" priority="49" stopIfTrue="1">
      <formula>$F162&lt;=0</formula>
    </cfRule>
  </conditionalFormatting>
  <conditionalFormatting sqref="D163">
    <cfRule type="expression" dxfId="247" priority="48" stopIfTrue="1">
      <formula>$F163&lt;=0</formula>
    </cfRule>
  </conditionalFormatting>
  <conditionalFormatting sqref="D164">
    <cfRule type="expression" dxfId="246" priority="47" stopIfTrue="1">
      <formula>$F164&lt;=0</formula>
    </cfRule>
  </conditionalFormatting>
  <conditionalFormatting sqref="D165">
    <cfRule type="expression" dxfId="245" priority="46" stopIfTrue="1">
      <formula>$F165&lt;=0</formula>
    </cfRule>
  </conditionalFormatting>
  <conditionalFormatting sqref="D166">
    <cfRule type="expression" dxfId="244" priority="45" stopIfTrue="1">
      <formula>$F166&lt;=0</formula>
    </cfRule>
  </conditionalFormatting>
  <conditionalFormatting sqref="D167">
    <cfRule type="expression" dxfId="243" priority="44" stopIfTrue="1">
      <formula>$F167&lt;=0</formula>
    </cfRule>
  </conditionalFormatting>
  <conditionalFormatting sqref="D168">
    <cfRule type="expression" dxfId="242" priority="43" stopIfTrue="1">
      <formula>$F168&lt;=0</formula>
    </cfRule>
  </conditionalFormatting>
  <conditionalFormatting sqref="D169">
    <cfRule type="expression" dxfId="241" priority="42" stopIfTrue="1">
      <formula>$F169&lt;=0</formula>
    </cfRule>
  </conditionalFormatting>
  <conditionalFormatting sqref="D170">
    <cfRule type="expression" dxfId="240" priority="41" stopIfTrue="1">
      <formula>$F170&lt;=0</formula>
    </cfRule>
  </conditionalFormatting>
  <conditionalFormatting sqref="D171">
    <cfRule type="expression" dxfId="239" priority="40" stopIfTrue="1">
      <formula>$F171&lt;=0</formula>
    </cfRule>
  </conditionalFormatting>
  <conditionalFormatting sqref="D172">
    <cfRule type="expression" dxfId="238" priority="39" stopIfTrue="1">
      <formula>$F172&lt;=0</formula>
    </cfRule>
  </conditionalFormatting>
  <conditionalFormatting sqref="D173">
    <cfRule type="expression" dxfId="237" priority="38" stopIfTrue="1">
      <formula>$F173&lt;=0</formula>
    </cfRule>
  </conditionalFormatting>
  <conditionalFormatting sqref="D174">
    <cfRule type="expression" dxfId="236" priority="37" stopIfTrue="1">
      <formula>$F174&lt;=0</formula>
    </cfRule>
  </conditionalFormatting>
  <conditionalFormatting sqref="D175">
    <cfRule type="expression" dxfId="235" priority="36" stopIfTrue="1">
      <formula>$F175&lt;=0</formula>
    </cfRule>
  </conditionalFormatting>
  <conditionalFormatting sqref="D176">
    <cfRule type="expression" dxfId="234" priority="35" stopIfTrue="1">
      <formula>$F176&lt;=0</formula>
    </cfRule>
  </conditionalFormatting>
  <conditionalFormatting sqref="D177">
    <cfRule type="expression" dxfId="233" priority="34" stopIfTrue="1">
      <formula>$F177&lt;=0</formula>
    </cfRule>
  </conditionalFormatting>
  <conditionalFormatting sqref="D178">
    <cfRule type="expression" dxfId="232" priority="33" stopIfTrue="1">
      <formula>$F178&lt;=0</formula>
    </cfRule>
  </conditionalFormatting>
  <conditionalFormatting sqref="D179">
    <cfRule type="expression" dxfId="231" priority="32" stopIfTrue="1">
      <formula>$F179&lt;=0</formula>
    </cfRule>
  </conditionalFormatting>
  <conditionalFormatting sqref="D180">
    <cfRule type="expression" dxfId="230" priority="31" stopIfTrue="1">
      <formula>$F180&lt;=0</formula>
    </cfRule>
  </conditionalFormatting>
  <conditionalFormatting sqref="D181">
    <cfRule type="expression" dxfId="229" priority="30" stopIfTrue="1">
      <formula>$F181&lt;=0</formula>
    </cfRule>
  </conditionalFormatting>
  <conditionalFormatting sqref="D182">
    <cfRule type="expression" dxfId="228" priority="29" stopIfTrue="1">
      <formula>$F182&lt;=0</formula>
    </cfRule>
  </conditionalFormatting>
  <conditionalFormatting sqref="D183">
    <cfRule type="expression" dxfId="227" priority="28" stopIfTrue="1">
      <formula>$F183&lt;=0</formula>
    </cfRule>
  </conditionalFormatting>
  <conditionalFormatting sqref="D184">
    <cfRule type="expression" dxfId="226" priority="27" stopIfTrue="1">
      <formula>$F184&lt;=0</formula>
    </cfRule>
  </conditionalFormatting>
  <conditionalFormatting sqref="D185">
    <cfRule type="expression" dxfId="225" priority="26" stopIfTrue="1">
      <formula>$F185&lt;=0</formula>
    </cfRule>
  </conditionalFormatting>
  <conditionalFormatting sqref="D186">
    <cfRule type="expression" dxfId="224" priority="25" stopIfTrue="1">
      <formula>$F186&lt;=0</formula>
    </cfRule>
  </conditionalFormatting>
  <conditionalFormatting sqref="D187">
    <cfRule type="expression" dxfId="223" priority="24" stopIfTrue="1">
      <formula>$F187&lt;=0</formula>
    </cfRule>
  </conditionalFormatting>
  <conditionalFormatting sqref="D188">
    <cfRule type="expression" dxfId="222" priority="23" stopIfTrue="1">
      <formula>$F188&lt;=0</formula>
    </cfRule>
  </conditionalFormatting>
  <conditionalFormatting sqref="D189">
    <cfRule type="expression" dxfId="221" priority="22" stopIfTrue="1">
      <formula>$F189&lt;=0</formula>
    </cfRule>
  </conditionalFormatting>
  <conditionalFormatting sqref="D190">
    <cfRule type="expression" dxfId="220" priority="21" stopIfTrue="1">
      <formula>$F190&lt;=0</formula>
    </cfRule>
  </conditionalFormatting>
  <conditionalFormatting sqref="D191">
    <cfRule type="expression" dxfId="219" priority="20" stopIfTrue="1">
      <formula>$F191&lt;=0</formula>
    </cfRule>
  </conditionalFormatting>
  <conditionalFormatting sqref="D192">
    <cfRule type="expression" dxfId="218" priority="19" stopIfTrue="1">
      <formula>$F192&lt;=0</formula>
    </cfRule>
  </conditionalFormatting>
  <conditionalFormatting sqref="D193">
    <cfRule type="expression" dxfId="217" priority="18" stopIfTrue="1">
      <formula>$F193&lt;=0</formula>
    </cfRule>
  </conditionalFormatting>
  <conditionalFormatting sqref="D194">
    <cfRule type="expression" dxfId="216" priority="17" stopIfTrue="1">
      <formula>$F194&lt;=0</formula>
    </cfRule>
  </conditionalFormatting>
  <conditionalFormatting sqref="D195">
    <cfRule type="expression" dxfId="215" priority="16" stopIfTrue="1">
      <formula>$F195&lt;=0</formula>
    </cfRule>
  </conditionalFormatting>
  <conditionalFormatting sqref="D196">
    <cfRule type="expression" dxfId="214" priority="15" stopIfTrue="1">
      <formula>$F196&lt;=0</formula>
    </cfRule>
  </conditionalFormatting>
  <conditionalFormatting sqref="D197">
    <cfRule type="expression" dxfId="213" priority="14" stopIfTrue="1">
      <formula>$F197&lt;=0</formula>
    </cfRule>
  </conditionalFormatting>
  <conditionalFormatting sqref="D198">
    <cfRule type="expression" dxfId="212" priority="13" stopIfTrue="1">
      <formula>$F198&lt;=0</formula>
    </cfRule>
  </conditionalFormatting>
  <conditionalFormatting sqref="D199">
    <cfRule type="expression" dxfId="211" priority="12" stopIfTrue="1">
      <formula>$F199&lt;=0</formula>
    </cfRule>
  </conditionalFormatting>
  <conditionalFormatting sqref="D200">
    <cfRule type="expression" dxfId="210" priority="11" stopIfTrue="1">
      <formula>$F200&lt;=0</formula>
    </cfRule>
  </conditionalFormatting>
  <conditionalFormatting sqref="D201">
    <cfRule type="expression" dxfId="209" priority="10" stopIfTrue="1">
      <formula>$F201&lt;=0</formula>
    </cfRule>
  </conditionalFormatting>
  <conditionalFormatting sqref="D202">
    <cfRule type="expression" dxfId="208" priority="9" stopIfTrue="1">
      <formula>$F202&lt;=0</formula>
    </cfRule>
  </conditionalFormatting>
  <conditionalFormatting sqref="D203">
    <cfRule type="expression" dxfId="207" priority="8" stopIfTrue="1">
      <formula>$F203&lt;=0</formula>
    </cfRule>
  </conditionalFormatting>
  <conditionalFormatting sqref="D204">
    <cfRule type="expression" dxfId="206" priority="7" stopIfTrue="1">
      <formula>$F204&lt;=0</formula>
    </cfRule>
  </conditionalFormatting>
  <conditionalFormatting sqref="D205">
    <cfRule type="expression" dxfId="205" priority="6" stopIfTrue="1">
      <formula>$F205&lt;=0</formula>
    </cfRule>
  </conditionalFormatting>
  <conditionalFormatting sqref="D206">
    <cfRule type="expression" dxfId="204" priority="5" stopIfTrue="1">
      <formula>$F206&lt;=0</formula>
    </cfRule>
  </conditionalFormatting>
  <conditionalFormatting sqref="D207">
    <cfRule type="expression" dxfId="203" priority="4" stopIfTrue="1">
      <formula>$F207&lt;=0</formula>
    </cfRule>
  </conditionalFormatting>
  <conditionalFormatting sqref="D208">
    <cfRule type="expression" dxfId="202" priority="3" stopIfTrue="1">
      <formula>$F208&lt;=0</formula>
    </cfRule>
  </conditionalFormatting>
  <conditionalFormatting sqref="D209">
    <cfRule type="expression" dxfId="201" priority="2" stopIfTrue="1">
      <formula>$F209&lt;=0</formula>
    </cfRule>
  </conditionalFormatting>
  <conditionalFormatting sqref="D210">
    <cfRule type="expression" dxfId="200" priority="1" stopIfTrue="1">
      <formula>$F210&lt;=0</formula>
    </cfRule>
  </conditionalFormatting>
  <dataValidations count="1">
    <dataValidation type="list" showInputMessage="1" showErrorMessage="1" promptTitle="Selecione o tipo de reação" sqref="H11:H210" xr:uid="{00000000-0002-0000-0500-000000000000}">
      <formula1>$R$2:$R$7</formula1>
    </dataValidation>
  </dataValidations>
  <pageMargins left="0.78740157499999996" right="0.78740157499999996" top="0.984251969" bottom="0.984251969" header="0.49212598499999999" footer="0.49212598499999999"/>
  <pageSetup paperSize="9" scale="80" orientation="landscape" horizontalDpi="360" verticalDpi="36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BO1075"/>
  <sheetViews>
    <sheetView zoomScale="90" zoomScaleNormal="90" workbookViewId="0">
      <pane ySplit="10" topLeftCell="A11" activePane="bottomLeft" state="frozen"/>
      <selection pane="bottomLeft" activeCell="A11" sqref="A11"/>
    </sheetView>
  </sheetViews>
  <sheetFormatPr defaultColWidth="9.09765625" defaultRowHeight="12.5"/>
  <cols>
    <col min="1" max="1" width="5" style="7" customWidth="1"/>
    <col min="2" max="2" width="11.69921875" style="64" customWidth="1"/>
    <col min="3" max="3" width="15.296875" style="7" customWidth="1"/>
    <col min="4" max="4" width="31.3984375" style="6" customWidth="1"/>
    <col min="5" max="5" width="20.3984375" style="6" customWidth="1"/>
    <col min="6" max="6" width="13.296875" style="6" customWidth="1"/>
    <col min="7" max="7" width="31.69921875" style="7" customWidth="1"/>
    <col min="8" max="8" width="13.3984375" style="40" customWidth="1"/>
    <col min="9" max="9" width="12.296875" style="7" customWidth="1"/>
    <col min="10" max="10" width="10.3984375" style="12" customWidth="1"/>
    <col min="11" max="11" width="15.8984375" style="12" customWidth="1"/>
    <col min="12" max="12" width="15.296875" style="12" customWidth="1"/>
    <col min="13" max="13" width="30.09765625" style="7" customWidth="1"/>
    <col min="14" max="14" width="14.8984375" style="7" customWidth="1"/>
    <col min="15" max="15" width="37.3984375" style="7" customWidth="1"/>
    <col min="16" max="17" width="9.09765625" style="1"/>
    <col min="18" max="18" width="15" style="1" customWidth="1"/>
    <col min="19" max="19" width="11.3984375" style="1" customWidth="1"/>
    <col min="20" max="16384" width="9.09765625" style="1"/>
  </cols>
  <sheetData>
    <row r="1" spans="1:67" ht="18">
      <c r="A1" s="141" t="s">
        <v>149</v>
      </c>
      <c r="B1" s="142"/>
      <c r="C1" s="143"/>
      <c r="D1" s="144"/>
      <c r="E1" s="91"/>
      <c r="F1" s="91"/>
      <c r="G1" s="146"/>
      <c r="H1" s="119"/>
      <c r="I1" s="96"/>
      <c r="J1" s="119" t="s">
        <v>11</v>
      </c>
      <c r="K1" s="146"/>
      <c r="L1" s="119"/>
      <c r="M1" s="146"/>
      <c r="N1" s="96"/>
      <c r="O1" s="145"/>
      <c r="R1" s="425" t="s">
        <v>39</v>
      </c>
      <c r="S1" s="425"/>
    </row>
    <row r="2" spans="1:67" ht="13">
      <c r="A2" s="98"/>
      <c r="B2" s="89"/>
      <c r="C2" s="147" t="s">
        <v>0</v>
      </c>
      <c r="D2" s="96" t="str">
        <f>Abertura!B6</f>
        <v>Projeto Realização do Churrasco da Turma</v>
      </c>
      <c r="E2" s="96"/>
      <c r="F2" s="91"/>
      <c r="G2" s="89"/>
      <c r="H2" s="199"/>
      <c r="I2" s="89"/>
      <c r="J2" s="200"/>
      <c r="K2" s="200"/>
      <c r="L2" s="200"/>
      <c r="M2" s="89"/>
      <c r="N2" s="89"/>
      <c r="O2" s="89"/>
      <c r="R2" s="36"/>
      <c r="S2" s="36"/>
    </row>
    <row r="3" spans="1:67" ht="13">
      <c r="A3" s="98"/>
      <c r="B3" s="89"/>
      <c r="C3" s="147" t="s">
        <v>14</v>
      </c>
      <c r="D3" s="96" t="str">
        <f>Abertura!B7</f>
        <v>Turma MBA GP18</v>
      </c>
      <c r="E3" s="96"/>
      <c r="F3" s="91"/>
      <c r="G3" s="96"/>
      <c r="H3" s="89">
        <f>Abertura!B9</f>
        <v>45277</v>
      </c>
      <c r="I3" s="96"/>
      <c r="J3" s="119"/>
      <c r="K3" s="119"/>
      <c r="L3" s="119"/>
      <c r="M3" s="96"/>
      <c r="N3" s="96"/>
      <c r="O3" s="96"/>
      <c r="R3" s="36"/>
      <c r="S3" s="36" t="s">
        <v>37</v>
      </c>
    </row>
    <row r="4" spans="1:67" ht="13">
      <c r="A4" s="103"/>
      <c r="B4" s="148"/>
      <c r="C4" s="121" t="s">
        <v>15</v>
      </c>
      <c r="D4" s="105" t="str">
        <f>Abertura!B8</f>
        <v>Vicente</v>
      </c>
      <c r="E4" s="105"/>
      <c r="F4" s="124"/>
      <c r="G4" s="125"/>
      <c r="H4" s="105" t="s">
        <v>190</v>
      </c>
      <c r="I4" s="125"/>
      <c r="J4" s="125"/>
      <c r="K4" s="125"/>
      <c r="L4" s="125"/>
      <c r="M4" s="125"/>
      <c r="N4" s="125"/>
      <c r="O4" s="125"/>
      <c r="R4" s="36"/>
      <c r="S4" s="36" t="s">
        <v>113</v>
      </c>
    </row>
    <row r="5" spans="1:67" s="12" customFormat="1" ht="13">
      <c r="A5" s="37"/>
      <c r="B5" s="62"/>
      <c r="C5" s="37"/>
      <c r="D5" s="38"/>
      <c r="E5" s="38"/>
      <c r="F5" s="38"/>
      <c r="G5" s="39"/>
      <c r="H5" s="39"/>
      <c r="I5" s="39"/>
      <c r="J5" s="1"/>
      <c r="K5" s="1"/>
      <c r="L5" s="1"/>
      <c r="M5" s="39"/>
      <c r="N5" s="39"/>
      <c r="O5" s="39"/>
      <c r="P5" s="1"/>
      <c r="Q5" s="1"/>
      <c r="R5" s="36"/>
      <c r="S5" s="36" t="s">
        <v>114</v>
      </c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</row>
    <row r="6" spans="1:67" s="65" customFormat="1" ht="14">
      <c r="A6" s="201" t="s">
        <v>150</v>
      </c>
      <c r="B6" s="202"/>
      <c r="C6" s="203"/>
      <c r="D6" s="205"/>
      <c r="E6" s="205"/>
      <c r="F6" s="206">
        <f>SUM(F11:F210)</f>
        <v>2750</v>
      </c>
      <c r="G6" s="231"/>
      <c r="H6" s="232"/>
      <c r="I6" s="206">
        <f>SUM(I11:I210)</f>
        <v>0</v>
      </c>
      <c r="J6" s="369" t="s">
        <v>11</v>
      </c>
      <c r="K6" s="368">
        <f>SUM(K11:K210)</f>
        <v>3500</v>
      </c>
      <c r="L6" s="368">
        <f>SUM(L11:L210)</f>
        <v>2750</v>
      </c>
      <c r="M6" s="231"/>
      <c r="N6" s="206">
        <f>SUM(N11:N210)</f>
        <v>0</v>
      </c>
      <c r="O6" s="206"/>
      <c r="S6" s="36" t="s">
        <v>76</v>
      </c>
    </row>
    <row r="7" spans="1:67" ht="13">
      <c r="A7" s="59"/>
      <c r="B7" s="63"/>
      <c r="C7" s="59"/>
      <c r="D7" s="38"/>
      <c r="E7" s="38"/>
      <c r="F7" s="60"/>
      <c r="G7" s="366" t="s">
        <v>185</v>
      </c>
      <c r="H7" s="367"/>
      <c r="I7" s="60"/>
      <c r="J7" s="366" t="s">
        <v>183</v>
      </c>
      <c r="K7" s="365"/>
      <c r="L7" s="364"/>
      <c r="M7" s="61"/>
      <c r="N7" s="60"/>
      <c r="O7" s="60"/>
    </row>
    <row r="8" spans="1:67" s="12" customFormat="1" ht="18">
      <c r="A8" s="209" t="s">
        <v>24</v>
      </c>
      <c r="B8" s="210"/>
      <c r="C8" s="98"/>
      <c r="D8" s="211" t="s">
        <v>148</v>
      </c>
      <c r="E8" s="91"/>
      <c r="F8" s="91"/>
      <c r="G8" s="201" t="s">
        <v>186</v>
      </c>
      <c r="H8" s="119"/>
      <c r="I8" s="119"/>
      <c r="J8" s="345"/>
      <c r="K8" s="346" t="s">
        <v>174</v>
      </c>
      <c r="L8" s="347"/>
      <c r="M8" s="212" t="s">
        <v>187</v>
      </c>
      <c r="N8" s="119"/>
      <c r="O8" s="119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</row>
    <row r="9" spans="1:67" ht="13">
      <c r="A9" s="213" t="s">
        <v>1</v>
      </c>
      <c r="B9" s="214" t="s">
        <v>32</v>
      </c>
      <c r="C9" s="215" t="s">
        <v>2</v>
      </c>
      <c r="D9" s="428" t="s">
        <v>51</v>
      </c>
      <c r="E9" s="429"/>
      <c r="F9" s="217" t="s">
        <v>29</v>
      </c>
      <c r="G9" s="426" t="s">
        <v>147</v>
      </c>
      <c r="H9" s="426" t="s">
        <v>61</v>
      </c>
      <c r="I9" s="218" t="s">
        <v>36</v>
      </c>
      <c r="J9" s="348" t="s">
        <v>6</v>
      </c>
      <c r="K9" s="349" t="s">
        <v>3</v>
      </c>
      <c r="L9" s="349" t="s">
        <v>29</v>
      </c>
      <c r="M9" s="426" t="s">
        <v>147</v>
      </c>
      <c r="N9" s="218" t="s">
        <v>189</v>
      </c>
      <c r="O9" s="431" t="s">
        <v>19</v>
      </c>
    </row>
    <row r="10" spans="1:67" ht="13">
      <c r="A10" s="121"/>
      <c r="B10" s="219" t="s">
        <v>33</v>
      </c>
      <c r="C10" s="123"/>
      <c r="D10" s="432" t="s">
        <v>196</v>
      </c>
      <c r="E10" s="433"/>
      <c r="F10" s="220" t="s">
        <v>9</v>
      </c>
      <c r="G10" s="427"/>
      <c r="H10" s="427"/>
      <c r="I10" s="221" t="s">
        <v>146</v>
      </c>
      <c r="J10" s="350" t="s">
        <v>7</v>
      </c>
      <c r="K10" s="351"/>
      <c r="L10" s="351" t="s">
        <v>9</v>
      </c>
      <c r="M10" s="430"/>
      <c r="N10" s="221" t="s">
        <v>188</v>
      </c>
      <c r="O10" s="427"/>
    </row>
    <row r="11" spans="1:67" ht="39.75" customHeight="1">
      <c r="A11" s="126">
        <f>'Oport-Pré'!A8</f>
        <v>1</v>
      </c>
      <c r="B11" s="222" t="str">
        <f>IF(('Oport-Pré'!B8)&gt;0,'Oport-Pré'!B8,"")</f>
        <v/>
      </c>
      <c r="C11" s="223" t="str">
        <f>IF(('Oport-Pré'!C8)&gt;0,'Oport-Pré'!C8,"")</f>
        <v>Organizacional</v>
      </c>
      <c r="D11" s="434" t="str">
        <f>IF(('Oport-Pré'!D8)&gt;0,'Oport-Pré'!D8,"")</f>
        <v>Redução do custo da bebida</v>
      </c>
      <c r="E11" s="418"/>
      <c r="F11" s="306">
        <f>IF(('Oport-Pré'!F8)&gt;0,'Oport-Pré'!P8,"")</f>
        <v>1400</v>
      </c>
      <c r="G11" s="226"/>
      <c r="H11" s="227" t="s">
        <v>37</v>
      </c>
      <c r="I11" s="228">
        <v>0</v>
      </c>
      <c r="J11" s="129">
        <f>'Oport-Pré'!F8</f>
        <v>0.7</v>
      </c>
      <c r="K11" s="132">
        <f>'Oport-Pré'!O8</f>
        <v>2000</v>
      </c>
      <c r="L11" s="229">
        <f>J11*K11</f>
        <v>1400</v>
      </c>
      <c r="M11" s="226"/>
      <c r="N11" s="228">
        <v>0</v>
      </c>
      <c r="O11" s="228"/>
    </row>
    <row r="12" spans="1:67" ht="65.25" customHeight="1">
      <c r="A12" s="126">
        <f>'Oport-Pré'!A9</f>
        <v>2</v>
      </c>
      <c r="B12" s="222" t="str">
        <f>IF(('Oport-Pré'!B9)&gt;0,'Oport-Pré'!B9,"")</f>
        <v/>
      </c>
      <c r="C12" s="223" t="str">
        <f>IF(('Oport-Pré'!C9)&gt;0,'Oport-Pré'!C9,"")</f>
        <v>Organizacional</v>
      </c>
      <c r="D12" s="434" t="str">
        <f>IF(('Oport-Pré'!D9)&gt;0,'Oport-Pré'!D9,"")</f>
        <v>Fornecimento do espaço de forma gratuita</v>
      </c>
      <c r="E12" s="418"/>
      <c r="F12" s="306">
        <f>IF(('Oport-Pré'!F9)&gt;0,'Oport-Pré'!P9,"")</f>
        <v>1350</v>
      </c>
      <c r="G12" s="226"/>
      <c r="H12" s="227" t="s">
        <v>37</v>
      </c>
      <c r="I12" s="228">
        <v>0</v>
      </c>
      <c r="J12" s="129">
        <f>'Oport-Pré'!F9</f>
        <v>0.9</v>
      </c>
      <c r="K12" s="132">
        <f>'Oport-Pré'!O9</f>
        <v>1500</v>
      </c>
      <c r="L12" s="229">
        <f>J12*K12</f>
        <v>1350</v>
      </c>
      <c r="M12" s="226"/>
      <c r="N12" s="228">
        <v>0</v>
      </c>
      <c r="O12" s="228"/>
    </row>
    <row r="13" spans="1:67" ht="13">
      <c r="A13" s="126">
        <f>'Oport-Pré'!A10</f>
        <v>3</v>
      </c>
      <c r="B13" s="222" t="str">
        <f>IF(('Oport-Pré'!B10)&gt;0,'Oport-Pré'!B10,"")</f>
        <v/>
      </c>
      <c r="C13" s="223" t="str">
        <f>IF(('Oport-Pré'!C10)&gt;0,'Oport-Pré'!C10,"")</f>
        <v/>
      </c>
      <c r="D13" s="437" t="str">
        <f>IF(('Oport-Pré'!D10)&gt;0,'Oport-Pré'!D10,"")</f>
        <v/>
      </c>
      <c r="E13" s="438"/>
      <c r="F13" s="306" t="str">
        <f>IF(('Oport-Pré'!F10)&gt;0,'Oport-Pré'!P10,"")</f>
        <v/>
      </c>
      <c r="G13" s="226"/>
      <c r="H13" s="227"/>
      <c r="I13" s="228">
        <v>0</v>
      </c>
      <c r="J13" s="129">
        <f>'Oport-Pré'!F10</f>
        <v>0</v>
      </c>
      <c r="K13" s="132">
        <f>'Oport-Pré'!O10</f>
        <v>0</v>
      </c>
      <c r="L13" s="229">
        <f t="shared" ref="L13:L76" si="0">J13*K13</f>
        <v>0</v>
      </c>
      <c r="M13" s="226"/>
      <c r="N13" s="228">
        <v>0</v>
      </c>
      <c r="O13" s="228"/>
    </row>
    <row r="14" spans="1:67" ht="13">
      <c r="A14" s="126">
        <f>'Oport-Pré'!A11</f>
        <v>4</v>
      </c>
      <c r="B14" s="222" t="str">
        <f>IF(('Oport-Pré'!B11)&gt;0,'Oport-Pré'!B11,"")</f>
        <v/>
      </c>
      <c r="C14" s="223" t="str">
        <f>IF(('Oport-Pré'!C11)&gt;0,'Oport-Pré'!C11,"")</f>
        <v/>
      </c>
      <c r="D14" s="437" t="str">
        <f>IF(('Oport-Pré'!D11)&gt;0,'Oport-Pré'!D11,"")</f>
        <v/>
      </c>
      <c r="E14" s="438"/>
      <c r="F14" s="306" t="str">
        <f>IF(('Oport-Pré'!F11)&gt;0,'Oport-Pré'!P11,"")</f>
        <v/>
      </c>
      <c r="G14" s="226"/>
      <c r="H14" s="227"/>
      <c r="I14" s="228">
        <v>0</v>
      </c>
      <c r="J14" s="129">
        <f>'Oport-Pré'!F11</f>
        <v>0</v>
      </c>
      <c r="K14" s="132">
        <f>'Oport-Pré'!O11</f>
        <v>0</v>
      </c>
      <c r="L14" s="229">
        <f t="shared" si="0"/>
        <v>0</v>
      </c>
      <c r="M14" s="226"/>
      <c r="N14" s="228">
        <v>0</v>
      </c>
      <c r="O14" s="228"/>
    </row>
    <row r="15" spans="1:67" ht="13">
      <c r="A15" s="126">
        <f>'Oport-Pré'!A12</f>
        <v>5</v>
      </c>
      <c r="B15" s="222" t="str">
        <f>IF(('Oport-Pré'!B12)&gt;0,'Oport-Pré'!B12,"")</f>
        <v/>
      </c>
      <c r="C15" s="223" t="str">
        <f>IF(('Oport-Pré'!C12)&gt;0,'Oport-Pré'!C12,"")</f>
        <v/>
      </c>
      <c r="D15" s="437" t="str">
        <f>IF(('Oport-Pré'!D12)&gt;0,'Oport-Pré'!D12,"")</f>
        <v/>
      </c>
      <c r="E15" s="438"/>
      <c r="F15" s="306" t="str">
        <f>IF(('Oport-Pré'!F12)&gt;0,'Oport-Pré'!P12,"")</f>
        <v/>
      </c>
      <c r="G15" s="226"/>
      <c r="H15" s="227"/>
      <c r="I15" s="228">
        <v>0</v>
      </c>
      <c r="J15" s="129">
        <f>'Oport-Pré'!F12</f>
        <v>0</v>
      </c>
      <c r="K15" s="132">
        <f>'Oport-Pré'!O12</f>
        <v>0</v>
      </c>
      <c r="L15" s="229">
        <f t="shared" si="0"/>
        <v>0</v>
      </c>
      <c r="M15" s="226"/>
      <c r="N15" s="228">
        <v>0</v>
      </c>
      <c r="O15" s="228"/>
    </row>
    <row r="16" spans="1:67" ht="13">
      <c r="A16" s="126">
        <f>'Oport-Pré'!A13</f>
        <v>6</v>
      </c>
      <c r="B16" s="222" t="str">
        <f>IF(('Oport-Pré'!B13)&gt;0,'Oport-Pré'!B13,"")</f>
        <v/>
      </c>
      <c r="C16" s="223" t="str">
        <f>IF(('Oport-Pré'!C13)&gt;0,'Oport-Pré'!C13,"")</f>
        <v/>
      </c>
      <c r="D16" s="437" t="str">
        <f>IF(('Oport-Pré'!D13)&gt;0,'Oport-Pré'!D13,"")</f>
        <v/>
      </c>
      <c r="E16" s="438"/>
      <c r="F16" s="306" t="str">
        <f>IF(('Oport-Pré'!F13)&gt;0,'Oport-Pré'!P13,"")</f>
        <v/>
      </c>
      <c r="G16" s="226"/>
      <c r="H16" s="227"/>
      <c r="I16" s="228">
        <v>0</v>
      </c>
      <c r="J16" s="129">
        <f>'Oport-Pré'!F13</f>
        <v>0</v>
      </c>
      <c r="K16" s="132">
        <f>'Oport-Pré'!O13</f>
        <v>0</v>
      </c>
      <c r="L16" s="229">
        <f t="shared" si="0"/>
        <v>0</v>
      </c>
      <c r="M16" s="226"/>
      <c r="N16" s="228">
        <v>0</v>
      </c>
      <c r="O16" s="228"/>
    </row>
    <row r="17" spans="1:15" ht="13">
      <c r="A17" s="126">
        <f>'Oport-Pré'!A14</f>
        <v>7</v>
      </c>
      <c r="B17" s="222" t="str">
        <f>IF(('Oport-Pré'!B14)&gt;0,'Oport-Pré'!B14,"")</f>
        <v/>
      </c>
      <c r="C17" s="223" t="str">
        <f>IF(('Oport-Pré'!C14)&gt;0,'Oport-Pré'!C14,"")</f>
        <v/>
      </c>
      <c r="D17" s="437" t="str">
        <f>IF(('Oport-Pré'!D14)&gt;0,'Oport-Pré'!D14,"")</f>
        <v/>
      </c>
      <c r="E17" s="438"/>
      <c r="F17" s="306" t="str">
        <f>IF(('Oport-Pré'!F14)&gt;0,'Oport-Pré'!P14,"")</f>
        <v/>
      </c>
      <c r="G17" s="226"/>
      <c r="H17" s="227"/>
      <c r="I17" s="228">
        <v>0</v>
      </c>
      <c r="J17" s="129">
        <f>'Oport-Pré'!F14</f>
        <v>0</v>
      </c>
      <c r="K17" s="132">
        <f>'Oport-Pré'!O14</f>
        <v>0</v>
      </c>
      <c r="L17" s="229">
        <f t="shared" si="0"/>
        <v>0</v>
      </c>
      <c r="M17" s="226"/>
      <c r="N17" s="228">
        <v>0</v>
      </c>
      <c r="O17" s="228"/>
    </row>
    <row r="18" spans="1:15" ht="13">
      <c r="A18" s="126">
        <f>'Oport-Pré'!A15</f>
        <v>8</v>
      </c>
      <c r="B18" s="222" t="str">
        <f>IF(('Oport-Pré'!B15)&gt;0,'Oport-Pré'!B15,"")</f>
        <v/>
      </c>
      <c r="C18" s="223" t="str">
        <f>IF(('Oport-Pré'!C15)&gt;0,'Oport-Pré'!C15,"")</f>
        <v/>
      </c>
      <c r="D18" s="437" t="str">
        <f>IF(('Oport-Pré'!D15)&gt;0,'Oport-Pré'!D15,"")</f>
        <v/>
      </c>
      <c r="E18" s="438"/>
      <c r="F18" s="306" t="str">
        <f>IF(('Oport-Pré'!F15)&gt;0,'Oport-Pré'!P15,"")</f>
        <v/>
      </c>
      <c r="G18" s="226"/>
      <c r="H18" s="227"/>
      <c r="I18" s="228">
        <v>0</v>
      </c>
      <c r="J18" s="129">
        <f>'Oport-Pré'!F15</f>
        <v>0</v>
      </c>
      <c r="K18" s="132">
        <f>'Oport-Pré'!O15</f>
        <v>0</v>
      </c>
      <c r="L18" s="229">
        <f t="shared" si="0"/>
        <v>0</v>
      </c>
      <c r="M18" s="226"/>
      <c r="N18" s="228">
        <v>0</v>
      </c>
      <c r="O18" s="228"/>
    </row>
    <row r="19" spans="1:15" ht="13">
      <c r="A19" s="126">
        <f>'Oport-Pré'!A16</f>
        <v>9</v>
      </c>
      <c r="B19" s="222" t="str">
        <f>IF(('Oport-Pré'!B16)&gt;0,'Oport-Pré'!B16,"")</f>
        <v/>
      </c>
      <c r="C19" s="223" t="str">
        <f>IF(('Oport-Pré'!C16)&gt;0,'Oport-Pré'!C16,"")</f>
        <v/>
      </c>
      <c r="D19" s="437" t="str">
        <f>IF(('Oport-Pré'!D16)&gt;0,'Oport-Pré'!D16,"")</f>
        <v/>
      </c>
      <c r="E19" s="438"/>
      <c r="F19" s="306" t="str">
        <f>IF(('Oport-Pré'!F16)&gt;0,'Oport-Pré'!P16,"")</f>
        <v/>
      </c>
      <c r="G19" s="226"/>
      <c r="H19" s="227"/>
      <c r="I19" s="228">
        <v>0</v>
      </c>
      <c r="J19" s="129">
        <f>'Oport-Pré'!F16</f>
        <v>0</v>
      </c>
      <c r="K19" s="132">
        <f>'Oport-Pré'!O16</f>
        <v>0</v>
      </c>
      <c r="L19" s="229">
        <f t="shared" si="0"/>
        <v>0</v>
      </c>
      <c r="M19" s="226"/>
      <c r="N19" s="228">
        <v>0</v>
      </c>
      <c r="O19" s="228"/>
    </row>
    <row r="20" spans="1:15" ht="13">
      <c r="A20" s="126">
        <f>'Oport-Pré'!A17</f>
        <v>10</v>
      </c>
      <c r="B20" s="222" t="str">
        <f>IF(('Oport-Pré'!B17)&gt;0,'Oport-Pré'!B17,"")</f>
        <v/>
      </c>
      <c r="C20" s="223" t="str">
        <f>IF(('Oport-Pré'!C17)&gt;0,'Oport-Pré'!C17,"")</f>
        <v/>
      </c>
      <c r="D20" s="437" t="str">
        <f>IF(('Oport-Pré'!D17)&gt;0,'Oport-Pré'!D17,"")</f>
        <v/>
      </c>
      <c r="E20" s="438"/>
      <c r="F20" s="306" t="str">
        <f>IF(('Oport-Pré'!F17)&gt;0,'Oport-Pré'!P17,"")</f>
        <v/>
      </c>
      <c r="G20" s="226"/>
      <c r="H20" s="227"/>
      <c r="I20" s="228">
        <v>0</v>
      </c>
      <c r="J20" s="129">
        <f>'Oport-Pré'!F17</f>
        <v>0</v>
      </c>
      <c r="K20" s="132">
        <f>'Oport-Pré'!O17</f>
        <v>0</v>
      </c>
      <c r="L20" s="229">
        <f t="shared" si="0"/>
        <v>0</v>
      </c>
      <c r="M20" s="226"/>
      <c r="N20" s="228">
        <v>0</v>
      </c>
      <c r="O20" s="228"/>
    </row>
    <row r="21" spans="1:15" ht="13">
      <c r="A21" s="126">
        <f>'Oport-Pré'!A18</f>
        <v>11</v>
      </c>
      <c r="B21" s="222" t="str">
        <f>IF(('Oport-Pré'!B18)&gt;0,'Oport-Pré'!B18,"")</f>
        <v/>
      </c>
      <c r="C21" s="223" t="str">
        <f>IF(('Oport-Pré'!C18)&gt;0,'Oport-Pré'!C18,"")</f>
        <v/>
      </c>
      <c r="D21" s="437" t="str">
        <f>IF(('Oport-Pré'!D18)&gt;0,'Oport-Pré'!D18,"")</f>
        <v/>
      </c>
      <c r="E21" s="438"/>
      <c r="F21" s="306" t="str">
        <f>IF(('Oport-Pré'!F18)&gt;0,'Oport-Pré'!P18,"")</f>
        <v/>
      </c>
      <c r="G21" s="226"/>
      <c r="H21" s="227"/>
      <c r="I21" s="228">
        <v>0</v>
      </c>
      <c r="J21" s="129">
        <f>'Oport-Pré'!F18</f>
        <v>0</v>
      </c>
      <c r="K21" s="132">
        <f>'Oport-Pré'!O18</f>
        <v>0</v>
      </c>
      <c r="L21" s="229">
        <f t="shared" si="0"/>
        <v>0</v>
      </c>
      <c r="M21" s="226"/>
      <c r="N21" s="228">
        <v>0</v>
      </c>
      <c r="O21" s="228"/>
    </row>
    <row r="22" spans="1:15" ht="13">
      <c r="A22" s="126">
        <f>'Oport-Pré'!A19</f>
        <v>12</v>
      </c>
      <c r="B22" s="222" t="str">
        <f>IF(('Oport-Pré'!B19)&gt;0,'Oport-Pré'!B19,"")</f>
        <v/>
      </c>
      <c r="C22" s="223" t="str">
        <f>IF(('Oport-Pré'!C19)&gt;0,'Oport-Pré'!C19,"")</f>
        <v/>
      </c>
      <c r="D22" s="437" t="str">
        <f>IF(('Oport-Pré'!D19)&gt;0,'Oport-Pré'!D19,"")</f>
        <v/>
      </c>
      <c r="E22" s="438"/>
      <c r="F22" s="306" t="str">
        <f>IF(('Oport-Pré'!F19)&gt;0,'Oport-Pré'!P19,"")</f>
        <v/>
      </c>
      <c r="G22" s="226"/>
      <c r="H22" s="227"/>
      <c r="I22" s="228">
        <v>0</v>
      </c>
      <c r="J22" s="129">
        <f>'Oport-Pré'!F19</f>
        <v>0</v>
      </c>
      <c r="K22" s="132">
        <f>'Oport-Pré'!O19</f>
        <v>0</v>
      </c>
      <c r="L22" s="229">
        <f t="shared" si="0"/>
        <v>0</v>
      </c>
      <c r="M22" s="226"/>
      <c r="N22" s="228">
        <v>0</v>
      </c>
      <c r="O22" s="228"/>
    </row>
    <row r="23" spans="1:15" ht="13">
      <c r="A23" s="126">
        <f>'Oport-Pré'!A20</f>
        <v>13</v>
      </c>
      <c r="B23" s="222" t="str">
        <f>IF(('Oport-Pré'!B20)&gt;0,'Oport-Pré'!B20,"")</f>
        <v/>
      </c>
      <c r="C23" s="223" t="str">
        <f>IF(('Oport-Pré'!C20)&gt;0,'Oport-Pré'!C20,"")</f>
        <v/>
      </c>
      <c r="D23" s="437" t="str">
        <f>IF(('Oport-Pré'!D20)&gt;0,'Oport-Pré'!D20,"")</f>
        <v/>
      </c>
      <c r="E23" s="438"/>
      <c r="F23" s="306" t="str">
        <f>IF(('Oport-Pré'!F20)&gt;0,'Oport-Pré'!P20,"")</f>
        <v/>
      </c>
      <c r="G23" s="226"/>
      <c r="H23" s="227"/>
      <c r="I23" s="228">
        <v>0</v>
      </c>
      <c r="J23" s="129">
        <f>'Oport-Pré'!F20</f>
        <v>0</v>
      </c>
      <c r="K23" s="132">
        <f>'Oport-Pré'!O20</f>
        <v>0</v>
      </c>
      <c r="L23" s="229">
        <f t="shared" si="0"/>
        <v>0</v>
      </c>
      <c r="M23" s="226"/>
      <c r="N23" s="228">
        <v>0</v>
      </c>
      <c r="O23" s="228"/>
    </row>
    <row r="24" spans="1:15" ht="13">
      <c r="A24" s="126">
        <f>'Oport-Pré'!A21</f>
        <v>14</v>
      </c>
      <c r="B24" s="222" t="str">
        <f>IF(('Oport-Pré'!B21)&gt;0,'Oport-Pré'!B21,"")</f>
        <v/>
      </c>
      <c r="C24" s="223" t="str">
        <f>IF(('Oport-Pré'!C21)&gt;0,'Oport-Pré'!C21,"")</f>
        <v/>
      </c>
      <c r="D24" s="437" t="str">
        <f>IF(('Oport-Pré'!D21)&gt;0,'Oport-Pré'!D21,"")</f>
        <v/>
      </c>
      <c r="E24" s="438"/>
      <c r="F24" s="306" t="str">
        <f>IF(('Oport-Pré'!F21)&gt;0,'Oport-Pré'!P21,"")</f>
        <v/>
      </c>
      <c r="G24" s="226"/>
      <c r="H24" s="227"/>
      <c r="I24" s="228">
        <v>0</v>
      </c>
      <c r="J24" s="129">
        <f>'Oport-Pré'!F21</f>
        <v>0</v>
      </c>
      <c r="K24" s="132">
        <f>'Oport-Pré'!O21</f>
        <v>0</v>
      </c>
      <c r="L24" s="229">
        <f t="shared" si="0"/>
        <v>0</v>
      </c>
      <c r="M24" s="226"/>
      <c r="N24" s="228">
        <v>0</v>
      </c>
      <c r="O24" s="228"/>
    </row>
    <row r="25" spans="1:15" ht="13">
      <c r="A25" s="126">
        <f>'Oport-Pré'!A22</f>
        <v>15</v>
      </c>
      <c r="B25" s="222" t="str">
        <f>IF(('Oport-Pré'!B22)&gt;0,'Oport-Pré'!B22,"")</f>
        <v/>
      </c>
      <c r="C25" s="223" t="str">
        <f>IF(('Oport-Pré'!C22)&gt;0,'Oport-Pré'!C22,"")</f>
        <v/>
      </c>
      <c r="D25" s="437" t="str">
        <f>IF(('Oport-Pré'!D22)&gt;0,'Oport-Pré'!D22,"")</f>
        <v/>
      </c>
      <c r="E25" s="438"/>
      <c r="F25" s="306" t="str">
        <f>IF(('Oport-Pré'!F22)&gt;0,'Oport-Pré'!P22,"")</f>
        <v/>
      </c>
      <c r="G25" s="226"/>
      <c r="H25" s="227"/>
      <c r="I25" s="228">
        <v>0</v>
      </c>
      <c r="J25" s="129">
        <f>'Oport-Pré'!F22</f>
        <v>0</v>
      </c>
      <c r="K25" s="132">
        <f>'Oport-Pré'!O22</f>
        <v>0</v>
      </c>
      <c r="L25" s="229">
        <f t="shared" si="0"/>
        <v>0</v>
      </c>
      <c r="M25" s="226"/>
      <c r="N25" s="228">
        <v>0</v>
      </c>
      <c r="O25" s="228"/>
    </row>
    <row r="26" spans="1:15" ht="13">
      <c r="A26" s="126">
        <f>'Oport-Pré'!A23</f>
        <v>16</v>
      </c>
      <c r="B26" s="222" t="str">
        <f>IF(('Oport-Pré'!B23)&gt;0,'Oport-Pré'!B23,"")</f>
        <v/>
      </c>
      <c r="C26" s="223" t="str">
        <f>IF(('Oport-Pré'!C23)&gt;0,'Oport-Pré'!C23,"")</f>
        <v/>
      </c>
      <c r="D26" s="437" t="str">
        <f>IF(('Oport-Pré'!D23)&gt;0,'Oport-Pré'!D23,"")</f>
        <v/>
      </c>
      <c r="E26" s="438"/>
      <c r="F26" s="306" t="str">
        <f>IF(('Oport-Pré'!F23)&gt;0,'Oport-Pré'!P23,"")</f>
        <v/>
      </c>
      <c r="G26" s="226"/>
      <c r="H26" s="227"/>
      <c r="I26" s="228">
        <v>0</v>
      </c>
      <c r="J26" s="129">
        <f>'Oport-Pré'!F23</f>
        <v>0</v>
      </c>
      <c r="K26" s="132">
        <f>'Oport-Pré'!O23</f>
        <v>0</v>
      </c>
      <c r="L26" s="229">
        <f t="shared" si="0"/>
        <v>0</v>
      </c>
      <c r="M26" s="226"/>
      <c r="N26" s="228">
        <v>0</v>
      </c>
      <c r="O26" s="228"/>
    </row>
    <row r="27" spans="1:15" ht="13">
      <c r="A27" s="126">
        <f>'Oport-Pré'!A24</f>
        <v>17</v>
      </c>
      <c r="B27" s="222" t="str">
        <f>IF(('Oport-Pré'!B24)&gt;0,'Oport-Pré'!B24,"")</f>
        <v/>
      </c>
      <c r="C27" s="223" t="str">
        <f>IF(('Oport-Pré'!C24)&gt;0,'Oport-Pré'!C24,"")</f>
        <v/>
      </c>
      <c r="D27" s="437" t="str">
        <f>IF(('Oport-Pré'!D24)&gt;0,'Oport-Pré'!D24,"")</f>
        <v/>
      </c>
      <c r="E27" s="438"/>
      <c r="F27" s="306" t="str">
        <f>IF(('Oport-Pré'!F24)&gt;0,'Oport-Pré'!P24,"")</f>
        <v/>
      </c>
      <c r="G27" s="226"/>
      <c r="H27" s="227"/>
      <c r="I27" s="228">
        <v>0</v>
      </c>
      <c r="J27" s="129">
        <f>'Oport-Pré'!F24</f>
        <v>0</v>
      </c>
      <c r="K27" s="132">
        <f>'Oport-Pré'!O24</f>
        <v>0</v>
      </c>
      <c r="L27" s="229">
        <f t="shared" si="0"/>
        <v>0</v>
      </c>
      <c r="M27" s="226"/>
      <c r="N27" s="228">
        <v>0</v>
      </c>
      <c r="O27" s="228"/>
    </row>
    <row r="28" spans="1:15" ht="13">
      <c r="A28" s="126">
        <f>'Oport-Pré'!A25</f>
        <v>18</v>
      </c>
      <c r="B28" s="222" t="str">
        <f>IF(('Oport-Pré'!B25)&gt;0,'Oport-Pré'!B25,"")</f>
        <v/>
      </c>
      <c r="C28" s="223" t="str">
        <f>IF(('Oport-Pré'!C25)&gt;0,'Oport-Pré'!C25,"")</f>
        <v/>
      </c>
      <c r="D28" s="437" t="str">
        <f>IF(('Oport-Pré'!D25)&gt;0,'Oport-Pré'!D25,"")</f>
        <v/>
      </c>
      <c r="E28" s="438"/>
      <c r="F28" s="306" t="str">
        <f>IF(('Oport-Pré'!F25)&gt;0,'Oport-Pré'!P25,"")</f>
        <v/>
      </c>
      <c r="G28" s="226"/>
      <c r="H28" s="227"/>
      <c r="I28" s="228">
        <v>0</v>
      </c>
      <c r="J28" s="129">
        <f>'Oport-Pré'!F25</f>
        <v>0</v>
      </c>
      <c r="K28" s="132">
        <f>'Oport-Pré'!O25</f>
        <v>0</v>
      </c>
      <c r="L28" s="229">
        <f t="shared" si="0"/>
        <v>0</v>
      </c>
      <c r="M28" s="226"/>
      <c r="N28" s="228">
        <v>0</v>
      </c>
      <c r="O28" s="228"/>
    </row>
    <row r="29" spans="1:15" ht="13">
      <c r="A29" s="126">
        <f>'Oport-Pré'!A26</f>
        <v>19</v>
      </c>
      <c r="B29" s="222" t="str">
        <f>IF(('Oport-Pré'!B26)&gt;0,'Oport-Pré'!B26,"")</f>
        <v/>
      </c>
      <c r="C29" s="223" t="str">
        <f>IF(('Oport-Pré'!C26)&gt;0,'Oport-Pré'!C26,"")</f>
        <v/>
      </c>
      <c r="D29" s="437" t="str">
        <f>IF(('Oport-Pré'!D26)&gt;0,'Oport-Pré'!D26,"")</f>
        <v/>
      </c>
      <c r="E29" s="438"/>
      <c r="F29" s="306" t="str">
        <f>IF(('Oport-Pré'!F26)&gt;0,'Oport-Pré'!P26,"")</f>
        <v/>
      </c>
      <c r="G29" s="226"/>
      <c r="H29" s="227"/>
      <c r="I29" s="228">
        <v>0</v>
      </c>
      <c r="J29" s="129">
        <f>'Oport-Pré'!F26</f>
        <v>0</v>
      </c>
      <c r="K29" s="132">
        <f>'Oport-Pré'!O26</f>
        <v>0</v>
      </c>
      <c r="L29" s="229">
        <f t="shared" si="0"/>
        <v>0</v>
      </c>
      <c r="M29" s="226"/>
      <c r="N29" s="228">
        <v>0</v>
      </c>
      <c r="O29" s="228"/>
    </row>
    <row r="30" spans="1:15" ht="13">
      <c r="A30" s="126">
        <f>'Oport-Pré'!A27</f>
        <v>20</v>
      </c>
      <c r="B30" s="222" t="str">
        <f>IF(('Oport-Pré'!B27)&gt;0,'Oport-Pré'!B27,"")</f>
        <v/>
      </c>
      <c r="C30" s="223" t="str">
        <f>IF(('Oport-Pré'!C27)&gt;0,'Oport-Pré'!C27,"")</f>
        <v/>
      </c>
      <c r="D30" s="437" t="str">
        <f>IF(('Oport-Pré'!D27)&gt;0,'Oport-Pré'!D27,"")</f>
        <v/>
      </c>
      <c r="E30" s="438"/>
      <c r="F30" s="306" t="str">
        <f>IF(('Oport-Pré'!F27)&gt;0,'Oport-Pré'!P27,"")</f>
        <v/>
      </c>
      <c r="G30" s="226"/>
      <c r="H30" s="227"/>
      <c r="I30" s="228">
        <v>0</v>
      </c>
      <c r="J30" s="129">
        <f>'Oport-Pré'!F27</f>
        <v>0</v>
      </c>
      <c r="K30" s="132">
        <f>'Oport-Pré'!O27</f>
        <v>0</v>
      </c>
      <c r="L30" s="229">
        <f t="shared" si="0"/>
        <v>0</v>
      </c>
      <c r="M30" s="226"/>
      <c r="N30" s="228">
        <v>0</v>
      </c>
      <c r="O30" s="228"/>
    </row>
    <row r="31" spans="1:15" ht="13">
      <c r="A31" s="126">
        <f>'Oport-Pré'!A28</f>
        <v>21</v>
      </c>
      <c r="B31" s="222" t="str">
        <f>IF(('Oport-Pré'!B28)&gt;0,'Oport-Pré'!B28,"")</f>
        <v/>
      </c>
      <c r="C31" s="223" t="str">
        <f>IF(('Oport-Pré'!C28)&gt;0,'Oport-Pré'!C28,"")</f>
        <v/>
      </c>
      <c r="D31" s="437" t="str">
        <f>IF(('Oport-Pré'!D28)&gt;0,'Oport-Pré'!D28,"")</f>
        <v/>
      </c>
      <c r="E31" s="438"/>
      <c r="F31" s="306" t="str">
        <f>IF(('Oport-Pré'!F28)&gt;0,'Oport-Pré'!P28,"")</f>
        <v/>
      </c>
      <c r="G31" s="226"/>
      <c r="H31" s="227"/>
      <c r="I31" s="228">
        <v>0</v>
      </c>
      <c r="J31" s="129">
        <f>'Oport-Pré'!F28</f>
        <v>0</v>
      </c>
      <c r="K31" s="132">
        <f>'Oport-Pré'!O28</f>
        <v>0</v>
      </c>
      <c r="L31" s="229">
        <f t="shared" si="0"/>
        <v>0</v>
      </c>
      <c r="M31" s="226"/>
      <c r="N31" s="228">
        <v>0</v>
      </c>
      <c r="O31" s="228"/>
    </row>
    <row r="32" spans="1:15" ht="13">
      <c r="A32" s="126">
        <f>'Oport-Pré'!A29</f>
        <v>22</v>
      </c>
      <c r="B32" s="222" t="str">
        <f>IF(('Oport-Pré'!B29)&gt;0,'Oport-Pré'!B29,"")</f>
        <v/>
      </c>
      <c r="C32" s="223" t="str">
        <f>IF(('Oport-Pré'!C29)&gt;0,'Oport-Pré'!C29,"")</f>
        <v/>
      </c>
      <c r="D32" s="437" t="str">
        <f>IF(('Oport-Pré'!D29)&gt;0,'Oport-Pré'!D29,"")</f>
        <v/>
      </c>
      <c r="E32" s="438"/>
      <c r="F32" s="306" t="str">
        <f>IF(('Oport-Pré'!F29)&gt;0,'Oport-Pré'!P29,"")</f>
        <v/>
      </c>
      <c r="G32" s="226"/>
      <c r="H32" s="227"/>
      <c r="I32" s="228">
        <v>0</v>
      </c>
      <c r="J32" s="129">
        <f>'Oport-Pré'!F29</f>
        <v>0</v>
      </c>
      <c r="K32" s="132">
        <f>'Oport-Pré'!O29</f>
        <v>0</v>
      </c>
      <c r="L32" s="229">
        <f t="shared" si="0"/>
        <v>0</v>
      </c>
      <c r="M32" s="226"/>
      <c r="N32" s="228">
        <v>0</v>
      </c>
      <c r="O32" s="228"/>
    </row>
    <row r="33" spans="1:15" ht="13">
      <c r="A33" s="126">
        <f>'Oport-Pré'!A30</f>
        <v>23</v>
      </c>
      <c r="B33" s="222" t="str">
        <f>IF(('Oport-Pré'!B30)&gt;0,'Oport-Pré'!B30,"")</f>
        <v/>
      </c>
      <c r="C33" s="223" t="str">
        <f>IF(('Oport-Pré'!C30)&gt;0,'Oport-Pré'!C30,"")</f>
        <v/>
      </c>
      <c r="D33" s="437" t="str">
        <f>IF(('Oport-Pré'!D30)&gt;0,'Oport-Pré'!D30,"")</f>
        <v/>
      </c>
      <c r="E33" s="438"/>
      <c r="F33" s="306" t="str">
        <f>IF(('Oport-Pré'!F30)&gt;0,'Oport-Pré'!P30,"")</f>
        <v/>
      </c>
      <c r="G33" s="226"/>
      <c r="H33" s="227"/>
      <c r="I33" s="228">
        <v>0</v>
      </c>
      <c r="J33" s="129">
        <f>'Oport-Pré'!F30</f>
        <v>0</v>
      </c>
      <c r="K33" s="132">
        <f>'Oport-Pré'!O30</f>
        <v>0</v>
      </c>
      <c r="L33" s="229">
        <f t="shared" si="0"/>
        <v>0</v>
      </c>
      <c r="M33" s="226"/>
      <c r="N33" s="228">
        <v>0</v>
      </c>
      <c r="O33" s="228"/>
    </row>
    <row r="34" spans="1:15" ht="13">
      <c r="A34" s="126">
        <f>'Oport-Pré'!A31</f>
        <v>24</v>
      </c>
      <c r="B34" s="222" t="str">
        <f>IF(('Oport-Pré'!B31)&gt;0,'Oport-Pré'!B31,"")</f>
        <v/>
      </c>
      <c r="C34" s="223" t="str">
        <f>IF(('Oport-Pré'!C31)&gt;0,'Oport-Pré'!C31,"")</f>
        <v/>
      </c>
      <c r="D34" s="437" t="str">
        <f>IF(('Oport-Pré'!D31)&gt;0,'Oport-Pré'!D31,"")</f>
        <v/>
      </c>
      <c r="E34" s="438"/>
      <c r="F34" s="306" t="str">
        <f>IF(('Oport-Pré'!F31)&gt;0,'Oport-Pré'!P31,"")</f>
        <v/>
      </c>
      <c r="G34" s="226"/>
      <c r="H34" s="227"/>
      <c r="I34" s="228">
        <v>0</v>
      </c>
      <c r="J34" s="129">
        <f>'Oport-Pré'!F31</f>
        <v>0</v>
      </c>
      <c r="K34" s="132">
        <f>'Oport-Pré'!O31</f>
        <v>0</v>
      </c>
      <c r="L34" s="229">
        <f t="shared" si="0"/>
        <v>0</v>
      </c>
      <c r="M34" s="226"/>
      <c r="N34" s="228">
        <v>0</v>
      </c>
      <c r="O34" s="228"/>
    </row>
    <row r="35" spans="1:15" ht="13">
      <c r="A35" s="126">
        <f>'Oport-Pré'!A32</f>
        <v>25</v>
      </c>
      <c r="B35" s="222" t="str">
        <f>IF(('Oport-Pré'!B32)&gt;0,'Oport-Pré'!B32,"")</f>
        <v/>
      </c>
      <c r="C35" s="223" t="str">
        <f>IF(('Oport-Pré'!C32)&gt;0,'Oport-Pré'!C32,"")</f>
        <v/>
      </c>
      <c r="D35" s="437" t="str">
        <f>IF(('Oport-Pré'!D32)&gt;0,'Oport-Pré'!D32,"")</f>
        <v/>
      </c>
      <c r="E35" s="438"/>
      <c r="F35" s="306" t="str">
        <f>IF(('Oport-Pré'!F32)&gt;0,'Oport-Pré'!P32,"")</f>
        <v/>
      </c>
      <c r="G35" s="226"/>
      <c r="H35" s="227"/>
      <c r="I35" s="228">
        <v>0</v>
      </c>
      <c r="J35" s="129">
        <f>'Oport-Pré'!F32</f>
        <v>0</v>
      </c>
      <c r="K35" s="132">
        <f>'Oport-Pré'!O32</f>
        <v>0</v>
      </c>
      <c r="L35" s="229">
        <f t="shared" si="0"/>
        <v>0</v>
      </c>
      <c r="M35" s="226"/>
      <c r="N35" s="228">
        <v>0</v>
      </c>
      <c r="O35" s="228"/>
    </row>
    <row r="36" spans="1:15" ht="13">
      <c r="A36" s="126">
        <f>'Oport-Pré'!A33</f>
        <v>26</v>
      </c>
      <c r="B36" s="222" t="str">
        <f>IF(('Oport-Pré'!B33)&gt;0,'Oport-Pré'!B33,"")</f>
        <v/>
      </c>
      <c r="C36" s="223" t="str">
        <f>IF(('Oport-Pré'!C33)&gt;0,'Oport-Pré'!C33,"")</f>
        <v/>
      </c>
      <c r="D36" s="437" t="str">
        <f>IF(('Oport-Pré'!D33)&gt;0,'Oport-Pré'!D33,"")</f>
        <v/>
      </c>
      <c r="E36" s="438"/>
      <c r="F36" s="306" t="str">
        <f>IF(('Oport-Pré'!F33)&gt;0,'Oport-Pré'!P33,"")</f>
        <v/>
      </c>
      <c r="G36" s="226"/>
      <c r="H36" s="227"/>
      <c r="I36" s="228">
        <v>0</v>
      </c>
      <c r="J36" s="129">
        <f>'Oport-Pré'!F33</f>
        <v>0</v>
      </c>
      <c r="K36" s="132">
        <f>'Oport-Pré'!O33</f>
        <v>0</v>
      </c>
      <c r="L36" s="229">
        <f t="shared" si="0"/>
        <v>0</v>
      </c>
      <c r="M36" s="226"/>
      <c r="N36" s="228">
        <v>0</v>
      </c>
      <c r="O36" s="228"/>
    </row>
    <row r="37" spans="1:15" ht="13">
      <c r="A37" s="126">
        <f>'Oport-Pré'!A34</f>
        <v>27</v>
      </c>
      <c r="B37" s="222" t="str">
        <f>IF(('Oport-Pré'!B34)&gt;0,'Oport-Pré'!B34,"")</f>
        <v/>
      </c>
      <c r="C37" s="223" t="str">
        <f>IF(('Oport-Pré'!C34)&gt;0,'Oport-Pré'!C34,"")</f>
        <v/>
      </c>
      <c r="D37" s="437" t="str">
        <f>IF(('Oport-Pré'!D34)&gt;0,'Oport-Pré'!D34,"")</f>
        <v/>
      </c>
      <c r="E37" s="438"/>
      <c r="F37" s="306" t="str">
        <f>IF(('Oport-Pré'!F34)&gt;0,'Oport-Pré'!P34,"")</f>
        <v/>
      </c>
      <c r="G37" s="226"/>
      <c r="H37" s="227"/>
      <c r="I37" s="228">
        <v>0</v>
      </c>
      <c r="J37" s="129">
        <f>'Oport-Pré'!F34</f>
        <v>0</v>
      </c>
      <c r="K37" s="132">
        <f>'Oport-Pré'!O34</f>
        <v>0</v>
      </c>
      <c r="L37" s="229">
        <f t="shared" si="0"/>
        <v>0</v>
      </c>
      <c r="M37" s="226"/>
      <c r="N37" s="228">
        <v>0</v>
      </c>
      <c r="O37" s="228"/>
    </row>
    <row r="38" spans="1:15" ht="13">
      <c r="A38" s="126">
        <f>'Oport-Pré'!A35</f>
        <v>28</v>
      </c>
      <c r="B38" s="222" t="str">
        <f>IF(('Oport-Pré'!B35)&gt;0,'Oport-Pré'!B35,"")</f>
        <v/>
      </c>
      <c r="C38" s="223" t="str">
        <f>IF(('Oport-Pré'!C35)&gt;0,'Oport-Pré'!C35,"")</f>
        <v/>
      </c>
      <c r="D38" s="437" t="str">
        <f>IF(('Oport-Pré'!D35)&gt;0,'Oport-Pré'!D35,"")</f>
        <v/>
      </c>
      <c r="E38" s="438"/>
      <c r="F38" s="306" t="str">
        <f>IF(('Oport-Pré'!F35)&gt;0,'Oport-Pré'!P35,"")</f>
        <v/>
      </c>
      <c r="G38" s="226"/>
      <c r="H38" s="227"/>
      <c r="I38" s="228">
        <v>0</v>
      </c>
      <c r="J38" s="129">
        <f>'Oport-Pré'!F35</f>
        <v>0</v>
      </c>
      <c r="K38" s="132">
        <f>'Oport-Pré'!O35</f>
        <v>0</v>
      </c>
      <c r="L38" s="229">
        <f t="shared" si="0"/>
        <v>0</v>
      </c>
      <c r="M38" s="226"/>
      <c r="N38" s="228">
        <v>0</v>
      </c>
      <c r="O38" s="228"/>
    </row>
    <row r="39" spans="1:15" ht="13">
      <c r="A39" s="126">
        <f>'Oport-Pré'!A36</f>
        <v>29</v>
      </c>
      <c r="B39" s="222" t="str">
        <f>IF(('Oport-Pré'!B36)&gt;0,'Oport-Pré'!B36,"")</f>
        <v/>
      </c>
      <c r="C39" s="223" t="str">
        <f>IF(('Oport-Pré'!C36)&gt;0,'Oport-Pré'!C36,"")</f>
        <v/>
      </c>
      <c r="D39" s="437" t="str">
        <f>IF(('Oport-Pré'!D36)&gt;0,'Oport-Pré'!D36,"")</f>
        <v/>
      </c>
      <c r="E39" s="438"/>
      <c r="F39" s="306" t="str">
        <f>IF(('Oport-Pré'!F36)&gt;0,'Oport-Pré'!P36,"")</f>
        <v/>
      </c>
      <c r="G39" s="226"/>
      <c r="H39" s="227"/>
      <c r="I39" s="228">
        <v>0</v>
      </c>
      <c r="J39" s="129">
        <f>'Oport-Pré'!F36</f>
        <v>0</v>
      </c>
      <c r="K39" s="132">
        <f>'Oport-Pré'!O36</f>
        <v>0</v>
      </c>
      <c r="L39" s="229">
        <f t="shared" si="0"/>
        <v>0</v>
      </c>
      <c r="M39" s="226"/>
      <c r="N39" s="228">
        <v>0</v>
      </c>
      <c r="O39" s="228"/>
    </row>
    <row r="40" spans="1:15" ht="13">
      <c r="A40" s="126">
        <f>'Oport-Pré'!A37</f>
        <v>30</v>
      </c>
      <c r="B40" s="222" t="str">
        <f>IF(('Oport-Pré'!B37)&gt;0,'Oport-Pré'!B37,"")</f>
        <v/>
      </c>
      <c r="C40" s="223" t="str">
        <f>IF(('Oport-Pré'!C37)&gt;0,'Oport-Pré'!C37,"")</f>
        <v/>
      </c>
      <c r="D40" s="437" t="str">
        <f>IF(('Oport-Pré'!D37)&gt;0,'Oport-Pré'!D37,"")</f>
        <v/>
      </c>
      <c r="E40" s="438"/>
      <c r="F40" s="306" t="str">
        <f>IF(('Oport-Pré'!F37)&gt;0,'Oport-Pré'!P37,"")</f>
        <v/>
      </c>
      <c r="G40" s="226"/>
      <c r="H40" s="227"/>
      <c r="I40" s="228">
        <v>0</v>
      </c>
      <c r="J40" s="129">
        <f>'Oport-Pré'!F37</f>
        <v>0</v>
      </c>
      <c r="K40" s="132">
        <f>'Oport-Pré'!O37</f>
        <v>0</v>
      </c>
      <c r="L40" s="229">
        <f t="shared" si="0"/>
        <v>0</v>
      </c>
      <c r="M40" s="226"/>
      <c r="N40" s="228">
        <v>0</v>
      </c>
      <c r="O40" s="228"/>
    </row>
    <row r="41" spans="1:15" ht="13">
      <c r="A41" s="126">
        <f>'Oport-Pré'!A38</f>
        <v>31</v>
      </c>
      <c r="B41" s="222" t="str">
        <f>IF(('Oport-Pré'!B38)&gt;0,'Oport-Pré'!B38,"")</f>
        <v/>
      </c>
      <c r="C41" s="223" t="str">
        <f>IF(('Oport-Pré'!C38)&gt;0,'Oport-Pré'!C38,"")</f>
        <v/>
      </c>
      <c r="D41" s="437" t="str">
        <f>IF(('Oport-Pré'!D38)&gt;0,'Oport-Pré'!D38,"")</f>
        <v/>
      </c>
      <c r="E41" s="438"/>
      <c r="F41" s="306" t="str">
        <f>IF(('Oport-Pré'!F38)&gt;0,'Oport-Pré'!P38,"")</f>
        <v/>
      </c>
      <c r="G41" s="226"/>
      <c r="H41" s="227"/>
      <c r="I41" s="228">
        <v>0</v>
      </c>
      <c r="J41" s="129">
        <f>'Oport-Pré'!F38</f>
        <v>0</v>
      </c>
      <c r="K41" s="132">
        <f>'Oport-Pré'!O38</f>
        <v>0</v>
      </c>
      <c r="L41" s="229">
        <f t="shared" si="0"/>
        <v>0</v>
      </c>
      <c r="M41" s="226"/>
      <c r="N41" s="228">
        <v>0</v>
      </c>
      <c r="O41" s="228"/>
    </row>
    <row r="42" spans="1:15" ht="13">
      <c r="A42" s="126">
        <f>'Oport-Pré'!A39</f>
        <v>32</v>
      </c>
      <c r="B42" s="222" t="str">
        <f>IF(('Oport-Pré'!B39)&gt;0,'Oport-Pré'!B39,"")</f>
        <v/>
      </c>
      <c r="C42" s="223" t="str">
        <f>IF(('Oport-Pré'!C39)&gt;0,'Oport-Pré'!C39,"")</f>
        <v/>
      </c>
      <c r="D42" s="437" t="str">
        <f>IF(('Oport-Pré'!D39)&gt;0,'Oport-Pré'!D39,"")</f>
        <v/>
      </c>
      <c r="E42" s="438"/>
      <c r="F42" s="306" t="str">
        <f>IF(('Oport-Pré'!F39)&gt;0,'Oport-Pré'!P39,"")</f>
        <v/>
      </c>
      <c r="G42" s="226"/>
      <c r="H42" s="227"/>
      <c r="I42" s="228">
        <v>0</v>
      </c>
      <c r="J42" s="129">
        <f>'Oport-Pré'!F39</f>
        <v>0</v>
      </c>
      <c r="K42" s="132">
        <f>'Oport-Pré'!O39</f>
        <v>0</v>
      </c>
      <c r="L42" s="229">
        <f t="shared" si="0"/>
        <v>0</v>
      </c>
      <c r="M42" s="226"/>
      <c r="N42" s="228">
        <v>0</v>
      </c>
      <c r="O42" s="228"/>
    </row>
    <row r="43" spans="1:15" ht="13">
      <c r="A43" s="126">
        <f>'Oport-Pré'!A40</f>
        <v>33</v>
      </c>
      <c r="B43" s="222" t="str">
        <f>IF(('Oport-Pré'!B40)&gt;0,'Oport-Pré'!B40,"")</f>
        <v/>
      </c>
      <c r="C43" s="223" t="str">
        <f>IF(('Oport-Pré'!C40)&gt;0,'Oport-Pré'!C40,"")</f>
        <v/>
      </c>
      <c r="D43" s="437" t="str">
        <f>IF(('Oport-Pré'!D40)&gt;0,'Oport-Pré'!D40,"")</f>
        <v/>
      </c>
      <c r="E43" s="438"/>
      <c r="F43" s="306" t="str">
        <f>IF(('Oport-Pré'!F40)&gt;0,'Oport-Pré'!P40,"")</f>
        <v/>
      </c>
      <c r="G43" s="226"/>
      <c r="H43" s="227"/>
      <c r="I43" s="228">
        <v>0</v>
      </c>
      <c r="J43" s="129">
        <f>'Oport-Pré'!F40</f>
        <v>0</v>
      </c>
      <c r="K43" s="132">
        <f>'Oport-Pré'!O40</f>
        <v>0</v>
      </c>
      <c r="L43" s="229">
        <f t="shared" si="0"/>
        <v>0</v>
      </c>
      <c r="M43" s="226"/>
      <c r="N43" s="228">
        <v>0</v>
      </c>
      <c r="O43" s="228"/>
    </row>
    <row r="44" spans="1:15" ht="13">
      <c r="A44" s="126">
        <f>'Oport-Pré'!A41</f>
        <v>34</v>
      </c>
      <c r="B44" s="222" t="str">
        <f>IF(('Oport-Pré'!B41)&gt;0,'Oport-Pré'!B41,"")</f>
        <v/>
      </c>
      <c r="C44" s="223" t="str">
        <f>IF(('Oport-Pré'!C41)&gt;0,'Oport-Pré'!C41,"")</f>
        <v/>
      </c>
      <c r="D44" s="437" t="str">
        <f>IF(('Oport-Pré'!D41)&gt;0,'Oport-Pré'!D41,"")</f>
        <v/>
      </c>
      <c r="E44" s="438"/>
      <c r="F44" s="306" t="str">
        <f>IF(('Oport-Pré'!F41)&gt;0,'Oport-Pré'!P41,"")</f>
        <v/>
      </c>
      <c r="G44" s="226"/>
      <c r="H44" s="227"/>
      <c r="I44" s="228">
        <v>0</v>
      </c>
      <c r="J44" s="129">
        <f>'Oport-Pré'!F41</f>
        <v>0</v>
      </c>
      <c r="K44" s="132">
        <f>'Oport-Pré'!O41</f>
        <v>0</v>
      </c>
      <c r="L44" s="229">
        <f t="shared" si="0"/>
        <v>0</v>
      </c>
      <c r="M44" s="226"/>
      <c r="N44" s="228">
        <v>0</v>
      </c>
      <c r="O44" s="228"/>
    </row>
    <row r="45" spans="1:15" ht="13">
      <c r="A45" s="126">
        <f>'Oport-Pré'!A42</f>
        <v>35</v>
      </c>
      <c r="B45" s="222" t="str">
        <f>IF(('Oport-Pré'!B42)&gt;0,'Oport-Pré'!B42,"")</f>
        <v/>
      </c>
      <c r="C45" s="223" t="str">
        <f>IF(('Oport-Pré'!C42)&gt;0,'Oport-Pré'!C42,"")</f>
        <v/>
      </c>
      <c r="D45" s="437" t="str">
        <f>IF(('Oport-Pré'!D42)&gt;0,'Oport-Pré'!D42,"")</f>
        <v/>
      </c>
      <c r="E45" s="438"/>
      <c r="F45" s="306" t="str">
        <f>IF(('Oport-Pré'!F42)&gt;0,'Oport-Pré'!P42,"")</f>
        <v/>
      </c>
      <c r="G45" s="226"/>
      <c r="H45" s="227"/>
      <c r="I45" s="228">
        <v>0</v>
      </c>
      <c r="J45" s="129">
        <f>'Oport-Pré'!F42</f>
        <v>0</v>
      </c>
      <c r="K45" s="132">
        <f>'Oport-Pré'!O42</f>
        <v>0</v>
      </c>
      <c r="L45" s="229">
        <f t="shared" si="0"/>
        <v>0</v>
      </c>
      <c r="M45" s="226"/>
      <c r="N45" s="228">
        <v>0</v>
      </c>
      <c r="O45" s="228"/>
    </row>
    <row r="46" spans="1:15" ht="13">
      <c r="A46" s="126">
        <f>'Oport-Pré'!A43</f>
        <v>36</v>
      </c>
      <c r="B46" s="222" t="str">
        <f>IF(('Oport-Pré'!B43)&gt;0,'Oport-Pré'!B43,"")</f>
        <v/>
      </c>
      <c r="C46" s="223" t="str">
        <f>IF(('Oport-Pré'!C43)&gt;0,'Oport-Pré'!C43,"")</f>
        <v/>
      </c>
      <c r="D46" s="437" t="str">
        <f>IF(('Oport-Pré'!D43)&gt;0,'Oport-Pré'!D43,"")</f>
        <v/>
      </c>
      <c r="E46" s="438"/>
      <c r="F46" s="306" t="str">
        <f>IF(('Oport-Pré'!F43)&gt;0,'Oport-Pré'!P43,"")</f>
        <v/>
      </c>
      <c r="G46" s="226"/>
      <c r="H46" s="227"/>
      <c r="I46" s="228">
        <v>0</v>
      </c>
      <c r="J46" s="129">
        <f>'Oport-Pré'!F43</f>
        <v>0</v>
      </c>
      <c r="K46" s="132">
        <f>'Oport-Pré'!O43</f>
        <v>0</v>
      </c>
      <c r="L46" s="229">
        <f t="shared" si="0"/>
        <v>0</v>
      </c>
      <c r="M46" s="226"/>
      <c r="N46" s="228">
        <v>0</v>
      </c>
      <c r="O46" s="228"/>
    </row>
    <row r="47" spans="1:15" ht="13">
      <c r="A47" s="126">
        <f>'Oport-Pré'!A44</f>
        <v>37</v>
      </c>
      <c r="B47" s="222" t="str">
        <f>IF(('Oport-Pré'!B44)&gt;0,'Oport-Pré'!B44,"")</f>
        <v/>
      </c>
      <c r="C47" s="223" t="str">
        <f>IF(('Oport-Pré'!C44)&gt;0,'Oport-Pré'!C44,"")</f>
        <v/>
      </c>
      <c r="D47" s="437" t="str">
        <f>IF(('Oport-Pré'!D44)&gt;0,'Oport-Pré'!D44,"")</f>
        <v/>
      </c>
      <c r="E47" s="438"/>
      <c r="F47" s="306" t="str">
        <f>IF(('Oport-Pré'!F44)&gt;0,'Oport-Pré'!P44,"")</f>
        <v/>
      </c>
      <c r="G47" s="226"/>
      <c r="H47" s="227"/>
      <c r="I47" s="228">
        <v>0</v>
      </c>
      <c r="J47" s="129">
        <f>'Oport-Pré'!F44</f>
        <v>0</v>
      </c>
      <c r="K47" s="132">
        <f>'Oport-Pré'!O44</f>
        <v>0</v>
      </c>
      <c r="L47" s="229">
        <f t="shared" si="0"/>
        <v>0</v>
      </c>
      <c r="M47" s="226"/>
      <c r="N47" s="228">
        <v>0</v>
      </c>
      <c r="O47" s="228"/>
    </row>
    <row r="48" spans="1:15" ht="13">
      <c r="A48" s="126">
        <f>'Oport-Pré'!A45</f>
        <v>38</v>
      </c>
      <c r="B48" s="222" t="str">
        <f>IF(('Oport-Pré'!B45)&gt;0,'Oport-Pré'!B45,"")</f>
        <v/>
      </c>
      <c r="C48" s="223" t="str">
        <f>IF(('Oport-Pré'!C45)&gt;0,'Oport-Pré'!C45,"")</f>
        <v/>
      </c>
      <c r="D48" s="437" t="str">
        <f>IF(('Oport-Pré'!D45)&gt;0,'Oport-Pré'!D45,"")</f>
        <v/>
      </c>
      <c r="E48" s="438"/>
      <c r="F48" s="306" t="str">
        <f>IF(('Oport-Pré'!F45)&gt;0,'Oport-Pré'!P45,"")</f>
        <v/>
      </c>
      <c r="G48" s="226"/>
      <c r="H48" s="227"/>
      <c r="I48" s="228">
        <v>0</v>
      </c>
      <c r="J48" s="129">
        <f>'Oport-Pré'!F45</f>
        <v>0</v>
      </c>
      <c r="K48" s="132">
        <f>'Oport-Pré'!O45</f>
        <v>0</v>
      </c>
      <c r="L48" s="229">
        <f t="shared" si="0"/>
        <v>0</v>
      </c>
      <c r="M48" s="226"/>
      <c r="N48" s="228">
        <v>0</v>
      </c>
      <c r="O48" s="228"/>
    </row>
    <row r="49" spans="1:15" ht="13">
      <c r="A49" s="126">
        <f>'Oport-Pré'!A46</f>
        <v>39</v>
      </c>
      <c r="B49" s="222" t="str">
        <f>IF(('Oport-Pré'!B46)&gt;0,'Oport-Pré'!B46,"")</f>
        <v/>
      </c>
      <c r="C49" s="223" t="str">
        <f>IF(('Oport-Pré'!C46)&gt;0,'Oport-Pré'!C46,"")</f>
        <v/>
      </c>
      <c r="D49" s="437" t="str">
        <f>IF(('Oport-Pré'!D46)&gt;0,'Oport-Pré'!D46,"")</f>
        <v/>
      </c>
      <c r="E49" s="438"/>
      <c r="F49" s="306" t="str">
        <f>IF(('Oport-Pré'!F46)&gt;0,'Oport-Pré'!P46,"")</f>
        <v/>
      </c>
      <c r="G49" s="226"/>
      <c r="H49" s="227"/>
      <c r="I49" s="228">
        <v>0</v>
      </c>
      <c r="J49" s="129">
        <f>'Oport-Pré'!F46</f>
        <v>0</v>
      </c>
      <c r="K49" s="132">
        <f>'Oport-Pré'!O46</f>
        <v>0</v>
      </c>
      <c r="L49" s="229">
        <f t="shared" si="0"/>
        <v>0</v>
      </c>
      <c r="M49" s="226"/>
      <c r="N49" s="228">
        <v>0</v>
      </c>
      <c r="O49" s="228"/>
    </row>
    <row r="50" spans="1:15" ht="13">
      <c r="A50" s="126">
        <f>'Oport-Pré'!A47</f>
        <v>40</v>
      </c>
      <c r="B50" s="222" t="str">
        <f>IF(('Oport-Pré'!B47)&gt;0,'Oport-Pré'!B47,"")</f>
        <v/>
      </c>
      <c r="C50" s="223" t="str">
        <f>IF(('Oport-Pré'!C47)&gt;0,'Oport-Pré'!C47,"")</f>
        <v/>
      </c>
      <c r="D50" s="437" t="str">
        <f>IF(('Oport-Pré'!D47)&gt;0,'Oport-Pré'!D47,"")</f>
        <v/>
      </c>
      <c r="E50" s="438"/>
      <c r="F50" s="306" t="str">
        <f>IF(('Oport-Pré'!F47)&gt;0,'Oport-Pré'!P47,"")</f>
        <v/>
      </c>
      <c r="G50" s="226"/>
      <c r="H50" s="227"/>
      <c r="I50" s="228">
        <v>0</v>
      </c>
      <c r="J50" s="129">
        <f>'Oport-Pré'!F47</f>
        <v>0</v>
      </c>
      <c r="K50" s="132">
        <f>'Oport-Pré'!O47</f>
        <v>0</v>
      </c>
      <c r="L50" s="229">
        <f t="shared" si="0"/>
        <v>0</v>
      </c>
      <c r="M50" s="226"/>
      <c r="N50" s="228">
        <v>0</v>
      </c>
      <c r="O50" s="228"/>
    </row>
    <row r="51" spans="1:15" ht="13">
      <c r="A51" s="126">
        <f>'Oport-Pré'!A48</f>
        <v>41</v>
      </c>
      <c r="B51" s="222" t="str">
        <f>IF(('Oport-Pré'!B48)&gt;0,'Oport-Pré'!B48,"")</f>
        <v/>
      </c>
      <c r="C51" s="223" t="str">
        <f>IF(('Oport-Pré'!C48)&gt;0,'Oport-Pré'!C48,"")</f>
        <v/>
      </c>
      <c r="D51" s="437" t="str">
        <f>IF(('Oport-Pré'!D48)&gt;0,'Oport-Pré'!D48,"")</f>
        <v/>
      </c>
      <c r="E51" s="438"/>
      <c r="F51" s="306" t="str">
        <f>IF(('Oport-Pré'!F48)&gt;0,'Oport-Pré'!P48,"")</f>
        <v/>
      </c>
      <c r="G51" s="226"/>
      <c r="H51" s="227"/>
      <c r="I51" s="228">
        <v>0</v>
      </c>
      <c r="J51" s="129">
        <f>'Oport-Pré'!F48</f>
        <v>0</v>
      </c>
      <c r="K51" s="132">
        <f>'Oport-Pré'!O48</f>
        <v>0</v>
      </c>
      <c r="L51" s="229">
        <f t="shared" si="0"/>
        <v>0</v>
      </c>
      <c r="M51" s="226"/>
      <c r="N51" s="228">
        <v>0</v>
      </c>
      <c r="O51" s="228"/>
    </row>
    <row r="52" spans="1:15" ht="13">
      <c r="A52" s="126">
        <f>'Oport-Pré'!A49</f>
        <v>42</v>
      </c>
      <c r="B52" s="222" t="str">
        <f>IF(('Oport-Pré'!B49)&gt;0,'Oport-Pré'!B49,"")</f>
        <v/>
      </c>
      <c r="C52" s="223" t="str">
        <f>IF(('Oport-Pré'!C49)&gt;0,'Oport-Pré'!C49,"")</f>
        <v/>
      </c>
      <c r="D52" s="437" t="str">
        <f>IF(('Oport-Pré'!D49)&gt;0,'Oport-Pré'!D49,"")</f>
        <v/>
      </c>
      <c r="E52" s="438"/>
      <c r="F52" s="306" t="str">
        <f>IF(('Oport-Pré'!F49)&gt;0,'Oport-Pré'!P49,"")</f>
        <v/>
      </c>
      <c r="G52" s="226"/>
      <c r="H52" s="227"/>
      <c r="I52" s="228">
        <v>0</v>
      </c>
      <c r="J52" s="129">
        <f>'Oport-Pré'!F49</f>
        <v>0</v>
      </c>
      <c r="K52" s="132">
        <f>'Oport-Pré'!O49</f>
        <v>0</v>
      </c>
      <c r="L52" s="229">
        <f t="shared" si="0"/>
        <v>0</v>
      </c>
      <c r="M52" s="226"/>
      <c r="N52" s="228">
        <v>0</v>
      </c>
      <c r="O52" s="228"/>
    </row>
    <row r="53" spans="1:15" ht="13">
      <c r="A53" s="126">
        <f>'Oport-Pré'!A50</f>
        <v>43</v>
      </c>
      <c r="B53" s="222" t="str">
        <f>IF(('Oport-Pré'!B50)&gt;0,'Oport-Pré'!B50,"")</f>
        <v/>
      </c>
      <c r="C53" s="223" t="str">
        <f>IF(('Oport-Pré'!C50)&gt;0,'Oport-Pré'!C50,"")</f>
        <v/>
      </c>
      <c r="D53" s="437" t="str">
        <f>IF(('Oport-Pré'!D50)&gt;0,'Oport-Pré'!D50,"")</f>
        <v/>
      </c>
      <c r="E53" s="438"/>
      <c r="F53" s="306" t="str">
        <f>IF(('Oport-Pré'!F50)&gt;0,'Oport-Pré'!P50,"")</f>
        <v/>
      </c>
      <c r="G53" s="226"/>
      <c r="H53" s="227"/>
      <c r="I53" s="228">
        <v>0</v>
      </c>
      <c r="J53" s="129">
        <f>'Oport-Pré'!F50</f>
        <v>0</v>
      </c>
      <c r="K53" s="132">
        <f>'Oport-Pré'!O50</f>
        <v>0</v>
      </c>
      <c r="L53" s="229">
        <f t="shared" si="0"/>
        <v>0</v>
      </c>
      <c r="M53" s="226"/>
      <c r="N53" s="228">
        <v>0</v>
      </c>
      <c r="O53" s="228"/>
    </row>
    <row r="54" spans="1:15" ht="13">
      <c r="A54" s="126">
        <f>'Oport-Pré'!A51</f>
        <v>44</v>
      </c>
      <c r="B54" s="222" t="str">
        <f>IF(('Oport-Pré'!B51)&gt;0,'Oport-Pré'!B51,"")</f>
        <v/>
      </c>
      <c r="C54" s="223" t="str">
        <f>IF(('Oport-Pré'!C51)&gt;0,'Oport-Pré'!C51,"")</f>
        <v/>
      </c>
      <c r="D54" s="437" t="str">
        <f>IF(('Oport-Pré'!D51)&gt;0,'Oport-Pré'!D51,"")</f>
        <v/>
      </c>
      <c r="E54" s="438"/>
      <c r="F54" s="306" t="str">
        <f>IF(('Oport-Pré'!F51)&gt;0,'Oport-Pré'!P51,"")</f>
        <v/>
      </c>
      <c r="G54" s="226"/>
      <c r="H54" s="227"/>
      <c r="I54" s="228">
        <v>0</v>
      </c>
      <c r="J54" s="129">
        <f>'Oport-Pré'!F51</f>
        <v>0</v>
      </c>
      <c r="K54" s="132">
        <f>'Oport-Pré'!O51</f>
        <v>0</v>
      </c>
      <c r="L54" s="229">
        <f t="shared" si="0"/>
        <v>0</v>
      </c>
      <c r="M54" s="226"/>
      <c r="N54" s="228">
        <v>0</v>
      </c>
      <c r="O54" s="228"/>
    </row>
    <row r="55" spans="1:15" ht="13">
      <c r="A55" s="126">
        <f>'Oport-Pré'!A52</f>
        <v>45</v>
      </c>
      <c r="B55" s="222" t="str">
        <f>IF(('Oport-Pré'!B52)&gt;0,'Oport-Pré'!B52,"")</f>
        <v/>
      </c>
      <c r="C55" s="223" t="str">
        <f>IF(('Oport-Pré'!C52)&gt;0,'Oport-Pré'!C52,"")</f>
        <v/>
      </c>
      <c r="D55" s="437" t="str">
        <f>IF(('Oport-Pré'!D52)&gt;0,'Oport-Pré'!D52,"")</f>
        <v/>
      </c>
      <c r="E55" s="438"/>
      <c r="F55" s="306" t="str">
        <f>IF(('Oport-Pré'!F52)&gt;0,'Oport-Pré'!P52,"")</f>
        <v/>
      </c>
      <c r="G55" s="226"/>
      <c r="H55" s="227"/>
      <c r="I55" s="228">
        <v>0</v>
      </c>
      <c r="J55" s="129">
        <f>'Oport-Pré'!F52</f>
        <v>0</v>
      </c>
      <c r="K55" s="132">
        <f>'Oport-Pré'!O52</f>
        <v>0</v>
      </c>
      <c r="L55" s="229">
        <f t="shared" si="0"/>
        <v>0</v>
      </c>
      <c r="M55" s="226"/>
      <c r="N55" s="228">
        <v>0</v>
      </c>
      <c r="O55" s="228"/>
    </row>
    <row r="56" spans="1:15" ht="13">
      <c r="A56" s="126">
        <f>'Oport-Pré'!A53</f>
        <v>46</v>
      </c>
      <c r="B56" s="222" t="str">
        <f>IF(('Oport-Pré'!B53)&gt;0,'Oport-Pré'!B53,"")</f>
        <v/>
      </c>
      <c r="C56" s="223" t="str">
        <f>IF(('Oport-Pré'!C53)&gt;0,'Oport-Pré'!C53,"")</f>
        <v/>
      </c>
      <c r="D56" s="437" t="str">
        <f>IF(('Oport-Pré'!D53)&gt;0,'Oport-Pré'!D53,"")</f>
        <v/>
      </c>
      <c r="E56" s="438"/>
      <c r="F56" s="306" t="str">
        <f>IF(('Oport-Pré'!F53)&gt;0,'Oport-Pré'!P53,"")</f>
        <v/>
      </c>
      <c r="G56" s="226"/>
      <c r="H56" s="227"/>
      <c r="I56" s="228">
        <v>0</v>
      </c>
      <c r="J56" s="129">
        <f>'Oport-Pré'!F53</f>
        <v>0</v>
      </c>
      <c r="K56" s="132">
        <f>'Oport-Pré'!O53</f>
        <v>0</v>
      </c>
      <c r="L56" s="229">
        <f t="shared" si="0"/>
        <v>0</v>
      </c>
      <c r="M56" s="226"/>
      <c r="N56" s="228">
        <v>0</v>
      </c>
      <c r="O56" s="228"/>
    </row>
    <row r="57" spans="1:15" ht="13">
      <c r="A57" s="126">
        <f>'Oport-Pré'!A54</f>
        <v>47</v>
      </c>
      <c r="B57" s="222" t="str">
        <f>IF(('Oport-Pré'!B54)&gt;0,'Oport-Pré'!B54,"")</f>
        <v/>
      </c>
      <c r="C57" s="223" t="str">
        <f>IF(('Oport-Pré'!C54)&gt;0,'Oport-Pré'!C54,"")</f>
        <v/>
      </c>
      <c r="D57" s="437" t="str">
        <f>IF(('Oport-Pré'!D54)&gt;0,'Oport-Pré'!D54,"")</f>
        <v/>
      </c>
      <c r="E57" s="438"/>
      <c r="F57" s="306" t="str">
        <f>IF(('Oport-Pré'!F54)&gt;0,'Oport-Pré'!P54,"")</f>
        <v/>
      </c>
      <c r="G57" s="226"/>
      <c r="H57" s="227"/>
      <c r="I57" s="228">
        <v>0</v>
      </c>
      <c r="J57" s="129">
        <f>'Oport-Pré'!F54</f>
        <v>0</v>
      </c>
      <c r="K57" s="132">
        <f>'Oport-Pré'!O54</f>
        <v>0</v>
      </c>
      <c r="L57" s="229">
        <f t="shared" si="0"/>
        <v>0</v>
      </c>
      <c r="M57" s="226"/>
      <c r="N57" s="228">
        <v>0</v>
      </c>
      <c r="O57" s="228"/>
    </row>
    <row r="58" spans="1:15" ht="13">
      <c r="A58" s="126">
        <f>'Oport-Pré'!A55</f>
        <v>48</v>
      </c>
      <c r="B58" s="222" t="str">
        <f>IF(('Oport-Pré'!B55)&gt;0,'Oport-Pré'!B55,"")</f>
        <v/>
      </c>
      <c r="C58" s="223" t="str">
        <f>IF(('Oport-Pré'!C55)&gt;0,'Oport-Pré'!C55,"")</f>
        <v/>
      </c>
      <c r="D58" s="437" t="str">
        <f>IF(('Oport-Pré'!D55)&gt;0,'Oport-Pré'!D55,"")</f>
        <v/>
      </c>
      <c r="E58" s="438"/>
      <c r="F58" s="306" t="str">
        <f>IF(('Oport-Pré'!F55)&gt;0,'Oport-Pré'!P55,"")</f>
        <v/>
      </c>
      <c r="G58" s="226"/>
      <c r="H58" s="227"/>
      <c r="I58" s="228">
        <v>0</v>
      </c>
      <c r="J58" s="129">
        <f>'Oport-Pré'!F55</f>
        <v>0</v>
      </c>
      <c r="K58" s="132">
        <f>'Oport-Pré'!O55</f>
        <v>0</v>
      </c>
      <c r="L58" s="229">
        <f t="shared" si="0"/>
        <v>0</v>
      </c>
      <c r="M58" s="226"/>
      <c r="N58" s="228">
        <v>0</v>
      </c>
      <c r="O58" s="228"/>
    </row>
    <row r="59" spans="1:15" ht="13">
      <c r="A59" s="126">
        <f>'Oport-Pré'!A56</f>
        <v>49</v>
      </c>
      <c r="B59" s="222" t="str">
        <f>IF(('Oport-Pré'!B56)&gt;0,'Oport-Pré'!B56,"")</f>
        <v/>
      </c>
      <c r="C59" s="223" t="str">
        <f>IF(('Oport-Pré'!C56)&gt;0,'Oport-Pré'!C56,"")</f>
        <v/>
      </c>
      <c r="D59" s="437" t="str">
        <f>IF(('Oport-Pré'!D56)&gt;0,'Oport-Pré'!D56,"")</f>
        <v/>
      </c>
      <c r="E59" s="438"/>
      <c r="F59" s="306" t="str">
        <f>IF(('Oport-Pré'!F56)&gt;0,'Oport-Pré'!P56,"")</f>
        <v/>
      </c>
      <c r="G59" s="226"/>
      <c r="H59" s="227"/>
      <c r="I59" s="228">
        <v>0</v>
      </c>
      <c r="J59" s="129">
        <f>'Oport-Pré'!F56</f>
        <v>0</v>
      </c>
      <c r="K59" s="132">
        <f>'Oport-Pré'!O56</f>
        <v>0</v>
      </c>
      <c r="L59" s="229">
        <f t="shared" si="0"/>
        <v>0</v>
      </c>
      <c r="M59" s="226"/>
      <c r="N59" s="228">
        <v>0</v>
      </c>
      <c r="O59" s="228"/>
    </row>
    <row r="60" spans="1:15" ht="13">
      <c r="A60" s="126">
        <f>'Oport-Pré'!A57</f>
        <v>50</v>
      </c>
      <c r="B60" s="222" t="str">
        <f>IF(('Oport-Pré'!B57)&gt;0,'Oport-Pré'!B57,"")</f>
        <v/>
      </c>
      <c r="C60" s="223" t="str">
        <f>IF(('Oport-Pré'!C57)&gt;0,'Oport-Pré'!C57,"")</f>
        <v/>
      </c>
      <c r="D60" s="437" t="str">
        <f>IF(('Oport-Pré'!D57)&gt;0,'Oport-Pré'!D57,"")</f>
        <v/>
      </c>
      <c r="E60" s="438"/>
      <c r="F60" s="306" t="str">
        <f>IF(('Oport-Pré'!F57)&gt;0,'Oport-Pré'!P57,"")</f>
        <v/>
      </c>
      <c r="G60" s="226"/>
      <c r="H60" s="227"/>
      <c r="I60" s="228">
        <v>0</v>
      </c>
      <c r="J60" s="129">
        <f>'Oport-Pré'!F57</f>
        <v>0</v>
      </c>
      <c r="K60" s="132">
        <f>'Oport-Pré'!O57</f>
        <v>0</v>
      </c>
      <c r="L60" s="229">
        <f t="shared" si="0"/>
        <v>0</v>
      </c>
      <c r="M60" s="226"/>
      <c r="N60" s="228">
        <v>0</v>
      </c>
      <c r="O60" s="228"/>
    </row>
    <row r="61" spans="1:15" ht="13">
      <c r="A61" s="126">
        <f>'Oport-Pré'!A58</f>
        <v>51</v>
      </c>
      <c r="B61" s="222" t="str">
        <f>IF(('Oport-Pré'!B58)&gt;0,'Oport-Pré'!B58,"")</f>
        <v/>
      </c>
      <c r="C61" s="223" t="str">
        <f>IF(('Oport-Pré'!C58)&gt;0,'Oport-Pré'!C58,"")</f>
        <v/>
      </c>
      <c r="D61" s="437" t="str">
        <f>IF(('Oport-Pré'!D58)&gt;0,'Oport-Pré'!D58,"")</f>
        <v/>
      </c>
      <c r="E61" s="438"/>
      <c r="F61" s="306" t="str">
        <f>IF(('Oport-Pré'!F58)&gt;0,'Oport-Pré'!P58,"")</f>
        <v/>
      </c>
      <c r="G61" s="226"/>
      <c r="H61" s="227"/>
      <c r="I61" s="228">
        <v>0</v>
      </c>
      <c r="J61" s="129">
        <f>'Oport-Pré'!F58</f>
        <v>0</v>
      </c>
      <c r="K61" s="132">
        <f>'Oport-Pré'!O58</f>
        <v>0</v>
      </c>
      <c r="L61" s="229">
        <f t="shared" si="0"/>
        <v>0</v>
      </c>
      <c r="M61" s="226"/>
      <c r="N61" s="228">
        <v>0</v>
      </c>
      <c r="O61" s="228"/>
    </row>
    <row r="62" spans="1:15" ht="13">
      <c r="A62" s="126">
        <f>'Oport-Pré'!A59</f>
        <v>52</v>
      </c>
      <c r="B62" s="222" t="str">
        <f>IF(('Oport-Pré'!B59)&gt;0,'Oport-Pré'!B59,"")</f>
        <v/>
      </c>
      <c r="C62" s="223" t="str">
        <f>IF(('Oport-Pré'!C59)&gt;0,'Oport-Pré'!C59,"")</f>
        <v/>
      </c>
      <c r="D62" s="437" t="str">
        <f>IF(('Oport-Pré'!D59)&gt;0,'Oport-Pré'!D59,"")</f>
        <v/>
      </c>
      <c r="E62" s="438"/>
      <c r="F62" s="306" t="str">
        <f>IF(('Oport-Pré'!F59)&gt;0,'Oport-Pré'!P59,"")</f>
        <v/>
      </c>
      <c r="G62" s="226"/>
      <c r="H62" s="227"/>
      <c r="I62" s="228">
        <v>0</v>
      </c>
      <c r="J62" s="129">
        <f>'Oport-Pré'!F59</f>
        <v>0</v>
      </c>
      <c r="K62" s="132">
        <f>'Oport-Pré'!O59</f>
        <v>0</v>
      </c>
      <c r="L62" s="229">
        <f t="shared" si="0"/>
        <v>0</v>
      </c>
      <c r="M62" s="226"/>
      <c r="N62" s="228">
        <v>0</v>
      </c>
      <c r="O62" s="228"/>
    </row>
    <row r="63" spans="1:15" ht="13">
      <c r="A63" s="126">
        <f>'Oport-Pré'!A60</f>
        <v>53</v>
      </c>
      <c r="B63" s="222" t="str">
        <f>IF(('Oport-Pré'!B60)&gt;0,'Oport-Pré'!B60,"")</f>
        <v/>
      </c>
      <c r="C63" s="223" t="str">
        <f>IF(('Oport-Pré'!C60)&gt;0,'Oport-Pré'!C60,"")</f>
        <v/>
      </c>
      <c r="D63" s="437" t="str">
        <f>IF(('Oport-Pré'!D60)&gt;0,'Oport-Pré'!D60,"")</f>
        <v/>
      </c>
      <c r="E63" s="438"/>
      <c r="F63" s="306" t="str">
        <f>IF(('Oport-Pré'!F60)&gt;0,'Oport-Pré'!P60,"")</f>
        <v/>
      </c>
      <c r="G63" s="226"/>
      <c r="H63" s="227"/>
      <c r="I63" s="228">
        <v>0</v>
      </c>
      <c r="J63" s="129">
        <f>'Oport-Pré'!F60</f>
        <v>0</v>
      </c>
      <c r="K63" s="132">
        <f>'Oport-Pré'!O60</f>
        <v>0</v>
      </c>
      <c r="L63" s="229">
        <f t="shared" si="0"/>
        <v>0</v>
      </c>
      <c r="M63" s="226"/>
      <c r="N63" s="228">
        <v>0</v>
      </c>
      <c r="O63" s="228"/>
    </row>
    <row r="64" spans="1:15" ht="13">
      <c r="A64" s="126">
        <f>'Oport-Pré'!A61</f>
        <v>54</v>
      </c>
      <c r="B64" s="222" t="str">
        <f>IF(('Oport-Pré'!B61)&gt;0,'Oport-Pré'!B61,"")</f>
        <v/>
      </c>
      <c r="C64" s="223" t="str">
        <f>IF(('Oport-Pré'!C61)&gt;0,'Oport-Pré'!C61,"")</f>
        <v/>
      </c>
      <c r="D64" s="437" t="str">
        <f>IF(('Oport-Pré'!D61)&gt;0,'Oport-Pré'!D61,"")</f>
        <v/>
      </c>
      <c r="E64" s="438"/>
      <c r="F64" s="306" t="str">
        <f>IF(('Oport-Pré'!F61)&gt;0,'Oport-Pré'!P61,"")</f>
        <v/>
      </c>
      <c r="G64" s="226"/>
      <c r="H64" s="227"/>
      <c r="I64" s="228">
        <v>0</v>
      </c>
      <c r="J64" s="129">
        <f>'Oport-Pré'!F61</f>
        <v>0</v>
      </c>
      <c r="K64" s="132">
        <f>'Oport-Pré'!O61</f>
        <v>0</v>
      </c>
      <c r="L64" s="229">
        <f t="shared" si="0"/>
        <v>0</v>
      </c>
      <c r="M64" s="226"/>
      <c r="N64" s="228">
        <v>0</v>
      </c>
      <c r="O64" s="228"/>
    </row>
    <row r="65" spans="1:15" ht="13">
      <c r="A65" s="126">
        <f>'Oport-Pré'!A62</f>
        <v>55</v>
      </c>
      <c r="B65" s="222" t="str">
        <f>IF(('Oport-Pré'!B62)&gt;0,'Oport-Pré'!B62,"")</f>
        <v/>
      </c>
      <c r="C65" s="223" t="str">
        <f>IF(('Oport-Pré'!C62)&gt;0,'Oport-Pré'!C62,"")</f>
        <v/>
      </c>
      <c r="D65" s="437" t="str">
        <f>IF(('Oport-Pré'!D62)&gt;0,'Oport-Pré'!D62,"")</f>
        <v/>
      </c>
      <c r="E65" s="438"/>
      <c r="F65" s="306" t="str">
        <f>IF(('Oport-Pré'!F62)&gt;0,'Oport-Pré'!P62,"")</f>
        <v/>
      </c>
      <c r="G65" s="226"/>
      <c r="H65" s="227"/>
      <c r="I65" s="228">
        <v>0</v>
      </c>
      <c r="J65" s="129">
        <f>'Oport-Pré'!F62</f>
        <v>0</v>
      </c>
      <c r="K65" s="132">
        <f>'Oport-Pré'!O62</f>
        <v>0</v>
      </c>
      <c r="L65" s="229">
        <f t="shared" si="0"/>
        <v>0</v>
      </c>
      <c r="M65" s="226"/>
      <c r="N65" s="228">
        <v>0</v>
      </c>
      <c r="O65" s="228"/>
    </row>
    <row r="66" spans="1:15" ht="13">
      <c r="A66" s="126">
        <f>'Oport-Pré'!A63</f>
        <v>56</v>
      </c>
      <c r="B66" s="222" t="str">
        <f>IF(('Oport-Pré'!B63)&gt;0,'Oport-Pré'!B63,"")</f>
        <v/>
      </c>
      <c r="C66" s="223" t="str">
        <f>IF(('Oport-Pré'!C63)&gt;0,'Oport-Pré'!C63,"")</f>
        <v/>
      </c>
      <c r="D66" s="437" t="str">
        <f>IF(('Oport-Pré'!D63)&gt;0,'Oport-Pré'!D63,"")</f>
        <v/>
      </c>
      <c r="E66" s="438"/>
      <c r="F66" s="306" t="str">
        <f>IF(('Oport-Pré'!F63)&gt;0,'Oport-Pré'!P63,"")</f>
        <v/>
      </c>
      <c r="G66" s="226"/>
      <c r="H66" s="227"/>
      <c r="I66" s="228">
        <v>0</v>
      </c>
      <c r="J66" s="129">
        <f>'Oport-Pré'!F63</f>
        <v>0</v>
      </c>
      <c r="K66" s="132">
        <f>'Oport-Pré'!O63</f>
        <v>0</v>
      </c>
      <c r="L66" s="229">
        <f t="shared" si="0"/>
        <v>0</v>
      </c>
      <c r="M66" s="226"/>
      <c r="N66" s="228">
        <v>0</v>
      </c>
      <c r="O66" s="228"/>
    </row>
    <row r="67" spans="1:15" ht="13">
      <c r="A67" s="126">
        <f>'Oport-Pré'!A64</f>
        <v>57</v>
      </c>
      <c r="B67" s="222" t="str">
        <f>IF(('Oport-Pré'!B64)&gt;0,'Oport-Pré'!B64,"")</f>
        <v/>
      </c>
      <c r="C67" s="223" t="str">
        <f>IF(('Oport-Pré'!C64)&gt;0,'Oport-Pré'!C64,"")</f>
        <v/>
      </c>
      <c r="D67" s="437" t="str">
        <f>IF(('Oport-Pré'!D64)&gt;0,'Oport-Pré'!D64,"")</f>
        <v/>
      </c>
      <c r="E67" s="438"/>
      <c r="F67" s="306" t="str">
        <f>IF(('Oport-Pré'!F64)&gt;0,'Oport-Pré'!P64,"")</f>
        <v/>
      </c>
      <c r="G67" s="226"/>
      <c r="H67" s="227"/>
      <c r="I67" s="228">
        <v>0</v>
      </c>
      <c r="J67" s="129">
        <f>'Oport-Pré'!F64</f>
        <v>0</v>
      </c>
      <c r="K67" s="132">
        <f>'Oport-Pré'!O64</f>
        <v>0</v>
      </c>
      <c r="L67" s="229">
        <f t="shared" si="0"/>
        <v>0</v>
      </c>
      <c r="M67" s="226"/>
      <c r="N67" s="228">
        <v>0</v>
      </c>
      <c r="O67" s="228"/>
    </row>
    <row r="68" spans="1:15" ht="13">
      <c r="A68" s="126">
        <f>'Oport-Pré'!A65</f>
        <v>58</v>
      </c>
      <c r="B68" s="222" t="str">
        <f>IF(('Oport-Pré'!B65)&gt;0,'Oport-Pré'!B65,"")</f>
        <v/>
      </c>
      <c r="C68" s="223" t="str">
        <f>IF(('Oport-Pré'!C65)&gt;0,'Oport-Pré'!C65,"")</f>
        <v/>
      </c>
      <c r="D68" s="437" t="str">
        <f>IF(('Oport-Pré'!D65)&gt;0,'Oport-Pré'!D65,"")</f>
        <v/>
      </c>
      <c r="E68" s="438"/>
      <c r="F68" s="306" t="str">
        <f>IF(('Oport-Pré'!F65)&gt;0,'Oport-Pré'!P65,"")</f>
        <v/>
      </c>
      <c r="G68" s="226"/>
      <c r="H68" s="227"/>
      <c r="I68" s="228">
        <v>0</v>
      </c>
      <c r="J68" s="129">
        <f>'Oport-Pré'!F65</f>
        <v>0</v>
      </c>
      <c r="K68" s="132">
        <f>'Oport-Pré'!O65</f>
        <v>0</v>
      </c>
      <c r="L68" s="229">
        <f t="shared" si="0"/>
        <v>0</v>
      </c>
      <c r="M68" s="226"/>
      <c r="N68" s="228">
        <v>0</v>
      </c>
      <c r="O68" s="228"/>
    </row>
    <row r="69" spans="1:15" ht="13">
      <c r="A69" s="126">
        <f>'Oport-Pré'!A66</f>
        <v>59</v>
      </c>
      <c r="B69" s="222" t="str">
        <f>IF(('Oport-Pré'!B66)&gt;0,'Oport-Pré'!B66,"")</f>
        <v/>
      </c>
      <c r="C69" s="223" t="str">
        <f>IF(('Oport-Pré'!C66)&gt;0,'Oport-Pré'!C66,"")</f>
        <v/>
      </c>
      <c r="D69" s="437" t="str">
        <f>IF(('Oport-Pré'!D66)&gt;0,'Oport-Pré'!D66,"")</f>
        <v/>
      </c>
      <c r="E69" s="438"/>
      <c r="F69" s="306" t="str">
        <f>IF(('Oport-Pré'!F66)&gt;0,'Oport-Pré'!P66,"")</f>
        <v/>
      </c>
      <c r="G69" s="226"/>
      <c r="H69" s="227"/>
      <c r="I69" s="228">
        <v>0</v>
      </c>
      <c r="J69" s="129">
        <f>'Oport-Pré'!F66</f>
        <v>0</v>
      </c>
      <c r="K69" s="132">
        <f>'Oport-Pré'!O66</f>
        <v>0</v>
      </c>
      <c r="L69" s="229">
        <f t="shared" si="0"/>
        <v>0</v>
      </c>
      <c r="M69" s="226"/>
      <c r="N69" s="228">
        <v>0</v>
      </c>
      <c r="O69" s="228"/>
    </row>
    <row r="70" spans="1:15" ht="13">
      <c r="A70" s="126">
        <f>'Oport-Pré'!A67</f>
        <v>60</v>
      </c>
      <c r="B70" s="222" t="str">
        <f>IF(('Oport-Pré'!B67)&gt;0,'Oport-Pré'!B67,"")</f>
        <v/>
      </c>
      <c r="C70" s="223" t="str">
        <f>IF(('Oport-Pré'!C67)&gt;0,'Oport-Pré'!C67,"")</f>
        <v/>
      </c>
      <c r="D70" s="437" t="str">
        <f>IF(('Oport-Pré'!D67)&gt;0,'Oport-Pré'!D67,"")</f>
        <v/>
      </c>
      <c r="E70" s="438"/>
      <c r="F70" s="306" t="str">
        <f>IF(('Oport-Pré'!F67)&gt;0,'Oport-Pré'!P67,"")</f>
        <v/>
      </c>
      <c r="G70" s="226"/>
      <c r="H70" s="227"/>
      <c r="I70" s="228">
        <v>0</v>
      </c>
      <c r="J70" s="129">
        <f>'Oport-Pré'!F67</f>
        <v>0</v>
      </c>
      <c r="K70" s="132">
        <f>'Oport-Pré'!O67</f>
        <v>0</v>
      </c>
      <c r="L70" s="229">
        <f t="shared" si="0"/>
        <v>0</v>
      </c>
      <c r="M70" s="226"/>
      <c r="N70" s="228">
        <v>0</v>
      </c>
      <c r="O70" s="228"/>
    </row>
    <row r="71" spans="1:15" ht="13">
      <c r="A71" s="126">
        <f>'Oport-Pré'!A68</f>
        <v>61</v>
      </c>
      <c r="B71" s="222" t="str">
        <f>IF(('Oport-Pré'!B68)&gt;0,'Oport-Pré'!B68,"")</f>
        <v/>
      </c>
      <c r="C71" s="223" t="str">
        <f>IF(('Oport-Pré'!C68)&gt;0,'Oport-Pré'!C68,"")</f>
        <v/>
      </c>
      <c r="D71" s="437" t="str">
        <f>IF(('Oport-Pré'!D68)&gt;0,'Oport-Pré'!D68,"")</f>
        <v/>
      </c>
      <c r="E71" s="438"/>
      <c r="F71" s="306" t="str">
        <f>IF(('Oport-Pré'!F68)&gt;0,'Oport-Pré'!P68,"")</f>
        <v/>
      </c>
      <c r="G71" s="226"/>
      <c r="H71" s="227"/>
      <c r="I71" s="228">
        <v>0</v>
      </c>
      <c r="J71" s="129">
        <f>'Oport-Pré'!F68</f>
        <v>0</v>
      </c>
      <c r="K71" s="132">
        <f>'Oport-Pré'!O68</f>
        <v>0</v>
      </c>
      <c r="L71" s="229">
        <f t="shared" si="0"/>
        <v>0</v>
      </c>
      <c r="M71" s="226"/>
      <c r="N71" s="228">
        <v>0</v>
      </c>
      <c r="O71" s="228"/>
    </row>
    <row r="72" spans="1:15" ht="13">
      <c r="A72" s="126">
        <f>'Oport-Pré'!A69</f>
        <v>62</v>
      </c>
      <c r="B72" s="222" t="str">
        <f>IF(('Oport-Pré'!B69)&gt;0,'Oport-Pré'!B69,"")</f>
        <v/>
      </c>
      <c r="C72" s="223" t="str">
        <f>IF(('Oport-Pré'!C69)&gt;0,'Oport-Pré'!C69,"")</f>
        <v/>
      </c>
      <c r="D72" s="437" t="str">
        <f>IF(('Oport-Pré'!D69)&gt;0,'Oport-Pré'!D69,"")</f>
        <v/>
      </c>
      <c r="E72" s="438"/>
      <c r="F72" s="306" t="str">
        <f>IF(('Oport-Pré'!F69)&gt;0,'Oport-Pré'!P69,"")</f>
        <v/>
      </c>
      <c r="G72" s="226"/>
      <c r="H72" s="227"/>
      <c r="I72" s="228">
        <v>0</v>
      </c>
      <c r="J72" s="129">
        <f>'Oport-Pré'!F69</f>
        <v>0</v>
      </c>
      <c r="K72" s="132">
        <f>'Oport-Pré'!O69</f>
        <v>0</v>
      </c>
      <c r="L72" s="229">
        <f t="shared" si="0"/>
        <v>0</v>
      </c>
      <c r="M72" s="226"/>
      <c r="N72" s="228">
        <v>0</v>
      </c>
      <c r="O72" s="228"/>
    </row>
    <row r="73" spans="1:15" ht="13">
      <c r="A73" s="126">
        <f>'Oport-Pré'!A70</f>
        <v>63</v>
      </c>
      <c r="B73" s="222" t="str">
        <f>IF(('Oport-Pré'!B70)&gt;0,'Oport-Pré'!B70,"")</f>
        <v/>
      </c>
      <c r="C73" s="223" t="str">
        <f>IF(('Oport-Pré'!C70)&gt;0,'Oport-Pré'!C70,"")</f>
        <v/>
      </c>
      <c r="D73" s="437" t="str">
        <f>IF(('Oport-Pré'!D70)&gt;0,'Oport-Pré'!D70,"")</f>
        <v/>
      </c>
      <c r="E73" s="438"/>
      <c r="F73" s="306" t="str">
        <f>IF(('Oport-Pré'!F70)&gt;0,'Oport-Pré'!P70,"")</f>
        <v/>
      </c>
      <c r="G73" s="226"/>
      <c r="H73" s="227"/>
      <c r="I73" s="228">
        <v>0</v>
      </c>
      <c r="J73" s="129">
        <f>'Oport-Pré'!F70</f>
        <v>0</v>
      </c>
      <c r="K73" s="132">
        <f>'Oport-Pré'!O70</f>
        <v>0</v>
      </c>
      <c r="L73" s="229">
        <f t="shared" si="0"/>
        <v>0</v>
      </c>
      <c r="M73" s="226"/>
      <c r="N73" s="228">
        <v>0</v>
      </c>
      <c r="O73" s="228"/>
    </row>
    <row r="74" spans="1:15" ht="13">
      <c r="A74" s="126">
        <f>'Oport-Pré'!A71</f>
        <v>64</v>
      </c>
      <c r="B74" s="222" t="str">
        <f>IF(('Oport-Pré'!B71)&gt;0,'Oport-Pré'!B71,"")</f>
        <v/>
      </c>
      <c r="C74" s="223" t="str">
        <f>IF(('Oport-Pré'!C71)&gt;0,'Oport-Pré'!C71,"")</f>
        <v/>
      </c>
      <c r="D74" s="437" t="str">
        <f>IF(('Oport-Pré'!D71)&gt;0,'Oport-Pré'!D71,"")</f>
        <v/>
      </c>
      <c r="E74" s="438"/>
      <c r="F74" s="306" t="str">
        <f>IF(('Oport-Pré'!F71)&gt;0,'Oport-Pré'!P71,"")</f>
        <v/>
      </c>
      <c r="G74" s="226"/>
      <c r="H74" s="227"/>
      <c r="I74" s="228">
        <v>0</v>
      </c>
      <c r="J74" s="129">
        <f>'Oport-Pré'!F71</f>
        <v>0</v>
      </c>
      <c r="K74" s="132">
        <f>'Oport-Pré'!O71</f>
        <v>0</v>
      </c>
      <c r="L74" s="229">
        <f t="shared" si="0"/>
        <v>0</v>
      </c>
      <c r="M74" s="226"/>
      <c r="N74" s="228">
        <v>0</v>
      </c>
      <c r="O74" s="228"/>
    </row>
    <row r="75" spans="1:15" ht="13">
      <c r="A75" s="126">
        <f>'Oport-Pré'!A72</f>
        <v>65</v>
      </c>
      <c r="B75" s="222" t="str">
        <f>IF(('Oport-Pré'!B72)&gt;0,'Oport-Pré'!B72,"")</f>
        <v/>
      </c>
      <c r="C75" s="223" t="str">
        <f>IF(('Oport-Pré'!C72)&gt;0,'Oport-Pré'!C72,"")</f>
        <v/>
      </c>
      <c r="D75" s="437" t="str">
        <f>IF(('Oport-Pré'!D72)&gt;0,'Oport-Pré'!D72,"")</f>
        <v/>
      </c>
      <c r="E75" s="438"/>
      <c r="F75" s="306" t="str">
        <f>IF(('Oport-Pré'!F72)&gt;0,'Oport-Pré'!P72,"")</f>
        <v/>
      </c>
      <c r="G75" s="226"/>
      <c r="H75" s="227"/>
      <c r="I75" s="228">
        <v>0</v>
      </c>
      <c r="J75" s="129">
        <f>'Oport-Pré'!F72</f>
        <v>0</v>
      </c>
      <c r="K75" s="132">
        <f>'Oport-Pré'!O72</f>
        <v>0</v>
      </c>
      <c r="L75" s="229">
        <f t="shared" si="0"/>
        <v>0</v>
      </c>
      <c r="M75" s="226"/>
      <c r="N75" s="228">
        <v>0</v>
      </c>
      <c r="O75" s="228"/>
    </row>
    <row r="76" spans="1:15" ht="13">
      <c r="A76" s="126">
        <f>'Oport-Pré'!A73</f>
        <v>66</v>
      </c>
      <c r="B76" s="222" t="str">
        <f>IF(('Oport-Pré'!B73)&gt;0,'Oport-Pré'!B73,"")</f>
        <v/>
      </c>
      <c r="C76" s="223" t="str">
        <f>IF(('Oport-Pré'!C73)&gt;0,'Oport-Pré'!C73,"")</f>
        <v/>
      </c>
      <c r="D76" s="437" t="str">
        <f>IF(('Oport-Pré'!D73)&gt;0,'Oport-Pré'!D73,"")</f>
        <v/>
      </c>
      <c r="E76" s="438"/>
      <c r="F76" s="306" t="str">
        <f>IF(('Oport-Pré'!F73)&gt;0,'Oport-Pré'!P73,"")</f>
        <v/>
      </c>
      <c r="G76" s="226"/>
      <c r="H76" s="227"/>
      <c r="I76" s="228">
        <v>0</v>
      </c>
      <c r="J76" s="129">
        <f>'Oport-Pré'!F73</f>
        <v>0</v>
      </c>
      <c r="K76" s="132">
        <f>'Oport-Pré'!O73</f>
        <v>0</v>
      </c>
      <c r="L76" s="229">
        <f t="shared" si="0"/>
        <v>0</v>
      </c>
      <c r="M76" s="226"/>
      <c r="N76" s="228">
        <v>0</v>
      </c>
      <c r="O76" s="228"/>
    </row>
    <row r="77" spans="1:15" ht="13">
      <c r="A77" s="126">
        <f>'Oport-Pré'!A74</f>
        <v>67</v>
      </c>
      <c r="B77" s="222" t="str">
        <f>IF(('Oport-Pré'!B74)&gt;0,'Oport-Pré'!B74,"")</f>
        <v/>
      </c>
      <c r="C77" s="223" t="str">
        <f>IF(('Oport-Pré'!C74)&gt;0,'Oport-Pré'!C74,"")</f>
        <v/>
      </c>
      <c r="D77" s="437" t="str">
        <f>IF(('Oport-Pré'!D74)&gt;0,'Oport-Pré'!D74,"")</f>
        <v/>
      </c>
      <c r="E77" s="438"/>
      <c r="F77" s="306" t="str">
        <f>IF(('Oport-Pré'!F74)&gt;0,'Oport-Pré'!P74,"")</f>
        <v/>
      </c>
      <c r="G77" s="226"/>
      <c r="H77" s="227"/>
      <c r="I77" s="228">
        <v>0</v>
      </c>
      <c r="J77" s="129">
        <f>'Oport-Pré'!F74</f>
        <v>0</v>
      </c>
      <c r="K77" s="132">
        <f>'Oport-Pré'!O74</f>
        <v>0</v>
      </c>
      <c r="L77" s="229">
        <f t="shared" ref="L77:L140" si="1">J77*K77</f>
        <v>0</v>
      </c>
      <c r="M77" s="226"/>
      <c r="N77" s="228">
        <v>0</v>
      </c>
      <c r="O77" s="228"/>
    </row>
    <row r="78" spans="1:15" ht="13">
      <c r="A78" s="126">
        <f>'Oport-Pré'!A75</f>
        <v>68</v>
      </c>
      <c r="B78" s="222" t="str">
        <f>IF(('Oport-Pré'!B75)&gt;0,'Oport-Pré'!B75,"")</f>
        <v/>
      </c>
      <c r="C78" s="223" t="str">
        <f>IF(('Oport-Pré'!C75)&gt;0,'Oport-Pré'!C75,"")</f>
        <v/>
      </c>
      <c r="D78" s="437" t="str">
        <f>IF(('Oport-Pré'!D75)&gt;0,'Oport-Pré'!D75,"")</f>
        <v/>
      </c>
      <c r="E78" s="438"/>
      <c r="F78" s="306" t="str">
        <f>IF(('Oport-Pré'!F75)&gt;0,'Oport-Pré'!P75,"")</f>
        <v/>
      </c>
      <c r="G78" s="226"/>
      <c r="H78" s="227"/>
      <c r="I78" s="228">
        <v>0</v>
      </c>
      <c r="J78" s="129">
        <f>'Oport-Pré'!F75</f>
        <v>0</v>
      </c>
      <c r="K78" s="132">
        <f>'Oport-Pré'!O75</f>
        <v>0</v>
      </c>
      <c r="L78" s="229">
        <f t="shared" si="1"/>
        <v>0</v>
      </c>
      <c r="M78" s="226"/>
      <c r="N78" s="228">
        <v>0</v>
      </c>
      <c r="O78" s="228"/>
    </row>
    <row r="79" spans="1:15" ht="13">
      <c r="A79" s="126">
        <f>'Oport-Pré'!A76</f>
        <v>69</v>
      </c>
      <c r="B79" s="222" t="str">
        <f>IF(('Oport-Pré'!B76)&gt;0,'Oport-Pré'!B76,"")</f>
        <v/>
      </c>
      <c r="C79" s="223" t="str">
        <f>IF(('Oport-Pré'!C76)&gt;0,'Oport-Pré'!C76,"")</f>
        <v/>
      </c>
      <c r="D79" s="437" t="str">
        <f>IF(('Oport-Pré'!D76)&gt;0,'Oport-Pré'!D76,"")</f>
        <v/>
      </c>
      <c r="E79" s="438"/>
      <c r="F79" s="306" t="str">
        <f>IF(('Oport-Pré'!F76)&gt;0,'Oport-Pré'!P76,"")</f>
        <v/>
      </c>
      <c r="G79" s="226"/>
      <c r="H79" s="227"/>
      <c r="I79" s="228">
        <v>0</v>
      </c>
      <c r="J79" s="129">
        <f>'Oport-Pré'!F76</f>
        <v>0</v>
      </c>
      <c r="K79" s="132">
        <f>'Oport-Pré'!O76</f>
        <v>0</v>
      </c>
      <c r="L79" s="229">
        <f t="shared" si="1"/>
        <v>0</v>
      </c>
      <c r="M79" s="226"/>
      <c r="N79" s="228">
        <v>0</v>
      </c>
      <c r="O79" s="228"/>
    </row>
    <row r="80" spans="1:15" ht="13">
      <c r="A80" s="126">
        <f>'Oport-Pré'!A77</f>
        <v>70</v>
      </c>
      <c r="B80" s="222" t="str">
        <f>IF(('Oport-Pré'!B77)&gt;0,'Oport-Pré'!B77,"")</f>
        <v/>
      </c>
      <c r="C80" s="223" t="str">
        <f>IF(('Oport-Pré'!C77)&gt;0,'Oport-Pré'!C77,"")</f>
        <v/>
      </c>
      <c r="D80" s="437" t="str">
        <f>IF(('Oport-Pré'!D77)&gt;0,'Oport-Pré'!D77,"")</f>
        <v/>
      </c>
      <c r="E80" s="438"/>
      <c r="F80" s="306" t="str">
        <f>IF(('Oport-Pré'!F77)&gt;0,'Oport-Pré'!P77,"")</f>
        <v/>
      </c>
      <c r="G80" s="226"/>
      <c r="H80" s="227"/>
      <c r="I80" s="228">
        <v>0</v>
      </c>
      <c r="J80" s="129">
        <f>'Oport-Pré'!F77</f>
        <v>0</v>
      </c>
      <c r="K80" s="132">
        <f>'Oport-Pré'!O77</f>
        <v>0</v>
      </c>
      <c r="L80" s="229">
        <f t="shared" si="1"/>
        <v>0</v>
      </c>
      <c r="M80" s="226"/>
      <c r="N80" s="228">
        <v>0</v>
      </c>
      <c r="O80" s="228"/>
    </row>
    <row r="81" spans="1:15" ht="13">
      <c r="A81" s="126">
        <f>'Oport-Pré'!A78</f>
        <v>71</v>
      </c>
      <c r="B81" s="222" t="str">
        <f>IF(('Oport-Pré'!B78)&gt;0,'Oport-Pré'!B78,"")</f>
        <v/>
      </c>
      <c r="C81" s="223" t="str">
        <f>IF(('Oport-Pré'!C78)&gt;0,'Oport-Pré'!C78,"")</f>
        <v/>
      </c>
      <c r="D81" s="437" t="str">
        <f>IF(('Oport-Pré'!D78)&gt;0,'Oport-Pré'!D78,"")</f>
        <v/>
      </c>
      <c r="E81" s="438"/>
      <c r="F81" s="306" t="str">
        <f>IF(('Oport-Pré'!F78)&gt;0,'Oport-Pré'!P78,"")</f>
        <v/>
      </c>
      <c r="G81" s="226"/>
      <c r="H81" s="227"/>
      <c r="I81" s="228">
        <v>0</v>
      </c>
      <c r="J81" s="129">
        <f>'Oport-Pré'!F78</f>
        <v>0</v>
      </c>
      <c r="K81" s="132">
        <f>'Oport-Pré'!O78</f>
        <v>0</v>
      </c>
      <c r="L81" s="229">
        <f t="shared" si="1"/>
        <v>0</v>
      </c>
      <c r="M81" s="226"/>
      <c r="N81" s="228">
        <v>0</v>
      </c>
      <c r="O81" s="228"/>
    </row>
    <row r="82" spans="1:15" ht="13">
      <c r="A82" s="126">
        <f>'Oport-Pré'!A79</f>
        <v>72</v>
      </c>
      <c r="B82" s="222" t="str">
        <f>IF(('Oport-Pré'!B79)&gt;0,'Oport-Pré'!B79,"")</f>
        <v/>
      </c>
      <c r="C82" s="223" t="str">
        <f>IF(('Oport-Pré'!C79)&gt;0,'Oport-Pré'!C79,"")</f>
        <v/>
      </c>
      <c r="D82" s="437" t="str">
        <f>IF(('Oport-Pré'!D79)&gt;0,'Oport-Pré'!D79,"")</f>
        <v/>
      </c>
      <c r="E82" s="438"/>
      <c r="F82" s="306" t="str">
        <f>IF(('Oport-Pré'!F79)&gt;0,'Oport-Pré'!P79,"")</f>
        <v/>
      </c>
      <c r="G82" s="226"/>
      <c r="H82" s="227"/>
      <c r="I82" s="228">
        <v>0</v>
      </c>
      <c r="J82" s="129">
        <f>'Oport-Pré'!F79</f>
        <v>0</v>
      </c>
      <c r="K82" s="132">
        <f>'Oport-Pré'!O79</f>
        <v>0</v>
      </c>
      <c r="L82" s="229">
        <f t="shared" si="1"/>
        <v>0</v>
      </c>
      <c r="M82" s="226"/>
      <c r="N82" s="228">
        <v>0</v>
      </c>
      <c r="O82" s="228"/>
    </row>
    <row r="83" spans="1:15" ht="13">
      <c r="A83" s="126">
        <f>'Oport-Pré'!A80</f>
        <v>73</v>
      </c>
      <c r="B83" s="222" t="str">
        <f>IF(('Oport-Pré'!B80)&gt;0,'Oport-Pré'!B80,"")</f>
        <v/>
      </c>
      <c r="C83" s="223" t="str">
        <f>IF(('Oport-Pré'!C80)&gt;0,'Oport-Pré'!C80,"")</f>
        <v/>
      </c>
      <c r="D83" s="437" t="str">
        <f>IF(('Oport-Pré'!D80)&gt;0,'Oport-Pré'!D80,"")</f>
        <v/>
      </c>
      <c r="E83" s="438"/>
      <c r="F83" s="306" t="str">
        <f>IF(('Oport-Pré'!F80)&gt;0,'Oport-Pré'!P80,"")</f>
        <v/>
      </c>
      <c r="G83" s="226"/>
      <c r="H83" s="227"/>
      <c r="I83" s="228">
        <v>0</v>
      </c>
      <c r="J83" s="129">
        <f>'Oport-Pré'!F80</f>
        <v>0</v>
      </c>
      <c r="K83" s="132">
        <f>'Oport-Pré'!O80</f>
        <v>0</v>
      </c>
      <c r="L83" s="229">
        <f t="shared" si="1"/>
        <v>0</v>
      </c>
      <c r="M83" s="226"/>
      <c r="N83" s="228">
        <v>0</v>
      </c>
      <c r="O83" s="228"/>
    </row>
    <row r="84" spans="1:15" ht="13">
      <c r="A84" s="126">
        <f>'Oport-Pré'!A81</f>
        <v>74</v>
      </c>
      <c r="B84" s="222" t="str">
        <f>IF(('Oport-Pré'!B81)&gt;0,'Oport-Pré'!B81,"")</f>
        <v/>
      </c>
      <c r="C84" s="223" t="str">
        <f>IF(('Oport-Pré'!C81)&gt;0,'Oport-Pré'!C81,"")</f>
        <v/>
      </c>
      <c r="D84" s="437" t="str">
        <f>IF(('Oport-Pré'!D81)&gt;0,'Oport-Pré'!D81,"")</f>
        <v/>
      </c>
      <c r="E84" s="438"/>
      <c r="F84" s="306" t="str">
        <f>IF(('Oport-Pré'!F81)&gt;0,'Oport-Pré'!P81,"")</f>
        <v/>
      </c>
      <c r="G84" s="226"/>
      <c r="H84" s="227"/>
      <c r="I84" s="228">
        <v>0</v>
      </c>
      <c r="J84" s="129">
        <f>'Oport-Pré'!F81</f>
        <v>0</v>
      </c>
      <c r="K84" s="132">
        <f>'Oport-Pré'!O81</f>
        <v>0</v>
      </c>
      <c r="L84" s="229">
        <f t="shared" si="1"/>
        <v>0</v>
      </c>
      <c r="M84" s="226"/>
      <c r="N84" s="228">
        <v>0</v>
      </c>
      <c r="O84" s="228"/>
    </row>
    <row r="85" spans="1:15" ht="13">
      <c r="A85" s="126">
        <f>'Oport-Pré'!A82</f>
        <v>75</v>
      </c>
      <c r="B85" s="222" t="str">
        <f>IF(('Oport-Pré'!B82)&gt;0,'Oport-Pré'!B82,"")</f>
        <v/>
      </c>
      <c r="C85" s="223" t="str">
        <f>IF(('Oport-Pré'!C82)&gt;0,'Oport-Pré'!C82,"")</f>
        <v/>
      </c>
      <c r="D85" s="437" t="str">
        <f>IF(('Oport-Pré'!D82)&gt;0,'Oport-Pré'!D82,"")</f>
        <v/>
      </c>
      <c r="E85" s="438"/>
      <c r="F85" s="306" t="str">
        <f>IF(('Oport-Pré'!F82)&gt;0,'Oport-Pré'!P82,"")</f>
        <v/>
      </c>
      <c r="G85" s="226"/>
      <c r="H85" s="227"/>
      <c r="I85" s="228">
        <v>0</v>
      </c>
      <c r="J85" s="129">
        <f>'Oport-Pré'!F82</f>
        <v>0</v>
      </c>
      <c r="K85" s="132">
        <f>'Oport-Pré'!O82</f>
        <v>0</v>
      </c>
      <c r="L85" s="229">
        <f t="shared" si="1"/>
        <v>0</v>
      </c>
      <c r="M85" s="226"/>
      <c r="N85" s="228">
        <v>0</v>
      </c>
      <c r="O85" s="228"/>
    </row>
    <row r="86" spans="1:15" ht="13">
      <c r="A86" s="126">
        <f>'Oport-Pré'!A83</f>
        <v>76</v>
      </c>
      <c r="B86" s="222" t="str">
        <f>IF(('Oport-Pré'!B83)&gt;0,'Oport-Pré'!B83,"")</f>
        <v/>
      </c>
      <c r="C86" s="223" t="str">
        <f>IF(('Oport-Pré'!C83)&gt;0,'Oport-Pré'!C83,"")</f>
        <v/>
      </c>
      <c r="D86" s="437" t="str">
        <f>IF(('Oport-Pré'!D83)&gt;0,'Oport-Pré'!D83,"")</f>
        <v/>
      </c>
      <c r="E86" s="438"/>
      <c r="F86" s="306" t="str">
        <f>IF(('Oport-Pré'!F83)&gt;0,'Oport-Pré'!P83,"")</f>
        <v/>
      </c>
      <c r="G86" s="226"/>
      <c r="H86" s="227"/>
      <c r="I86" s="228">
        <v>0</v>
      </c>
      <c r="J86" s="129">
        <f>'Oport-Pré'!F83</f>
        <v>0</v>
      </c>
      <c r="K86" s="132">
        <f>'Oport-Pré'!O83</f>
        <v>0</v>
      </c>
      <c r="L86" s="229">
        <f t="shared" si="1"/>
        <v>0</v>
      </c>
      <c r="M86" s="226"/>
      <c r="N86" s="228">
        <v>0</v>
      </c>
      <c r="O86" s="228"/>
    </row>
    <row r="87" spans="1:15" ht="13">
      <c r="A87" s="126">
        <f>'Oport-Pré'!A84</f>
        <v>77</v>
      </c>
      <c r="B87" s="222" t="str">
        <f>IF(('Oport-Pré'!B84)&gt;0,'Oport-Pré'!B84,"")</f>
        <v/>
      </c>
      <c r="C87" s="223" t="str">
        <f>IF(('Oport-Pré'!C84)&gt;0,'Oport-Pré'!C84,"")</f>
        <v/>
      </c>
      <c r="D87" s="437" t="str">
        <f>IF(('Oport-Pré'!D84)&gt;0,'Oport-Pré'!D84,"")</f>
        <v/>
      </c>
      <c r="E87" s="438"/>
      <c r="F87" s="306" t="str">
        <f>IF(('Oport-Pré'!F84)&gt;0,'Oport-Pré'!P84,"")</f>
        <v/>
      </c>
      <c r="G87" s="226"/>
      <c r="H87" s="227"/>
      <c r="I87" s="228">
        <v>0</v>
      </c>
      <c r="J87" s="129">
        <f>'Oport-Pré'!F84</f>
        <v>0</v>
      </c>
      <c r="K87" s="132">
        <f>'Oport-Pré'!O84</f>
        <v>0</v>
      </c>
      <c r="L87" s="229">
        <f t="shared" si="1"/>
        <v>0</v>
      </c>
      <c r="M87" s="226"/>
      <c r="N87" s="228">
        <v>0</v>
      </c>
      <c r="O87" s="228"/>
    </row>
    <row r="88" spans="1:15" ht="13">
      <c r="A88" s="126">
        <f>'Oport-Pré'!A85</f>
        <v>78</v>
      </c>
      <c r="B88" s="222" t="str">
        <f>IF(('Oport-Pré'!B85)&gt;0,'Oport-Pré'!B85,"")</f>
        <v/>
      </c>
      <c r="C88" s="223" t="str">
        <f>IF(('Oport-Pré'!C85)&gt;0,'Oport-Pré'!C85,"")</f>
        <v/>
      </c>
      <c r="D88" s="437" t="str">
        <f>IF(('Oport-Pré'!D85)&gt;0,'Oport-Pré'!D85,"")</f>
        <v/>
      </c>
      <c r="E88" s="438"/>
      <c r="F88" s="306" t="str">
        <f>IF(('Oport-Pré'!F85)&gt;0,'Oport-Pré'!P85,"")</f>
        <v/>
      </c>
      <c r="G88" s="226"/>
      <c r="H88" s="227"/>
      <c r="I88" s="228">
        <v>0</v>
      </c>
      <c r="J88" s="129">
        <f>'Oport-Pré'!F85</f>
        <v>0</v>
      </c>
      <c r="K88" s="132">
        <f>'Oport-Pré'!O85</f>
        <v>0</v>
      </c>
      <c r="L88" s="229">
        <f t="shared" si="1"/>
        <v>0</v>
      </c>
      <c r="M88" s="226"/>
      <c r="N88" s="228">
        <v>0</v>
      </c>
      <c r="O88" s="228"/>
    </row>
    <row r="89" spans="1:15" ht="13">
      <c r="A89" s="126">
        <f>'Oport-Pré'!A86</f>
        <v>79</v>
      </c>
      <c r="B89" s="222" t="str">
        <f>IF(('Oport-Pré'!B86)&gt;0,'Oport-Pré'!B86,"")</f>
        <v/>
      </c>
      <c r="C89" s="223" t="str">
        <f>IF(('Oport-Pré'!C86)&gt;0,'Oport-Pré'!C86,"")</f>
        <v/>
      </c>
      <c r="D89" s="437" t="str">
        <f>IF(('Oport-Pré'!D86)&gt;0,'Oport-Pré'!D86,"")</f>
        <v/>
      </c>
      <c r="E89" s="438"/>
      <c r="F89" s="306" t="str">
        <f>IF(('Oport-Pré'!F86)&gt;0,'Oport-Pré'!P86,"")</f>
        <v/>
      </c>
      <c r="G89" s="226"/>
      <c r="H89" s="227"/>
      <c r="I89" s="228">
        <v>0</v>
      </c>
      <c r="J89" s="129">
        <f>'Oport-Pré'!F86</f>
        <v>0</v>
      </c>
      <c r="K89" s="132">
        <f>'Oport-Pré'!O86</f>
        <v>0</v>
      </c>
      <c r="L89" s="229">
        <f t="shared" si="1"/>
        <v>0</v>
      </c>
      <c r="M89" s="226"/>
      <c r="N89" s="228">
        <v>0</v>
      </c>
      <c r="O89" s="228"/>
    </row>
    <row r="90" spans="1:15" ht="13">
      <c r="A90" s="126">
        <f>'Oport-Pré'!A87</f>
        <v>80</v>
      </c>
      <c r="B90" s="222" t="str">
        <f>IF(('Oport-Pré'!B87)&gt;0,'Oport-Pré'!B87,"")</f>
        <v/>
      </c>
      <c r="C90" s="223" t="str">
        <f>IF(('Oport-Pré'!C87)&gt;0,'Oport-Pré'!C87,"")</f>
        <v/>
      </c>
      <c r="D90" s="437" t="str">
        <f>IF(('Oport-Pré'!D87)&gt;0,'Oport-Pré'!D87,"")</f>
        <v/>
      </c>
      <c r="E90" s="438"/>
      <c r="F90" s="306" t="str">
        <f>IF(('Oport-Pré'!F87)&gt;0,'Oport-Pré'!P87,"")</f>
        <v/>
      </c>
      <c r="G90" s="226"/>
      <c r="H90" s="227"/>
      <c r="I90" s="228">
        <v>0</v>
      </c>
      <c r="J90" s="129">
        <f>'Oport-Pré'!F87</f>
        <v>0</v>
      </c>
      <c r="K90" s="132">
        <f>'Oport-Pré'!O87</f>
        <v>0</v>
      </c>
      <c r="L90" s="229">
        <f t="shared" si="1"/>
        <v>0</v>
      </c>
      <c r="M90" s="226"/>
      <c r="N90" s="228">
        <v>0</v>
      </c>
      <c r="O90" s="228"/>
    </row>
    <row r="91" spans="1:15" ht="13">
      <c r="A91" s="126">
        <f>'Oport-Pré'!A88</f>
        <v>81</v>
      </c>
      <c r="B91" s="222" t="str">
        <f>IF(('Oport-Pré'!B88)&gt;0,'Oport-Pré'!B88,"")</f>
        <v/>
      </c>
      <c r="C91" s="223" t="str">
        <f>IF(('Oport-Pré'!C88)&gt;0,'Oport-Pré'!C88,"")</f>
        <v/>
      </c>
      <c r="D91" s="437" t="str">
        <f>IF(('Oport-Pré'!D88)&gt;0,'Oport-Pré'!D88,"")</f>
        <v/>
      </c>
      <c r="E91" s="438"/>
      <c r="F91" s="306" t="str">
        <f>IF(('Oport-Pré'!F88)&gt;0,'Oport-Pré'!P88,"")</f>
        <v/>
      </c>
      <c r="G91" s="226"/>
      <c r="H91" s="227"/>
      <c r="I91" s="228">
        <v>0</v>
      </c>
      <c r="J91" s="129">
        <f>'Oport-Pré'!F88</f>
        <v>0</v>
      </c>
      <c r="K91" s="132">
        <f>'Oport-Pré'!O88</f>
        <v>0</v>
      </c>
      <c r="L91" s="229">
        <f t="shared" si="1"/>
        <v>0</v>
      </c>
      <c r="M91" s="226"/>
      <c r="N91" s="228">
        <v>0</v>
      </c>
      <c r="O91" s="228"/>
    </row>
    <row r="92" spans="1:15" ht="13">
      <c r="A92" s="126">
        <f>'Oport-Pré'!A89</f>
        <v>82</v>
      </c>
      <c r="B92" s="222" t="str">
        <f>IF(('Oport-Pré'!B89)&gt;0,'Oport-Pré'!B89,"")</f>
        <v/>
      </c>
      <c r="C92" s="223" t="str">
        <f>IF(('Oport-Pré'!C89)&gt;0,'Oport-Pré'!C89,"")</f>
        <v/>
      </c>
      <c r="D92" s="437" t="str">
        <f>IF(('Oport-Pré'!D89)&gt;0,'Oport-Pré'!D89,"")</f>
        <v/>
      </c>
      <c r="E92" s="438"/>
      <c r="F92" s="306" t="str">
        <f>IF(('Oport-Pré'!F89)&gt;0,'Oport-Pré'!P89,"")</f>
        <v/>
      </c>
      <c r="G92" s="226"/>
      <c r="H92" s="227"/>
      <c r="I92" s="228">
        <v>0</v>
      </c>
      <c r="J92" s="129">
        <f>'Oport-Pré'!F89</f>
        <v>0</v>
      </c>
      <c r="K92" s="132">
        <f>'Oport-Pré'!O89</f>
        <v>0</v>
      </c>
      <c r="L92" s="229">
        <f t="shared" si="1"/>
        <v>0</v>
      </c>
      <c r="M92" s="226"/>
      <c r="N92" s="228">
        <v>0</v>
      </c>
      <c r="O92" s="228"/>
    </row>
    <row r="93" spans="1:15" ht="13">
      <c r="A93" s="126">
        <f>'Oport-Pré'!A90</f>
        <v>83</v>
      </c>
      <c r="B93" s="222" t="str">
        <f>IF(('Oport-Pré'!B90)&gt;0,'Oport-Pré'!B90,"")</f>
        <v/>
      </c>
      <c r="C93" s="223" t="str">
        <f>IF(('Oport-Pré'!C90)&gt;0,'Oport-Pré'!C90,"")</f>
        <v/>
      </c>
      <c r="D93" s="437" t="str">
        <f>IF(('Oport-Pré'!D90)&gt;0,'Oport-Pré'!D90,"")</f>
        <v/>
      </c>
      <c r="E93" s="438"/>
      <c r="F93" s="306" t="str">
        <f>IF(('Oport-Pré'!F90)&gt;0,'Oport-Pré'!P90,"")</f>
        <v/>
      </c>
      <c r="G93" s="226"/>
      <c r="H93" s="227"/>
      <c r="I93" s="228">
        <v>0</v>
      </c>
      <c r="J93" s="129">
        <f>'Oport-Pré'!F90</f>
        <v>0</v>
      </c>
      <c r="K93" s="132">
        <f>'Oport-Pré'!O90</f>
        <v>0</v>
      </c>
      <c r="L93" s="229">
        <f t="shared" si="1"/>
        <v>0</v>
      </c>
      <c r="M93" s="226"/>
      <c r="N93" s="228">
        <v>0</v>
      </c>
      <c r="O93" s="228"/>
    </row>
    <row r="94" spans="1:15" ht="13">
      <c r="A94" s="126">
        <f>'Oport-Pré'!A91</f>
        <v>84</v>
      </c>
      <c r="B94" s="222" t="str">
        <f>IF(('Oport-Pré'!B91)&gt;0,'Oport-Pré'!B91,"")</f>
        <v/>
      </c>
      <c r="C94" s="223" t="str">
        <f>IF(('Oport-Pré'!C91)&gt;0,'Oport-Pré'!C91,"")</f>
        <v/>
      </c>
      <c r="D94" s="437" t="str">
        <f>IF(('Oport-Pré'!D91)&gt;0,'Oport-Pré'!D91,"")</f>
        <v/>
      </c>
      <c r="E94" s="438"/>
      <c r="F94" s="306" t="str">
        <f>IF(('Oport-Pré'!F91)&gt;0,'Oport-Pré'!P91,"")</f>
        <v/>
      </c>
      <c r="G94" s="226"/>
      <c r="H94" s="227"/>
      <c r="I94" s="228">
        <v>0</v>
      </c>
      <c r="J94" s="129">
        <f>'Oport-Pré'!F91</f>
        <v>0</v>
      </c>
      <c r="K94" s="132">
        <f>'Oport-Pré'!O91</f>
        <v>0</v>
      </c>
      <c r="L94" s="229">
        <f t="shared" si="1"/>
        <v>0</v>
      </c>
      <c r="M94" s="226"/>
      <c r="N94" s="228">
        <v>0</v>
      </c>
      <c r="O94" s="228"/>
    </row>
    <row r="95" spans="1:15" ht="13">
      <c r="A95" s="126">
        <f>'Oport-Pré'!A92</f>
        <v>85</v>
      </c>
      <c r="B95" s="222" t="str">
        <f>IF(('Oport-Pré'!B92)&gt;0,'Oport-Pré'!B92,"")</f>
        <v/>
      </c>
      <c r="C95" s="223" t="str">
        <f>IF(('Oport-Pré'!C92)&gt;0,'Oport-Pré'!C92,"")</f>
        <v/>
      </c>
      <c r="D95" s="437" t="str">
        <f>IF(('Oport-Pré'!D92)&gt;0,'Oport-Pré'!D92,"")</f>
        <v/>
      </c>
      <c r="E95" s="438"/>
      <c r="F95" s="306" t="str">
        <f>IF(('Oport-Pré'!F92)&gt;0,'Oport-Pré'!P92,"")</f>
        <v/>
      </c>
      <c r="G95" s="226"/>
      <c r="H95" s="227"/>
      <c r="I95" s="228">
        <v>0</v>
      </c>
      <c r="J95" s="129">
        <f>'Oport-Pré'!F92</f>
        <v>0</v>
      </c>
      <c r="K95" s="132">
        <f>'Oport-Pré'!O92</f>
        <v>0</v>
      </c>
      <c r="L95" s="229">
        <f t="shared" si="1"/>
        <v>0</v>
      </c>
      <c r="M95" s="226"/>
      <c r="N95" s="228">
        <v>0</v>
      </c>
      <c r="O95" s="228"/>
    </row>
    <row r="96" spans="1:15" ht="13">
      <c r="A96" s="126">
        <f>'Oport-Pré'!A93</f>
        <v>86</v>
      </c>
      <c r="B96" s="222" t="str">
        <f>IF(('Oport-Pré'!B93)&gt;0,'Oport-Pré'!B93,"")</f>
        <v/>
      </c>
      <c r="C96" s="223" t="str">
        <f>IF(('Oport-Pré'!C93)&gt;0,'Oport-Pré'!C93,"")</f>
        <v/>
      </c>
      <c r="D96" s="437" t="str">
        <f>IF(('Oport-Pré'!D93)&gt;0,'Oport-Pré'!D93,"")</f>
        <v/>
      </c>
      <c r="E96" s="438"/>
      <c r="F96" s="306" t="str">
        <f>IF(('Oport-Pré'!F93)&gt;0,'Oport-Pré'!P93,"")</f>
        <v/>
      </c>
      <c r="G96" s="226"/>
      <c r="H96" s="227"/>
      <c r="I96" s="228">
        <v>0</v>
      </c>
      <c r="J96" s="129">
        <f>'Oport-Pré'!F93</f>
        <v>0</v>
      </c>
      <c r="K96" s="132">
        <f>'Oport-Pré'!O93</f>
        <v>0</v>
      </c>
      <c r="L96" s="229">
        <f t="shared" si="1"/>
        <v>0</v>
      </c>
      <c r="M96" s="226"/>
      <c r="N96" s="228">
        <v>0</v>
      </c>
      <c r="O96" s="228"/>
    </row>
    <row r="97" spans="1:15" ht="13">
      <c r="A97" s="126">
        <f>'Oport-Pré'!A94</f>
        <v>87</v>
      </c>
      <c r="B97" s="222" t="str">
        <f>IF(('Oport-Pré'!B94)&gt;0,'Oport-Pré'!B94,"")</f>
        <v/>
      </c>
      <c r="C97" s="223" t="str">
        <f>IF(('Oport-Pré'!C94)&gt;0,'Oport-Pré'!C94,"")</f>
        <v/>
      </c>
      <c r="D97" s="437" t="str">
        <f>IF(('Oport-Pré'!D94)&gt;0,'Oport-Pré'!D94,"")</f>
        <v/>
      </c>
      <c r="E97" s="438"/>
      <c r="F97" s="306" t="str">
        <f>IF(('Oport-Pré'!F94)&gt;0,'Oport-Pré'!P94,"")</f>
        <v/>
      </c>
      <c r="G97" s="226"/>
      <c r="H97" s="227"/>
      <c r="I97" s="228">
        <v>0</v>
      </c>
      <c r="J97" s="129">
        <f>'Oport-Pré'!F94</f>
        <v>0</v>
      </c>
      <c r="K97" s="132">
        <f>'Oport-Pré'!O94</f>
        <v>0</v>
      </c>
      <c r="L97" s="229">
        <f t="shared" si="1"/>
        <v>0</v>
      </c>
      <c r="M97" s="226"/>
      <c r="N97" s="228">
        <v>0</v>
      </c>
      <c r="O97" s="228"/>
    </row>
    <row r="98" spans="1:15" ht="13">
      <c r="A98" s="126">
        <f>'Oport-Pré'!A95</f>
        <v>88</v>
      </c>
      <c r="B98" s="222" t="str">
        <f>IF(('Oport-Pré'!B95)&gt;0,'Oport-Pré'!B95,"")</f>
        <v/>
      </c>
      <c r="C98" s="223" t="str">
        <f>IF(('Oport-Pré'!C95)&gt;0,'Oport-Pré'!C95,"")</f>
        <v/>
      </c>
      <c r="D98" s="437" t="str">
        <f>IF(('Oport-Pré'!D95)&gt;0,'Oport-Pré'!D95,"")</f>
        <v/>
      </c>
      <c r="E98" s="438"/>
      <c r="F98" s="306" t="str">
        <f>IF(('Oport-Pré'!F95)&gt;0,'Oport-Pré'!P95,"")</f>
        <v/>
      </c>
      <c r="G98" s="226"/>
      <c r="H98" s="227"/>
      <c r="I98" s="228">
        <v>0</v>
      </c>
      <c r="J98" s="129">
        <f>'Oport-Pré'!F95</f>
        <v>0</v>
      </c>
      <c r="K98" s="132">
        <f>'Oport-Pré'!O95</f>
        <v>0</v>
      </c>
      <c r="L98" s="229">
        <f t="shared" si="1"/>
        <v>0</v>
      </c>
      <c r="M98" s="226"/>
      <c r="N98" s="228">
        <v>0</v>
      </c>
      <c r="O98" s="228"/>
    </row>
    <row r="99" spans="1:15" ht="13">
      <c r="A99" s="126">
        <f>'Oport-Pré'!A96</f>
        <v>89</v>
      </c>
      <c r="B99" s="222" t="str">
        <f>IF(('Oport-Pré'!B96)&gt;0,'Oport-Pré'!B96,"")</f>
        <v/>
      </c>
      <c r="C99" s="223" t="str">
        <f>IF(('Oport-Pré'!C96)&gt;0,'Oport-Pré'!C96,"")</f>
        <v/>
      </c>
      <c r="D99" s="437" t="str">
        <f>IF(('Oport-Pré'!D96)&gt;0,'Oport-Pré'!D96,"")</f>
        <v/>
      </c>
      <c r="E99" s="438"/>
      <c r="F99" s="306" t="str">
        <f>IF(('Oport-Pré'!F96)&gt;0,'Oport-Pré'!P96,"")</f>
        <v/>
      </c>
      <c r="G99" s="226"/>
      <c r="H99" s="227"/>
      <c r="I99" s="228">
        <v>0</v>
      </c>
      <c r="J99" s="129">
        <f>'Oport-Pré'!F96</f>
        <v>0</v>
      </c>
      <c r="K99" s="132">
        <f>'Oport-Pré'!O96</f>
        <v>0</v>
      </c>
      <c r="L99" s="229">
        <f t="shared" si="1"/>
        <v>0</v>
      </c>
      <c r="M99" s="226"/>
      <c r="N99" s="228">
        <v>0</v>
      </c>
      <c r="O99" s="228"/>
    </row>
    <row r="100" spans="1:15" ht="13">
      <c r="A100" s="126">
        <f>'Oport-Pré'!A97</f>
        <v>90</v>
      </c>
      <c r="B100" s="222" t="str">
        <f>IF(('Oport-Pré'!B97)&gt;0,'Oport-Pré'!B97,"")</f>
        <v/>
      </c>
      <c r="C100" s="223" t="str">
        <f>IF(('Oport-Pré'!C97)&gt;0,'Oport-Pré'!C97,"")</f>
        <v/>
      </c>
      <c r="D100" s="437" t="str">
        <f>IF(('Oport-Pré'!D97)&gt;0,'Oport-Pré'!D97,"")</f>
        <v/>
      </c>
      <c r="E100" s="438"/>
      <c r="F100" s="306" t="str">
        <f>IF(('Oport-Pré'!F97)&gt;0,'Oport-Pré'!P97,"")</f>
        <v/>
      </c>
      <c r="G100" s="226"/>
      <c r="H100" s="227"/>
      <c r="I100" s="228">
        <v>0</v>
      </c>
      <c r="J100" s="129">
        <f>'Oport-Pré'!F97</f>
        <v>0</v>
      </c>
      <c r="K100" s="132">
        <f>'Oport-Pré'!O97</f>
        <v>0</v>
      </c>
      <c r="L100" s="229">
        <f t="shared" si="1"/>
        <v>0</v>
      </c>
      <c r="M100" s="226"/>
      <c r="N100" s="228">
        <v>0</v>
      </c>
      <c r="O100" s="228"/>
    </row>
    <row r="101" spans="1:15" ht="13">
      <c r="A101" s="126">
        <f>'Oport-Pré'!A98</f>
        <v>91</v>
      </c>
      <c r="B101" s="222" t="str">
        <f>IF(('Oport-Pré'!B98)&gt;0,'Oport-Pré'!B98,"")</f>
        <v/>
      </c>
      <c r="C101" s="223" t="str">
        <f>IF(('Oport-Pré'!C98)&gt;0,'Oport-Pré'!C98,"")</f>
        <v/>
      </c>
      <c r="D101" s="437" t="str">
        <f>IF(('Oport-Pré'!D98)&gt;0,'Oport-Pré'!D98,"")</f>
        <v/>
      </c>
      <c r="E101" s="438"/>
      <c r="F101" s="306" t="str">
        <f>IF(('Oport-Pré'!F98)&gt;0,'Oport-Pré'!P98,"")</f>
        <v/>
      </c>
      <c r="G101" s="226"/>
      <c r="H101" s="227"/>
      <c r="I101" s="228">
        <v>0</v>
      </c>
      <c r="J101" s="129">
        <f>'Oport-Pré'!F98</f>
        <v>0</v>
      </c>
      <c r="K101" s="132">
        <f>'Oport-Pré'!O98</f>
        <v>0</v>
      </c>
      <c r="L101" s="229">
        <f t="shared" si="1"/>
        <v>0</v>
      </c>
      <c r="M101" s="226"/>
      <c r="N101" s="228">
        <v>0</v>
      </c>
      <c r="O101" s="228"/>
    </row>
    <row r="102" spans="1:15" ht="13">
      <c r="A102" s="126">
        <f>'Oport-Pré'!A99</f>
        <v>92</v>
      </c>
      <c r="B102" s="222" t="str">
        <f>IF(('Oport-Pré'!B99)&gt;0,'Oport-Pré'!B99,"")</f>
        <v/>
      </c>
      <c r="C102" s="223" t="str">
        <f>IF(('Oport-Pré'!C99)&gt;0,'Oport-Pré'!C99,"")</f>
        <v/>
      </c>
      <c r="D102" s="437" t="str">
        <f>IF(('Oport-Pré'!D99)&gt;0,'Oport-Pré'!D99,"")</f>
        <v/>
      </c>
      <c r="E102" s="438"/>
      <c r="F102" s="306" t="str">
        <f>IF(('Oport-Pré'!F99)&gt;0,'Oport-Pré'!P99,"")</f>
        <v/>
      </c>
      <c r="G102" s="226"/>
      <c r="H102" s="227"/>
      <c r="I102" s="228">
        <v>0</v>
      </c>
      <c r="J102" s="129">
        <f>'Oport-Pré'!F99</f>
        <v>0</v>
      </c>
      <c r="K102" s="132">
        <f>'Oport-Pré'!O99</f>
        <v>0</v>
      </c>
      <c r="L102" s="229">
        <f t="shared" si="1"/>
        <v>0</v>
      </c>
      <c r="M102" s="226"/>
      <c r="N102" s="228">
        <v>0</v>
      </c>
      <c r="O102" s="228"/>
    </row>
    <row r="103" spans="1:15" ht="13">
      <c r="A103" s="126">
        <f>'Oport-Pré'!A100</f>
        <v>93</v>
      </c>
      <c r="B103" s="222" t="str">
        <f>IF(('Oport-Pré'!B100)&gt;0,'Oport-Pré'!B100,"")</f>
        <v/>
      </c>
      <c r="C103" s="223" t="str">
        <f>IF(('Oport-Pré'!C100)&gt;0,'Oport-Pré'!C100,"")</f>
        <v/>
      </c>
      <c r="D103" s="437" t="str">
        <f>IF(('Oport-Pré'!D100)&gt;0,'Oport-Pré'!D100,"")</f>
        <v/>
      </c>
      <c r="E103" s="438"/>
      <c r="F103" s="306" t="str">
        <f>IF(('Oport-Pré'!F100)&gt;0,'Oport-Pré'!P100,"")</f>
        <v/>
      </c>
      <c r="G103" s="226"/>
      <c r="H103" s="227"/>
      <c r="I103" s="228">
        <v>0</v>
      </c>
      <c r="J103" s="129">
        <f>'Oport-Pré'!F100</f>
        <v>0</v>
      </c>
      <c r="K103" s="132">
        <f>'Oport-Pré'!O100</f>
        <v>0</v>
      </c>
      <c r="L103" s="229">
        <f t="shared" si="1"/>
        <v>0</v>
      </c>
      <c r="M103" s="226"/>
      <c r="N103" s="228">
        <v>0</v>
      </c>
      <c r="O103" s="228"/>
    </row>
    <row r="104" spans="1:15" ht="13">
      <c r="A104" s="126">
        <f>'Oport-Pré'!A101</f>
        <v>94</v>
      </c>
      <c r="B104" s="222" t="str">
        <f>IF(('Oport-Pré'!B101)&gt;0,'Oport-Pré'!B101,"")</f>
        <v/>
      </c>
      <c r="C104" s="223" t="str">
        <f>IF(('Oport-Pré'!C101)&gt;0,'Oport-Pré'!C101,"")</f>
        <v/>
      </c>
      <c r="D104" s="437" t="str">
        <f>IF(('Oport-Pré'!D101)&gt;0,'Oport-Pré'!D101,"")</f>
        <v/>
      </c>
      <c r="E104" s="438"/>
      <c r="F104" s="306" t="str">
        <f>IF(('Oport-Pré'!F101)&gt;0,'Oport-Pré'!P101,"")</f>
        <v/>
      </c>
      <c r="G104" s="226"/>
      <c r="H104" s="227"/>
      <c r="I104" s="228">
        <v>0</v>
      </c>
      <c r="J104" s="129">
        <f>'Oport-Pré'!F101</f>
        <v>0</v>
      </c>
      <c r="K104" s="132">
        <f>'Oport-Pré'!O101</f>
        <v>0</v>
      </c>
      <c r="L104" s="229">
        <f t="shared" si="1"/>
        <v>0</v>
      </c>
      <c r="M104" s="226"/>
      <c r="N104" s="228">
        <v>0</v>
      </c>
      <c r="O104" s="228"/>
    </row>
    <row r="105" spans="1:15" ht="13">
      <c r="A105" s="126">
        <f>'Oport-Pré'!A102</f>
        <v>95</v>
      </c>
      <c r="B105" s="222" t="str">
        <f>IF(('Oport-Pré'!B102)&gt;0,'Oport-Pré'!B102,"")</f>
        <v/>
      </c>
      <c r="C105" s="223" t="str">
        <f>IF(('Oport-Pré'!C102)&gt;0,'Oport-Pré'!C102,"")</f>
        <v/>
      </c>
      <c r="D105" s="437" t="str">
        <f>IF(('Oport-Pré'!D102)&gt;0,'Oport-Pré'!D102,"")</f>
        <v/>
      </c>
      <c r="E105" s="438"/>
      <c r="F105" s="306" t="str">
        <f>IF(('Oport-Pré'!F102)&gt;0,'Oport-Pré'!P102,"")</f>
        <v/>
      </c>
      <c r="G105" s="226"/>
      <c r="H105" s="227"/>
      <c r="I105" s="228">
        <v>0</v>
      </c>
      <c r="J105" s="129">
        <f>'Oport-Pré'!F102</f>
        <v>0</v>
      </c>
      <c r="K105" s="132">
        <f>'Oport-Pré'!O102</f>
        <v>0</v>
      </c>
      <c r="L105" s="229">
        <f t="shared" si="1"/>
        <v>0</v>
      </c>
      <c r="M105" s="226"/>
      <c r="N105" s="228">
        <v>0</v>
      </c>
      <c r="O105" s="228"/>
    </row>
    <row r="106" spans="1:15" ht="13">
      <c r="A106" s="126">
        <f>'Oport-Pré'!A103</f>
        <v>96</v>
      </c>
      <c r="B106" s="222" t="str">
        <f>IF(('Oport-Pré'!B103)&gt;0,'Oport-Pré'!B103,"")</f>
        <v/>
      </c>
      <c r="C106" s="223" t="str">
        <f>IF(('Oport-Pré'!C103)&gt;0,'Oport-Pré'!C103,"")</f>
        <v/>
      </c>
      <c r="D106" s="437" t="str">
        <f>IF(('Oport-Pré'!D103)&gt;0,'Oport-Pré'!D103,"")</f>
        <v/>
      </c>
      <c r="E106" s="438"/>
      <c r="F106" s="306" t="str">
        <f>IF(('Oport-Pré'!F103)&gt;0,'Oport-Pré'!P103,"")</f>
        <v/>
      </c>
      <c r="G106" s="226"/>
      <c r="H106" s="227"/>
      <c r="I106" s="228">
        <v>0</v>
      </c>
      <c r="J106" s="129">
        <f>'Oport-Pré'!F103</f>
        <v>0</v>
      </c>
      <c r="K106" s="132">
        <f>'Oport-Pré'!O103</f>
        <v>0</v>
      </c>
      <c r="L106" s="229">
        <f t="shared" si="1"/>
        <v>0</v>
      </c>
      <c r="M106" s="226"/>
      <c r="N106" s="228">
        <v>0</v>
      </c>
      <c r="O106" s="228"/>
    </row>
    <row r="107" spans="1:15" ht="13">
      <c r="A107" s="126">
        <f>'Oport-Pré'!A104</f>
        <v>97</v>
      </c>
      <c r="B107" s="222" t="str">
        <f>IF(('Oport-Pré'!B104)&gt;0,'Oport-Pré'!B104,"")</f>
        <v/>
      </c>
      <c r="C107" s="223" t="str">
        <f>IF(('Oport-Pré'!C104)&gt;0,'Oport-Pré'!C104,"")</f>
        <v/>
      </c>
      <c r="D107" s="437" t="str">
        <f>IF(('Oport-Pré'!D104)&gt;0,'Oport-Pré'!D104,"")</f>
        <v/>
      </c>
      <c r="E107" s="438"/>
      <c r="F107" s="306" t="str">
        <f>IF(('Oport-Pré'!F104)&gt;0,'Oport-Pré'!P104,"")</f>
        <v/>
      </c>
      <c r="G107" s="226"/>
      <c r="H107" s="227"/>
      <c r="I107" s="228">
        <v>0</v>
      </c>
      <c r="J107" s="129">
        <f>'Oport-Pré'!F104</f>
        <v>0</v>
      </c>
      <c r="K107" s="132">
        <f>'Oport-Pré'!O104</f>
        <v>0</v>
      </c>
      <c r="L107" s="229">
        <f t="shared" si="1"/>
        <v>0</v>
      </c>
      <c r="M107" s="226"/>
      <c r="N107" s="228">
        <v>0</v>
      </c>
      <c r="O107" s="228"/>
    </row>
    <row r="108" spans="1:15" ht="13">
      <c r="A108" s="126">
        <f>'Oport-Pré'!A105</f>
        <v>98</v>
      </c>
      <c r="B108" s="222" t="str">
        <f>IF(('Oport-Pré'!B105)&gt;0,'Oport-Pré'!B105,"")</f>
        <v/>
      </c>
      <c r="C108" s="223" t="str">
        <f>IF(('Oport-Pré'!C105)&gt;0,'Oport-Pré'!C105,"")</f>
        <v/>
      </c>
      <c r="D108" s="437" t="str">
        <f>IF(('Oport-Pré'!D105)&gt;0,'Oport-Pré'!D105,"")</f>
        <v/>
      </c>
      <c r="E108" s="438"/>
      <c r="F108" s="306" t="str">
        <f>IF(('Oport-Pré'!F105)&gt;0,'Oport-Pré'!P105,"")</f>
        <v/>
      </c>
      <c r="G108" s="226"/>
      <c r="H108" s="227"/>
      <c r="I108" s="228">
        <v>0</v>
      </c>
      <c r="J108" s="129">
        <f>'Oport-Pré'!F105</f>
        <v>0</v>
      </c>
      <c r="K108" s="132">
        <f>'Oport-Pré'!O105</f>
        <v>0</v>
      </c>
      <c r="L108" s="229">
        <f t="shared" si="1"/>
        <v>0</v>
      </c>
      <c r="M108" s="226"/>
      <c r="N108" s="228">
        <v>0</v>
      </c>
      <c r="O108" s="228"/>
    </row>
    <row r="109" spans="1:15" ht="13">
      <c r="A109" s="126">
        <f>'Oport-Pré'!A106</f>
        <v>99</v>
      </c>
      <c r="B109" s="222" t="str">
        <f>IF(('Oport-Pré'!B106)&gt;0,'Oport-Pré'!B106,"")</f>
        <v/>
      </c>
      <c r="C109" s="223" t="str">
        <f>IF(('Oport-Pré'!C106)&gt;0,'Oport-Pré'!C106,"")</f>
        <v/>
      </c>
      <c r="D109" s="437" t="str">
        <f>IF(('Oport-Pré'!D106)&gt;0,'Oport-Pré'!D106,"")</f>
        <v/>
      </c>
      <c r="E109" s="438"/>
      <c r="F109" s="306" t="str">
        <f>IF(('Oport-Pré'!F106)&gt;0,'Oport-Pré'!P106,"")</f>
        <v/>
      </c>
      <c r="G109" s="226"/>
      <c r="H109" s="227"/>
      <c r="I109" s="228">
        <v>0</v>
      </c>
      <c r="J109" s="129">
        <f>'Oport-Pré'!F106</f>
        <v>0</v>
      </c>
      <c r="K109" s="132">
        <f>'Oport-Pré'!O106</f>
        <v>0</v>
      </c>
      <c r="L109" s="229">
        <f t="shared" si="1"/>
        <v>0</v>
      </c>
      <c r="M109" s="226"/>
      <c r="N109" s="228">
        <v>0</v>
      </c>
      <c r="O109" s="228"/>
    </row>
    <row r="110" spans="1:15" ht="13">
      <c r="A110" s="126">
        <f>'Oport-Pré'!A107</f>
        <v>100</v>
      </c>
      <c r="B110" s="222" t="str">
        <f>IF(('Oport-Pré'!B107)&gt;0,'Oport-Pré'!B107,"")</f>
        <v/>
      </c>
      <c r="C110" s="223" t="str">
        <f>IF(('Oport-Pré'!C107)&gt;0,'Oport-Pré'!C107,"")</f>
        <v/>
      </c>
      <c r="D110" s="437" t="str">
        <f>IF(('Oport-Pré'!D107)&gt;0,'Oport-Pré'!D107,"")</f>
        <v/>
      </c>
      <c r="E110" s="438"/>
      <c r="F110" s="306" t="str">
        <f>IF(('Oport-Pré'!F107)&gt;0,'Oport-Pré'!P107,"")</f>
        <v/>
      </c>
      <c r="G110" s="226"/>
      <c r="H110" s="227"/>
      <c r="I110" s="228">
        <v>0</v>
      </c>
      <c r="J110" s="129">
        <f>'Oport-Pré'!F107</f>
        <v>0</v>
      </c>
      <c r="K110" s="132">
        <f>'Oport-Pré'!O107</f>
        <v>0</v>
      </c>
      <c r="L110" s="229">
        <f t="shared" si="1"/>
        <v>0</v>
      </c>
      <c r="M110" s="226"/>
      <c r="N110" s="228">
        <v>0</v>
      </c>
      <c r="O110" s="228"/>
    </row>
    <row r="111" spans="1:15" ht="13">
      <c r="A111" s="126">
        <f>'Oport-Pré'!A108</f>
        <v>101</v>
      </c>
      <c r="B111" s="222" t="str">
        <f>IF(('Oport-Pré'!B108)&gt;0,'Oport-Pré'!B108,"")</f>
        <v/>
      </c>
      <c r="C111" s="223" t="str">
        <f>IF(('Oport-Pré'!C108)&gt;0,'Oport-Pré'!C108,"")</f>
        <v/>
      </c>
      <c r="D111" s="437" t="str">
        <f>IF(('Oport-Pré'!D108)&gt;0,'Oport-Pré'!D108,"")</f>
        <v/>
      </c>
      <c r="E111" s="438"/>
      <c r="F111" s="306" t="str">
        <f>IF(('Oport-Pré'!F108)&gt;0,'Oport-Pré'!P108,"")</f>
        <v/>
      </c>
      <c r="G111" s="226"/>
      <c r="H111" s="227"/>
      <c r="I111" s="228">
        <v>0</v>
      </c>
      <c r="J111" s="129">
        <f>'Oport-Pré'!F108</f>
        <v>0</v>
      </c>
      <c r="K111" s="132">
        <f>'Oport-Pré'!O108</f>
        <v>0</v>
      </c>
      <c r="L111" s="229">
        <f t="shared" si="1"/>
        <v>0</v>
      </c>
      <c r="M111" s="226"/>
      <c r="N111" s="228">
        <v>0</v>
      </c>
      <c r="O111" s="228"/>
    </row>
    <row r="112" spans="1:15" ht="13">
      <c r="A112" s="126">
        <f>'Oport-Pré'!A109</f>
        <v>102</v>
      </c>
      <c r="B112" s="222" t="str">
        <f>IF(('Oport-Pré'!B109)&gt;0,'Oport-Pré'!B109,"")</f>
        <v/>
      </c>
      <c r="C112" s="223" t="str">
        <f>IF(('Oport-Pré'!C109)&gt;0,'Oport-Pré'!C109,"")</f>
        <v/>
      </c>
      <c r="D112" s="437" t="str">
        <f>IF(('Oport-Pré'!D109)&gt;0,'Oport-Pré'!D109,"")</f>
        <v/>
      </c>
      <c r="E112" s="438"/>
      <c r="F112" s="306" t="str">
        <f>IF(('Oport-Pré'!F109)&gt;0,'Oport-Pré'!P109,"")</f>
        <v/>
      </c>
      <c r="G112" s="226"/>
      <c r="H112" s="227"/>
      <c r="I112" s="228">
        <v>0</v>
      </c>
      <c r="J112" s="129">
        <f>'Oport-Pré'!F109</f>
        <v>0</v>
      </c>
      <c r="K112" s="132">
        <f>'Oport-Pré'!O109</f>
        <v>0</v>
      </c>
      <c r="L112" s="229">
        <f t="shared" si="1"/>
        <v>0</v>
      </c>
      <c r="M112" s="226"/>
      <c r="N112" s="228">
        <v>0</v>
      </c>
      <c r="O112" s="228"/>
    </row>
    <row r="113" spans="1:15" ht="13">
      <c r="A113" s="126">
        <f>'Oport-Pré'!A110</f>
        <v>103</v>
      </c>
      <c r="B113" s="222" t="str">
        <f>IF(('Oport-Pré'!B110)&gt;0,'Oport-Pré'!B110,"")</f>
        <v/>
      </c>
      <c r="C113" s="223" t="str">
        <f>IF(('Oport-Pré'!C110)&gt;0,'Oport-Pré'!C110,"")</f>
        <v/>
      </c>
      <c r="D113" s="437" t="str">
        <f>IF(('Oport-Pré'!D110)&gt;0,'Oport-Pré'!D110,"")</f>
        <v/>
      </c>
      <c r="E113" s="438"/>
      <c r="F113" s="306" t="str">
        <f>IF(('Oport-Pré'!F110)&gt;0,'Oport-Pré'!P110,"")</f>
        <v/>
      </c>
      <c r="G113" s="226"/>
      <c r="H113" s="227"/>
      <c r="I113" s="228">
        <v>0</v>
      </c>
      <c r="J113" s="129">
        <f>'Oport-Pré'!F110</f>
        <v>0</v>
      </c>
      <c r="K113" s="132">
        <f>'Oport-Pré'!O110</f>
        <v>0</v>
      </c>
      <c r="L113" s="229">
        <f t="shared" si="1"/>
        <v>0</v>
      </c>
      <c r="M113" s="226"/>
      <c r="N113" s="228">
        <v>0</v>
      </c>
      <c r="O113" s="228"/>
    </row>
    <row r="114" spans="1:15" ht="13">
      <c r="A114" s="126">
        <f>'Oport-Pré'!A111</f>
        <v>104</v>
      </c>
      <c r="B114" s="222" t="str">
        <f>IF(('Oport-Pré'!B111)&gt;0,'Oport-Pré'!B111,"")</f>
        <v/>
      </c>
      <c r="C114" s="223" t="str">
        <f>IF(('Oport-Pré'!C111)&gt;0,'Oport-Pré'!C111,"")</f>
        <v/>
      </c>
      <c r="D114" s="437" t="str">
        <f>IF(('Oport-Pré'!D111)&gt;0,'Oport-Pré'!D111,"")</f>
        <v/>
      </c>
      <c r="E114" s="438"/>
      <c r="F114" s="306" t="str">
        <f>IF(('Oport-Pré'!F111)&gt;0,'Oport-Pré'!P111,"")</f>
        <v/>
      </c>
      <c r="G114" s="226"/>
      <c r="H114" s="227"/>
      <c r="I114" s="228">
        <v>0</v>
      </c>
      <c r="J114" s="129">
        <f>'Oport-Pré'!F111</f>
        <v>0</v>
      </c>
      <c r="K114" s="132">
        <f>'Oport-Pré'!O111</f>
        <v>0</v>
      </c>
      <c r="L114" s="229">
        <f t="shared" si="1"/>
        <v>0</v>
      </c>
      <c r="M114" s="226"/>
      <c r="N114" s="228">
        <v>0</v>
      </c>
      <c r="O114" s="228"/>
    </row>
    <row r="115" spans="1:15" ht="13">
      <c r="A115" s="126">
        <f>'Oport-Pré'!A112</f>
        <v>105</v>
      </c>
      <c r="B115" s="222" t="str">
        <f>IF(('Oport-Pré'!B112)&gt;0,'Oport-Pré'!B112,"")</f>
        <v/>
      </c>
      <c r="C115" s="223" t="str">
        <f>IF(('Oport-Pré'!C112)&gt;0,'Oport-Pré'!C112,"")</f>
        <v/>
      </c>
      <c r="D115" s="437" t="str">
        <f>IF(('Oport-Pré'!D112)&gt;0,'Oport-Pré'!D112,"")</f>
        <v/>
      </c>
      <c r="E115" s="438"/>
      <c r="F115" s="306" t="str">
        <f>IF(('Oport-Pré'!F112)&gt;0,'Oport-Pré'!P112,"")</f>
        <v/>
      </c>
      <c r="G115" s="226"/>
      <c r="H115" s="227"/>
      <c r="I115" s="228">
        <v>0</v>
      </c>
      <c r="J115" s="129">
        <f>'Oport-Pré'!F112</f>
        <v>0</v>
      </c>
      <c r="K115" s="132">
        <f>'Oport-Pré'!O112</f>
        <v>0</v>
      </c>
      <c r="L115" s="229">
        <f t="shared" si="1"/>
        <v>0</v>
      </c>
      <c r="M115" s="226"/>
      <c r="N115" s="228">
        <v>0</v>
      </c>
      <c r="O115" s="228"/>
    </row>
    <row r="116" spans="1:15" ht="13">
      <c r="A116" s="126">
        <f>'Oport-Pré'!A113</f>
        <v>106</v>
      </c>
      <c r="B116" s="222" t="str">
        <f>IF(('Oport-Pré'!B113)&gt;0,'Oport-Pré'!B113,"")</f>
        <v/>
      </c>
      <c r="C116" s="223" t="str">
        <f>IF(('Oport-Pré'!C113)&gt;0,'Oport-Pré'!C113,"")</f>
        <v/>
      </c>
      <c r="D116" s="437" t="str">
        <f>IF(('Oport-Pré'!D113)&gt;0,'Oport-Pré'!D113,"")</f>
        <v/>
      </c>
      <c r="E116" s="438"/>
      <c r="F116" s="306" t="str">
        <f>IF(('Oport-Pré'!F113)&gt;0,'Oport-Pré'!P113,"")</f>
        <v/>
      </c>
      <c r="G116" s="226"/>
      <c r="H116" s="227"/>
      <c r="I116" s="228">
        <v>0</v>
      </c>
      <c r="J116" s="129">
        <f>'Oport-Pré'!F113</f>
        <v>0</v>
      </c>
      <c r="K116" s="132">
        <f>'Oport-Pré'!O113</f>
        <v>0</v>
      </c>
      <c r="L116" s="229">
        <f t="shared" si="1"/>
        <v>0</v>
      </c>
      <c r="M116" s="226"/>
      <c r="N116" s="228">
        <v>0</v>
      </c>
      <c r="O116" s="228"/>
    </row>
    <row r="117" spans="1:15" ht="13">
      <c r="A117" s="126">
        <f>'Oport-Pré'!A114</f>
        <v>107</v>
      </c>
      <c r="B117" s="222" t="str">
        <f>IF(('Oport-Pré'!B114)&gt;0,'Oport-Pré'!B114,"")</f>
        <v/>
      </c>
      <c r="C117" s="223" t="str">
        <f>IF(('Oport-Pré'!C114)&gt;0,'Oport-Pré'!C114,"")</f>
        <v/>
      </c>
      <c r="D117" s="437" t="str">
        <f>IF(('Oport-Pré'!D114)&gt;0,'Oport-Pré'!D114,"")</f>
        <v/>
      </c>
      <c r="E117" s="438"/>
      <c r="F117" s="306" t="str">
        <f>IF(('Oport-Pré'!F114)&gt;0,'Oport-Pré'!P114,"")</f>
        <v/>
      </c>
      <c r="G117" s="226"/>
      <c r="H117" s="227"/>
      <c r="I117" s="228">
        <v>0</v>
      </c>
      <c r="J117" s="129">
        <f>'Oport-Pré'!F114</f>
        <v>0</v>
      </c>
      <c r="K117" s="132">
        <f>'Oport-Pré'!O114</f>
        <v>0</v>
      </c>
      <c r="L117" s="229">
        <f t="shared" si="1"/>
        <v>0</v>
      </c>
      <c r="M117" s="226"/>
      <c r="N117" s="228">
        <v>0</v>
      </c>
      <c r="O117" s="228"/>
    </row>
    <row r="118" spans="1:15" ht="13">
      <c r="A118" s="126">
        <f>'Oport-Pré'!A115</f>
        <v>108</v>
      </c>
      <c r="B118" s="222" t="str">
        <f>IF(('Oport-Pré'!B115)&gt;0,'Oport-Pré'!B115,"")</f>
        <v/>
      </c>
      <c r="C118" s="223" t="str">
        <f>IF(('Oport-Pré'!C115)&gt;0,'Oport-Pré'!C115,"")</f>
        <v/>
      </c>
      <c r="D118" s="437" t="str">
        <f>IF(('Oport-Pré'!D115)&gt;0,'Oport-Pré'!D115,"")</f>
        <v/>
      </c>
      <c r="E118" s="438"/>
      <c r="F118" s="306" t="str">
        <f>IF(('Oport-Pré'!F115)&gt;0,'Oport-Pré'!P115,"")</f>
        <v/>
      </c>
      <c r="G118" s="226"/>
      <c r="H118" s="227"/>
      <c r="I118" s="228">
        <v>0</v>
      </c>
      <c r="J118" s="129">
        <f>'Oport-Pré'!F115</f>
        <v>0</v>
      </c>
      <c r="K118" s="132">
        <f>'Oport-Pré'!O115</f>
        <v>0</v>
      </c>
      <c r="L118" s="229">
        <f t="shared" si="1"/>
        <v>0</v>
      </c>
      <c r="M118" s="226"/>
      <c r="N118" s="228">
        <v>0</v>
      </c>
      <c r="O118" s="228"/>
    </row>
    <row r="119" spans="1:15" ht="13">
      <c r="A119" s="126">
        <f>'Oport-Pré'!A116</f>
        <v>109</v>
      </c>
      <c r="B119" s="222" t="str">
        <f>IF(('Oport-Pré'!B116)&gt;0,'Oport-Pré'!B116,"")</f>
        <v/>
      </c>
      <c r="C119" s="223" t="str">
        <f>IF(('Oport-Pré'!C116)&gt;0,'Oport-Pré'!C116,"")</f>
        <v/>
      </c>
      <c r="D119" s="437" t="str">
        <f>IF(('Oport-Pré'!D116)&gt;0,'Oport-Pré'!D116,"")</f>
        <v/>
      </c>
      <c r="E119" s="438"/>
      <c r="F119" s="306" t="str">
        <f>IF(('Oport-Pré'!F116)&gt;0,'Oport-Pré'!P116,"")</f>
        <v/>
      </c>
      <c r="G119" s="226"/>
      <c r="H119" s="227"/>
      <c r="I119" s="228">
        <v>0</v>
      </c>
      <c r="J119" s="129">
        <f>'Oport-Pré'!F116</f>
        <v>0</v>
      </c>
      <c r="K119" s="132">
        <f>'Oport-Pré'!O116</f>
        <v>0</v>
      </c>
      <c r="L119" s="229">
        <f t="shared" si="1"/>
        <v>0</v>
      </c>
      <c r="M119" s="226"/>
      <c r="N119" s="228">
        <v>0</v>
      </c>
      <c r="O119" s="228"/>
    </row>
    <row r="120" spans="1:15" ht="13">
      <c r="A120" s="126">
        <f>'Oport-Pré'!A117</f>
        <v>110</v>
      </c>
      <c r="B120" s="222" t="str">
        <f>IF(('Oport-Pré'!B117)&gt;0,'Oport-Pré'!B117,"")</f>
        <v/>
      </c>
      <c r="C120" s="223" t="str">
        <f>IF(('Oport-Pré'!C117)&gt;0,'Oport-Pré'!C117,"")</f>
        <v/>
      </c>
      <c r="D120" s="437" t="str">
        <f>IF(('Oport-Pré'!D117)&gt;0,'Oport-Pré'!D117,"")</f>
        <v/>
      </c>
      <c r="E120" s="438"/>
      <c r="F120" s="306" t="str">
        <f>IF(('Oport-Pré'!F117)&gt;0,'Oport-Pré'!P117,"")</f>
        <v/>
      </c>
      <c r="G120" s="226"/>
      <c r="H120" s="227"/>
      <c r="I120" s="228">
        <v>0</v>
      </c>
      <c r="J120" s="129">
        <f>'Oport-Pré'!F117</f>
        <v>0</v>
      </c>
      <c r="K120" s="132">
        <f>'Oport-Pré'!O117</f>
        <v>0</v>
      </c>
      <c r="L120" s="229">
        <f t="shared" si="1"/>
        <v>0</v>
      </c>
      <c r="M120" s="226"/>
      <c r="N120" s="228">
        <v>0</v>
      </c>
      <c r="O120" s="228"/>
    </row>
    <row r="121" spans="1:15" ht="13">
      <c r="A121" s="126">
        <f>'Oport-Pré'!A118</f>
        <v>111</v>
      </c>
      <c r="B121" s="222" t="str">
        <f>IF(('Oport-Pré'!B118)&gt;0,'Oport-Pré'!B118,"")</f>
        <v/>
      </c>
      <c r="C121" s="223" t="str">
        <f>IF(('Oport-Pré'!C118)&gt;0,'Oport-Pré'!C118,"")</f>
        <v/>
      </c>
      <c r="D121" s="437" t="str">
        <f>IF(('Oport-Pré'!D118)&gt;0,'Oport-Pré'!D118,"")</f>
        <v/>
      </c>
      <c r="E121" s="438"/>
      <c r="F121" s="306" t="str">
        <f>IF(('Oport-Pré'!F118)&gt;0,'Oport-Pré'!P118,"")</f>
        <v/>
      </c>
      <c r="G121" s="226"/>
      <c r="H121" s="227"/>
      <c r="I121" s="228">
        <v>0</v>
      </c>
      <c r="J121" s="129">
        <f>'Oport-Pré'!F118</f>
        <v>0</v>
      </c>
      <c r="K121" s="132">
        <f>'Oport-Pré'!O118</f>
        <v>0</v>
      </c>
      <c r="L121" s="229">
        <f t="shared" si="1"/>
        <v>0</v>
      </c>
      <c r="M121" s="226"/>
      <c r="N121" s="228">
        <v>0</v>
      </c>
      <c r="O121" s="228"/>
    </row>
    <row r="122" spans="1:15" ht="13">
      <c r="A122" s="126">
        <f>'Oport-Pré'!A119</f>
        <v>112</v>
      </c>
      <c r="B122" s="222" t="str">
        <f>IF(('Oport-Pré'!B119)&gt;0,'Oport-Pré'!B119,"")</f>
        <v/>
      </c>
      <c r="C122" s="223" t="str">
        <f>IF(('Oport-Pré'!C119)&gt;0,'Oport-Pré'!C119,"")</f>
        <v/>
      </c>
      <c r="D122" s="437" t="str">
        <f>IF(('Oport-Pré'!D119)&gt;0,'Oport-Pré'!D119,"")</f>
        <v/>
      </c>
      <c r="E122" s="438"/>
      <c r="F122" s="306" t="str">
        <f>IF(('Oport-Pré'!F119)&gt;0,'Oport-Pré'!P119,"")</f>
        <v/>
      </c>
      <c r="G122" s="226"/>
      <c r="H122" s="227"/>
      <c r="I122" s="228">
        <v>0</v>
      </c>
      <c r="J122" s="129">
        <f>'Oport-Pré'!F119</f>
        <v>0</v>
      </c>
      <c r="K122" s="132">
        <f>'Oport-Pré'!O119</f>
        <v>0</v>
      </c>
      <c r="L122" s="229">
        <f t="shared" si="1"/>
        <v>0</v>
      </c>
      <c r="M122" s="226"/>
      <c r="N122" s="228">
        <v>0</v>
      </c>
      <c r="O122" s="228"/>
    </row>
    <row r="123" spans="1:15" ht="13">
      <c r="A123" s="126">
        <f>'Oport-Pré'!A120</f>
        <v>113</v>
      </c>
      <c r="B123" s="222" t="str">
        <f>IF(('Oport-Pré'!B120)&gt;0,'Oport-Pré'!B120,"")</f>
        <v/>
      </c>
      <c r="C123" s="223" t="str">
        <f>IF(('Oport-Pré'!C120)&gt;0,'Oport-Pré'!C120,"")</f>
        <v/>
      </c>
      <c r="D123" s="437" t="str">
        <f>IF(('Oport-Pré'!D120)&gt;0,'Oport-Pré'!D120,"")</f>
        <v/>
      </c>
      <c r="E123" s="438"/>
      <c r="F123" s="306" t="str">
        <f>IF(('Oport-Pré'!F120)&gt;0,'Oport-Pré'!P120,"")</f>
        <v/>
      </c>
      <c r="G123" s="226"/>
      <c r="H123" s="227"/>
      <c r="I123" s="228">
        <v>0</v>
      </c>
      <c r="J123" s="129">
        <f>'Oport-Pré'!F120</f>
        <v>0</v>
      </c>
      <c r="K123" s="132">
        <f>'Oport-Pré'!O120</f>
        <v>0</v>
      </c>
      <c r="L123" s="229">
        <f t="shared" si="1"/>
        <v>0</v>
      </c>
      <c r="M123" s="226"/>
      <c r="N123" s="228">
        <v>0</v>
      </c>
      <c r="O123" s="228"/>
    </row>
    <row r="124" spans="1:15" ht="13">
      <c r="A124" s="126">
        <f>'Oport-Pré'!A121</f>
        <v>114</v>
      </c>
      <c r="B124" s="222" t="str">
        <f>IF(('Oport-Pré'!B121)&gt;0,'Oport-Pré'!B121,"")</f>
        <v/>
      </c>
      <c r="C124" s="223" t="str">
        <f>IF(('Oport-Pré'!C121)&gt;0,'Oport-Pré'!C121,"")</f>
        <v/>
      </c>
      <c r="D124" s="437" t="str">
        <f>IF(('Oport-Pré'!D121)&gt;0,'Oport-Pré'!D121,"")</f>
        <v/>
      </c>
      <c r="E124" s="438"/>
      <c r="F124" s="306" t="str">
        <f>IF(('Oport-Pré'!F121)&gt;0,'Oport-Pré'!P121,"")</f>
        <v/>
      </c>
      <c r="G124" s="226"/>
      <c r="H124" s="227"/>
      <c r="I124" s="228">
        <v>0</v>
      </c>
      <c r="J124" s="129">
        <f>'Oport-Pré'!F121</f>
        <v>0</v>
      </c>
      <c r="K124" s="132">
        <f>'Oport-Pré'!O121</f>
        <v>0</v>
      </c>
      <c r="L124" s="229">
        <f t="shared" si="1"/>
        <v>0</v>
      </c>
      <c r="M124" s="226"/>
      <c r="N124" s="228">
        <v>0</v>
      </c>
      <c r="O124" s="228"/>
    </row>
    <row r="125" spans="1:15" ht="13">
      <c r="A125" s="126">
        <f>'Oport-Pré'!A122</f>
        <v>115</v>
      </c>
      <c r="B125" s="222" t="str">
        <f>IF(('Oport-Pré'!B122)&gt;0,'Oport-Pré'!B122,"")</f>
        <v/>
      </c>
      <c r="C125" s="223" t="str">
        <f>IF(('Oport-Pré'!C122)&gt;0,'Oport-Pré'!C122,"")</f>
        <v/>
      </c>
      <c r="D125" s="437" t="str">
        <f>IF(('Oport-Pré'!D122)&gt;0,'Oport-Pré'!D122,"")</f>
        <v/>
      </c>
      <c r="E125" s="438"/>
      <c r="F125" s="306" t="str">
        <f>IF(('Oport-Pré'!F122)&gt;0,'Oport-Pré'!P122,"")</f>
        <v/>
      </c>
      <c r="G125" s="226"/>
      <c r="H125" s="227"/>
      <c r="I125" s="228">
        <v>0</v>
      </c>
      <c r="J125" s="129">
        <f>'Oport-Pré'!F122</f>
        <v>0</v>
      </c>
      <c r="K125" s="132">
        <f>'Oport-Pré'!O122</f>
        <v>0</v>
      </c>
      <c r="L125" s="229">
        <f t="shared" si="1"/>
        <v>0</v>
      </c>
      <c r="M125" s="226"/>
      <c r="N125" s="228">
        <v>0</v>
      </c>
      <c r="O125" s="228"/>
    </row>
    <row r="126" spans="1:15" ht="13">
      <c r="A126" s="126">
        <f>'Oport-Pré'!A123</f>
        <v>116</v>
      </c>
      <c r="B126" s="222" t="str">
        <f>IF(('Oport-Pré'!B123)&gt;0,'Oport-Pré'!B123,"")</f>
        <v/>
      </c>
      <c r="C126" s="223" t="str">
        <f>IF(('Oport-Pré'!C123)&gt;0,'Oport-Pré'!C123,"")</f>
        <v/>
      </c>
      <c r="D126" s="437" t="str">
        <f>IF(('Oport-Pré'!D123)&gt;0,'Oport-Pré'!D123,"")</f>
        <v/>
      </c>
      <c r="E126" s="438"/>
      <c r="F126" s="306" t="str">
        <f>IF(('Oport-Pré'!F123)&gt;0,'Oport-Pré'!P123,"")</f>
        <v/>
      </c>
      <c r="G126" s="226"/>
      <c r="H126" s="227"/>
      <c r="I126" s="228">
        <v>0</v>
      </c>
      <c r="J126" s="129">
        <f>'Oport-Pré'!F123</f>
        <v>0</v>
      </c>
      <c r="K126" s="132">
        <f>'Oport-Pré'!O123</f>
        <v>0</v>
      </c>
      <c r="L126" s="229">
        <f t="shared" si="1"/>
        <v>0</v>
      </c>
      <c r="M126" s="226"/>
      <c r="N126" s="228">
        <v>0</v>
      </c>
      <c r="O126" s="228"/>
    </row>
    <row r="127" spans="1:15" ht="13">
      <c r="A127" s="126">
        <f>'Oport-Pré'!A124</f>
        <v>117</v>
      </c>
      <c r="B127" s="222" t="str">
        <f>IF(('Oport-Pré'!B124)&gt;0,'Oport-Pré'!B124,"")</f>
        <v/>
      </c>
      <c r="C127" s="223" t="str">
        <f>IF(('Oport-Pré'!C124)&gt;0,'Oport-Pré'!C124,"")</f>
        <v/>
      </c>
      <c r="D127" s="437" t="str">
        <f>IF(('Oport-Pré'!D124)&gt;0,'Oport-Pré'!D124,"")</f>
        <v/>
      </c>
      <c r="E127" s="438"/>
      <c r="F127" s="306" t="str">
        <f>IF(('Oport-Pré'!F124)&gt;0,'Oport-Pré'!P124,"")</f>
        <v/>
      </c>
      <c r="G127" s="226"/>
      <c r="H127" s="227"/>
      <c r="I127" s="228">
        <v>0</v>
      </c>
      <c r="J127" s="129">
        <f>'Oport-Pré'!F124</f>
        <v>0</v>
      </c>
      <c r="K127" s="132">
        <f>'Oport-Pré'!O124</f>
        <v>0</v>
      </c>
      <c r="L127" s="229">
        <f t="shared" si="1"/>
        <v>0</v>
      </c>
      <c r="M127" s="226"/>
      <c r="N127" s="228">
        <v>0</v>
      </c>
      <c r="O127" s="228"/>
    </row>
    <row r="128" spans="1:15" ht="13">
      <c r="A128" s="126">
        <f>'Oport-Pré'!A125</f>
        <v>118</v>
      </c>
      <c r="B128" s="222" t="str">
        <f>IF(('Oport-Pré'!B125)&gt;0,'Oport-Pré'!B125,"")</f>
        <v/>
      </c>
      <c r="C128" s="223" t="str">
        <f>IF(('Oport-Pré'!C125)&gt;0,'Oport-Pré'!C125,"")</f>
        <v/>
      </c>
      <c r="D128" s="437" t="str">
        <f>IF(('Oport-Pré'!D125)&gt;0,'Oport-Pré'!D125,"")</f>
        <v/>
      </c>
      <c r="E128" s="438"/>
      <c r="F128" s="306" t="str">
        <f>IF(('Oport-Pré'!F125)&gt;0,'Oport-Pré'!P125,"")</f>
        <v/>
      </c>
      <c r="G128" s="226"/>
      <c r="H128" s="227"/>
      <c r="I128" s="228">
        <v>0</v>
      </c>
      <c r="J128" s="129">
        <f>'Oport-Pré'!F125</f>
        <v>0</v>
      </c>
      <c r="K128" s="132">
        <f>'Oport-Pré'!O125</f>
        <v>0</v>
      </c>
      <c r="L128" s="229">
        <f t="shared" si="1"/>
        <v>0</v>
      </c>
      <c r="M128" s="226"/>
      <c r="N128" s="228">
        <v>0</v>
      </c>
      <c r="O128" s="228"/>
    </row>
    <row r="129" spans="1:15" ht="13">
      <c r="A129" s="126">
        <f>'Oport-Pré'!A126</f>
        <v>119</v>
      </c>
      <c r="B129" s="222" t="str">
        <f>IF(('Oport-Pré'!B126)&gt;0,'Oport-Pré'!B126,"")</f>
        <v/>
      </c>
      <c r="C129" s="223" t="str">
        <f>IF(('Oport-Pré'!C126)&gt;0,'Oport-Pré'!C126,"")</f>
        <v/>
      </c>
      <c r="D129" s="437" t="str">
        <f>IF(('Oport-Pré'!D126)&gt;0,'Oport-Pré'!D126,"")</f>
        <v/>
      </c>
      <c r="E129" s="438"/>
      <c r="F129" s="306" t="str">
        <f>IF(('Oport-Pré'!F126)&gt;0,'Oport-Pré'!P126,"")</f>
        <v/>
      </c>
      <c r="G129" s="226"/>
      <c r="H129" s="227"/>
      <c r="I129" s="228">
        <v>0</v>
      </c>
      <c r="J129" s="129">
        <f>'Oport-Pré'!F126</f>
        <v>0</v>
      </c>
      <c r="K129" s="132">
        <f>'Oport-Pré'!O126</f>
        <v>0</v>
      </c>
      <c r="L129" s="229">
        <f t="shared" si="1"/>
        <v>0</v>
      </c>
      <c r="M129" s="226"/>
      <c r="N129" s="228">
        <v>0</v>
      </c>
      <c r="O129" s="228"/>
    </row>
    <row r="130" spans="1:15" ht="13">
      <c r="A130" s="126">
        <f>'Oport-Pré'!A127</f>
        <v>120</v>
      </c>
      <c r="B130" s="222" t="str">
        <f>IF(('Oport-Pré'!B127)&gt;0,'Oport-Pré'!B127,"")</f>
        <v/>
      </c>
      <c r="C130" s="223" t="str">
        <f>IF(('Oport-Pré'!C127)&gt;0,'Oport-Pré'!C127,"")</f>
        <v/>
      </c>
      <c r="D130" s="437" t="str">
        <f>IF(('Oport-Pré'!D127)&gt;0,'Oport-Pré'!D127,"")</f>
        <v/>
      </c>
      <c r="E130" s="438"/>
      <c r="F130" s="306" t="str">
        <f>IF(('Oport-Pré'!F127)&gt;0,'Oport-Pré'!P127,"")</f>
        <v/>
      </c>
      <c r="G130" s="226"/>
      <c r="H130" s="227"/>
      <c r="I130" s="228">
        <v>0</v>
      </c>
      <c r="J130" s="129">
        <f>'Oport-Pré'!F127</f>
        <v>0</v>
      </c>
      <c r="K130" s="132">
        <f>'Oport-Pré'!O127</f>
        <v>0</v>
      </c>
      <c r="L130" s="229">
        <f t="shared" si="1"/>
        <v>0</v>
      </c>
      <c r="M130" s="226"/>
      <c r="N130" s="228">
        <v>0</v>
      </c>
      <c r="O130" s="228"/>
    </row>
    <row r="131" spans="1:15" ht="13">
      <c r="A131" s="126">
        <f>'Oport-Pré'!A128</f>
        <v>121</v>
      </c>
      <c r="B131" s="222" t="str">
        <f>IF(('Oport-Pré'!B128)&gt;0,'Oport-Pré'!B128,"")</f>
        <v/>
      </c>
      <c r="C131" s="223" t="str">
        <f>IF(('Oport-Pré'!C128)&gt;0,'Oport-Pré'!C128,"")</f>
        <v/>
      </c>
      <c r="D131" s="437" t="str">
        <f>IF(('Oport-Pré'!D128)&gt;0,'Oport-Pré'!D128,"")</f>
        <v/>
      </c>
      <c r="E131" s="438"/>
      <c r="F131" s="306" t="str">
        <f>IF(('Oport-Pré'!F128)&gt;0,'Oport-Pré'!P128,"")</f>
        <v/>
      </c>
      <c r="G131" s="226"/>
      <c r="H131" s="227"/>
      <c r="I131" s="228">
        <v>0</v>
      </c>
      <c r="J131" s="129">
        <f>'Oport-Pré'!F128</f>
        <v>0</v>
      </c>
      <c r="K131" s="132">
        <f>'Oport-Pré'!O128</f>
        <v>0</v>
      </c>
      <c r="L131" s="229">
        <f t="shared" si="1"/>
        <v>0</v>
      </c>
      <c r="M131" s="226"/>
      <c r="N131" s="228">
        <v>0</v>
      </c>
      <c r="O131" s="228"/>
    </row>
    <row r="132" spans="1:15" ht="13">
      <c r="A132" s="126">
        <f>'Oport-Pré'!A129</f>
        <v>122</v>
      </c>
      <c r="B132" s="222" t="str">
        <f>IF(('Oport-Pré'!B129)&gt;0,'Oport-Pré'!B129,"")</f>
        <v/>
      </c>
      <c r="C132" s="223" t="str">
        <f>IF(('Oport-Pré'!C129)&gt;0,'Oport-Pré'!C129,"")</f>
        <v/>
      </c>
      <c r="D132" s="437" t="str">
        <f>IF(('Oport-Pré'!D129)&gt;0,'Oport-Pré'!D129,"")</f>
        <v/>
      </c>
      <c r="E132" s="438"/>
      <c r="F132" s="306" t="str">
        <f>IF(('Oport-Pré'!F129)&gt;0,'Oport-Pré'!P129,"")</f>
        <v/>
      </c>
      <c r="G132" s="226"/>
      <c r="H132" s="227"/>
      <c r="I132" s="228">
        <v>0</v>
      </c>
      <c r="J132" s="129">
        <f>'Oport-Pré'!F129</f>
        <v>0</v>
      </c>
      <c r="K132" s="132">
        <f>'Oport-Pré'!O129</f>
        <v>0</v>
      </c>
      <c r="L132" s="229">
        <f t="shared" si="1"/>
        <v>0</v>
      </c>
      <c r="M132" s="226"/>
      <c r="N132" s="228">
        <v>0</v>
      </c>
      <c r="O132" s="228"/>
    </row>
    <row r="133" spans="1:15" ht="13">
      <c r="A133" s="126">
        <f>'Oport-Pré'!A130</f>
        <v>123</v>
      </c>
      <c r="B133" s="222" t="str">
        <f>IF(('Oport-Pré'!B130)&gt;0,'Oport-Pré'!B130,"")</f>
        <v/>
      </c>
      <c r="C133" s="223" t="str">
        <f>IF(('Oport-Pré'!C130)&gt;0,'Oport-Pré'!C130,"")</f>
        <v/>
      </c>
      <c r="D133" s="437" t="str">
        <f>IF(('Oport-Pré'!D130)&gt;0,'Oport-Pré'!D130,"")</f>
        <v/>
      </c>
      <c r="E133" s="438"/>
      <c r="F133" s="306" t="str">
        <f>IF(('Oport-Pré'!F130)&gt;0,'Oport-Pré'!P130,"")</f>
        <v/>
      </c>
      <c r="G133" s="226"/>
      <c r="H133" s="227"/>
      <c r="I133" s="228">
        <v>0</v>
      </c>
      <c r="J133" s="129">
        <f>'Oport-Pré'!F130</f>
        <v>0</v>
      </c>
      <c r="K133" s="132">
        <f>'Oport-Pré'!O130</f>
        <v>0</v>
      </c>
      <c r="L133" s="229">
        <f t="shared" si="1"/>
        <v>0</v>
      </c>
      <c r="M133" s="226"/>
      <c r="N133" s="228">
        <v>0</v>
      </c>
      <c r="O133" s="228"/>
    </row>
    <row r="134" spans="1:15" ht="13">
      <c r="A134" s="126">
        <f>'Oport-Pré'!A131</f>
        <v>124</v>
      </c>
      <c r="B134" s="222" t="str">
        <f>IF(('Oport-Pré'!B131)&gt;0,'Oport-Pré'!B131,"")</f>
        <v/>
      </c>
      <c r="C134" s="223" t="str">
        <f>IF(('Oport-Pré'!C131)&gt;0,'Oport-Pré'!C131,"")</f>
        <v/>
      </c>
      <c r="D134" s="437" t="str">
        <f>IF(('Oport-Pré'!D131)&gt;0,'Oport-Pré'!D131,"")</f>
        <v/>
      </c>
      <c r="E134" s="438"/>
      <c r="F134" s="306" t="str">
        <f>IF(('Oport-Pré'!F131)&gt;0,'Oport-Pré'!P131,"")</f>
        <v/>
      </c>
      <c r="G134" s="226"/>
      <c r="H134" s="227"/>
      <c r="I134" s="228">
        <v>0</v>
      </c>
      <c r="J134" s="129">
        <f>'Oport-Pré'!F131</f>
        <v>0</v>
      </c>
      <c r="K134" s="132">
        <f>'Oport-Pré'!O131</f>
        <v>0</v>
      </c>
      <c r="L134" s="229">
        <f t="shared" si="1"/>
        <v>0</v>
      </c>
      <c r="M134" s="226"/>
      <c r="N134" s="228">
        <v>0</v>
      </c>
      <c r="O134" s="228"/>
    </row>
    <row r="135" spans="1:15" ht="13">
      <c r="A135" s="126">
        <f>'Oport-Pré'!A132</f>
        <v>125</v>
      </c>
      <c r="B135" s="222" t="str">
        <f>IF(('Oport-Pré'!B132)&gt;0,'Oport-Pré'!B132,"")</f>
        <v/>
      </c>
      <c r="C135" s="223" t="str">
        <f>IF(('Oport-Pré'!C132)&gt;0,'Oport-Pré'!C132,"")</f>
        <v/>
      </c>
      <c r="D135" s="437" t="str">
        <f>IF(('Oport-Pré'!D132)&gt;0,'Oport-Pré'!D132,"")</f>
        <v/>
      </c>
      <c r="E135" s="438"/>
      <c r="F135" s="306" t="str">
        <f>IF(('Oport-Pré'!F132)&gt;0,'Oport-Pré'!P132,"")</f>
        <v/>
      </c>
      <c r="G135" s="226"/>
      <c r="H135" s="227"/>
      <c r="I135" s="228">
        <v>0</v>
      </c>
      <c r="J135" s="129">
        <f>'Oport-Pré'!F132</f>
        <v>0</v>
      </c>
      <c r="K135" s="132">
        <f>'Oport-Pré'!O132</f>
        <v>0</v>
      </c>
      <c r="L135" s="229">
        <f t="shared" si="1"/>
        <v>0</v>
      </c>
      <c r="M135" s="226"/>
      <c r="N135" s="228">
        <v>0</v>
      </c>
      <c r="O135" s="228"/>
    </row>
    <row r="136" spans="1:15" ht="13">
      <c r="A136" s="126">
        <f>'Oport-Pré'!A133</f>
        <v>126</v>
      </c>
      <c r="B136" s="222" t="str">
        <f>IF(('Oport-Pré'!B133)&gt;0,'Oport-Pré'!B133,"")</f>
        <v/>
      </c>
      <c r="C136" s="223" t="str">
        <f>IF(('Oport-Pré'!C133)&gt;0,'Oport-Pré'!C133,"")</f>
        <v/>
      </c>
      <c r="D136" s="437" t="str">
        <f>IF(('Oport-Pré'!D133)&gt;0,'Oport-Pré'!D133,"")</f>
        <v/>
      </c>
      <c r="E136" s="438"/>
      <c r="F136" s="306" t="str">
        <f>IF(('Oport-Pré'!F133)&gt;0,'Oport-Pré'!P133,"")</f>
        <v/>
      </c>
      <c r="G136" s="226"/>
      <c r="H136" s="227"/>
      <c r="I136" s="228">
        <v>0</v>
      </c>
      <c r="J136" s="129">
        <f>'Oport-Pré'!F133</f>
        <v>0</v>
      </c>
      <c r="K136" s="132">
        <f>'Oport-Pré'!O133</f>
        <v>0</v>
      </c>
      <c r="L136" s="229">
        <f t="shared" si="1"/>
        <v>0</v>
      </c>
      <c r="M136" s="226"/>
      <c r="N136" s="228">
        <v>0</v>
      </c>
      <c r="O136" s="228"/>
    </row>
    <row r="137" spans="1:15" ht="13">
      <c r="A137" s="126">
        <f>'Oport-Pré'!A134</f>
        <v>127</v>
      </c>
      <c r="B137" s="222" t="str">
        <f>IF(('Oport-Pré'!B134)&gt;0,'Oport-Pré'!B134,"")</f>
        <v/>
      </c>
      <c r="C137" s="223" t="str">
        <f>IF(('Oport-Pré'!C134)&gt;0,'Oport-Pré'!C134,"")</f>
        <v/>
      </c>
      <c r="D137" s="437" t="str">
        <f>IF(('Oport-Pré'!D134)&gt;0,'Oport-Pré'!D134,"")</f>
        <v/>
      </c>
      <c r="E137" s="438"/>
      <c r="F137" s="306" t="str">
        <f>IF(('Oport-Pré'!F134)&gt;0,'Oport-Pré'!P134,"")</f>
        <v/>
      </c>
      <c r="G137" s="226"/>
      <c r="H137" s="227"/>
      <c r="I137" s="228">
        <v>0</v>
      </c>
      <c r="J137" s="129">
        <f>'Oport-Pré'!F134</f>
        <v>0</v>
      </c>
      <c r="K137" s="132">
        <f>'Oport-Pré'!O134</f>
        <v>0</v>
      </c>
      <c r="L137" s="229">
        <f t="shared" si="1"/>
        <v>0</v>
      </c>
      <c r="M137" s="226"/>
      <c r="N137" s="228">
        <v>0</v>
      </c>
      <c r="O137" s="228"/>
    </row>
    <row r="138" spans="1:15" ht="13">
      <c r="A138" s="126">
        <f>'Oport-Pré'!A135</f>
        <v>128</v>
      </c>
      <c r="B138" s="222" t="str">
        <f>IF(('Oport-Pré'!B135)&gt;0,'Oport-Pré'!B135,"")</f>
        <v/>
      </c>
      <c r="C138" s="223" t="str">
        <f>IF(('Oport-Pré'!C135)&gt;0,'Oport-Pré'!C135,"")</f>
        <v/>
      </c>
      <c r="D138" s="437" t="str">
        <f>IF(('Oport-Pré'!D135)&gt;0,'Oport-Pré'!D135,"")</f>
        <v/>
      </c>
      <c r="E138" s="438"/>
      <c r="F138" s="306" t="str">
        <f>IF(('Oport-Pré'!F135)&gt;0,'Oport-Pré'!P135,"")</f>
        <v/>
      </c>
      <c r="G138" s="226"/>
      <c r="H138" s="227"/>
      <c r="I138" s="228">
        <v>0</v>
      </c>
      <c r="J138" s="129">
        <f>'Oport-Pré'!F135</f>
        <v>0</v>
      </c>
      <c r="K138" s="132">
        <f>'Oport-Pré'!O135</f>
        <v>0</v>
      </c>
      <c r="L138" s="229">
        <f t="shared" si="1"/>
        <v>0</v>
      </c>
      <c r="M138" s="226"/>
      <c r="N138" s="228">
        <v>0</v>
      </c>
      <c r="O138" s="228"/>
    </row>
    <row r="139" spans="1:15" ht="13">
      <c r="A139" s="126">
        <f>'Oport-Pré'!A136</f>
        <v>129</v>
      </c>
      <c r="B139" s="222" t="str">
        <f>IF(('Oport-Pré'!B136)&gt;0,'Oport-Pré'!B136,"")</f>
        <v/>
      </c>
      <c r="C139" s="223" t="str">
        <f>IF(('Oport-Pré'!C136)&gt;0,'Oport-Pré'!C136,"")</f>
        <v/>
      </c>
      <c r="D139" s="437" t="str">
        <f>IF(('Oport-Pré'!D136)&gt;0,'Oport-Pré'!D136,"")</f>
        <v/>
      </c>
      <c r="E139" s="438"/>
      <c r="F139" s="306" t="str">
        <f>IF(('Oport-Pré'!F136)&gt;0,'Oport-Pré'!P136,"")</f>
        <v/>
      </c>
      <c r="G139" s="226"/>
      <c r="H139" s="227"/>
      <c r="I139" s="228">
        <v>0</v>
      </c>
      <c r="J139" s="129">
        <f>'Oport-Pré'!F136</f>
        <v>0</v>
      </c>
      <c r="K139" s="132">
        <f>'Oport-Pré'!O136</f>
        <v>0</v>
      </c>
      <c r="L139" s="229">
        <f t="shared" si="1"/>
        <v>0</v>
      </c>
      <c r="M139" s="226"/>
      <c r="N139" s="228">
        <v>0</v>
      </c>
      <c r="O139" s="228"/>
    </row>
    <row r="140" spans="1:15" ht="13">
      <c r="A140" s="126">
        <f>'Oport-Pré'!A137</f>
        <v>130</v>
      </c>
      <c r="B140" s="222" t="str">
        <f>IF(('Oport-Pré'!B137)&gt;0,'Oport-Pré'!B137,"")</f>
        <v/>
      </c>
      <c r="C140" s="223" t="str">
        <f>IF(('Oport-Pré'!C137)&gt;0,'Oport-Pré'!C137,"")</f>
        <v/>
      </c>
      <c r="D140" s="437" t="str">
        <f>IF(('Oport-Pré'!D137)&gt;0,'Oport-Pré'!D137,"")</f>
        <v/>
      </c>
      <c r="E140" s="438"/>
      <c r="F140" s="306" t="str">
        <f>IF(('Oport-Pré'!F137)&gt;0,'Oport-Pré'!P137,"")</f>
        <v/>
      </c>
      <c r="G140" s="226"/>
      <c r="H140" s="227"/>
      <c r="I140" s="228">
        <v>0</v>
      </c>
      <c r="J140" s="129">
        <f>'Oport-Pré'!F137</f>
        <v>0</v>
      </c>
      <c r="K140" s="132">
        <f>'Oport-Pré'!O137</f>
        <v>0</v>
      </c>
      <c r="L140" s="229">
        <f t="shared" si="1"/>
        <v>0</v>
      </c>
      <c r="M140" s="226"/>
      <c r="N140" s="228">
        <v>0</v>
      </c>
      <c r="O140" s="228"/>
    </row>
    <row r="141" spans="1:15" ht="13">
      <c r="A141" s="126">
        <f>'Oport-Pré'!A138</f>
        <v>131</v>
      </c>
      <c r="B141" s="222" t="str">
        <f>IF(('Oport-Pré'!B138)&gt;0,'Oport-Pré'!B138,"")</f>
        <v/>
      </c>
      <c r="C141" s="223" t="str">
        <f>IF(('Oport-Pré'!C138)&gt;0,'Oport-Pré'!C138,"")</f>
        <v/>
      </c>
      <c r="D141" s="437" t="str">
        <f>IF(('Oport-Pré'!D138)&gt;0,'Oport-Pré'!D138,"")</f>
        <v/>
      </c>
      <c r="E141" s="438"/>
      <c r="F141" s="306" t="str">
        <f>IF(('Oport-Pré'!F138)&gt;0,'Oport-Pré'!P138,"")</f>
        <v/>
      </c>
      <c r="G141" s="226"/>
      <c r="H141" s="227"/>
      <c r="I141" s="228">
        <v>0</v>
      </c>
      <c r="J141" s="129">
        <f>'Oport-Pré'!F138</f>
        <v>0</v>
      </c>
      <c r="K141" s="132">
        <f>'Oport-Pré'!O138</f>
        <v>0</v>
      </c>
      <c r="L141" s="229">
        <f t="shared" ref="L141:L204" si="2">J141*K141</f>
        <v>0</v>
      </c>
      <c r="M141" s="226"/>
      <c r="N141" s="228">
        <v>0</v>
      </c>
      <c r="O141" s="228"/>
    </row>
    <row r="142" spans="1:15" ht="13">
      <c r="A142" s="126">
        <f>'Oport-Pré'!A139</f>
        <v>132</v>
      </c>
      <c r="B142" s="222" t="str">
        <f>IF(('Oport-Pré'!B139)&gt;0,'Oport-Pré'!B139,"")</f>
        <v/>
      </c>
      <c r="C142" s="223" t="str">
        <f>IF(('Oport-Pré'!C139)&gt;0,'Oport-Pré'!C139,"")</f>
        <v/>
      </c>
      <c r="D142" s="437" t="str">
        <f>IF(('Oport-Pré'!D139)&gt;0,'Oport-Pré'!D139,"")</f>
        <v/>
      </c>
      <c r="E142" s="438"/>
      <c r="F142" s="306" t="str">
        <f>IF(('Oport-Pré'!F139)&gt;0,'Oport-Pré'!P139,"")</f>
        <v/>
      </c>
      <c r="G142" s="226"/>
      <c r="H142" s="227"/>
      <c r="I142" s="228">
        <v>0</v>
      </c>
      <c r="J142" s="129">
        <f>'Oport-Pré'!F139</f>
        <v>0</v>
      </c>
      <c r="K142" s="132">
        <f>'Oport-Pré'!O139</f>
        <v>0</v>
      </c>
      <c r="L142" s="229">
        <f t="shared" si="2"/>
        <v>0</v>
      </c>
      <c r="M142" s="226"/>
      <c r="N142" s="228">
        <v>0</v>
      </c>
      <c r="O142" s="228"/>
    </row>
    <row r="143" spans="1:15" ht="13">
      <c r="A143" s="126">
        <f>'Oport-Pré'!A140</f>
        <v>133</v>
      </c>
      <c r="B143" s="222" t="str">
        <f>IF(('Oport-Pré'!B140)&gt;0,'Oport-Pré'!B140,"")</f>
        <v/>
      </c>
      <c r="C143" s="223" t="str">
        <f>IF(('Oport-Pré'!C140)&gt;0,'Oport-Pré'!C140,"")</f>
        <v/>
      </c>
      <c r="D143" s="437" t="str">
        <f>IF(('Oport-Pré'!D140)&gt;0,'Oport-Pré'!D140,"")</f>
        <v/>
      </c>
      <c r="E143" s="438"/>
      <c r="F143" s="306" t="str">
        <f>IF(('Oport-Pré'!F140)&gt;0,'Oport-Pré'!P140,"")</f>
        <v/>
      </c>
      <c r="G143" s="226"/>
      <c r="H143" s="227"/>
      <c r="I143" s="228">
        <v>0</v>
      </c>
      <c r="J143" s="129">
        <f>'Oport-Pré'!F140</f>
        <v>0</v>
      </c>
      <c r="K143" s="132">
        <f>'Oport-Pré'!O140</f>
        <v>0</v>
      </c>
      <c r="L143" s="229">
        <f t="shared" si="2"/>
        <v>0</v>
      </c>
      <c r="M143" s="226"/>
      <c r="N143" s="228">
        <v>0</v>
      </c>
      <c r="O143" s="228"/>
    </row>
    <row r="144" spans="1:15" ht="13">
      <c r="A144" s="126">
        <f>'Oport-Pré'!A141</f>
        <v>134</v>
      </c>
      <c r="B144" s="222" t="str">
        <f>IF(('Oport-Pré'!B141)&gt;0,'Oport-Pré'!B141,"")</f>
        <v/>
      </c>
      <c r="C144" s="223" t="str">
        <f>IF(('Oport-Pré'!C141)&gt;0,'Oport-Pré'!C141,"")</f>
        <v/>
      </c>
      <c r="D144" s="437" t="str">
        <f>IF(('Oport-Pré'!D141)&gt;0,'Oport-Pré'!D141,"")</f>
        <v/>
      </c>
      <c r="E144" s="438"/>
      <c r="F144" s="306" t="str">
        <f>IF(('Oport-Pré'!F141)&gt;0,'Oport-Pré'!P141,"")</f>
        <v/>
      </c>
      <c r="G144" s="226"/>
      <c r="H144" s="227"/>
      <c r="I144" s="228">
        <v>0</v>
      </c>
      <c r="J144" s="129">
        <f>'Oport-Pré'!F141</f>
        <v>0</v>
      </c>
      <c r="K144" s="132">
        <f>'Oport-Pré'!O141</f>
        <v>0</v>
      </c>
      <c r="L144" s="229">
        <f t="shared" si="2"/>
        <v>0</v>
      </c>
      <c r="M144" s="226"/>
      <c r="N144" s="228">
        <v>0</v>
      </c>
      <c r="O144" s="228"/>
    </row>
    <row r="145" spans="1:15" ht="13">
      <c r="A145" s="126">
        <f>'Oport-Pré'!A142</f>
        <v>135</v>
      </c>
      <c r="B145" s="222" t="str">
        <f>IF(('Oport-Pré'!B142)&gt;0,'Oport-Pré'!B142,"")</f>
        <v/>
      </c>
      <c r="C145" s="223" t="str">
        <f>IF(('Oport-Pré'!C142)&gt;0,'Oport-Pré'!C142,"")</f>
        <v/>
      </c>
      <c r="D145" s="437" t="str">
        <f>IF(('Oport-Pré'!D142)&gt;0,'Oport-Pré'!D142,"")</f>
        <v/>
      </c>
      <c r="E145" s="438"/>
      <c r="F145" s="306" t="str">
        <f>IF(('Oport-Pré'!F142)&gt;0,'Oport-Pré'!P142,"")</f>
        <v/>
      </c>
      <c r="G145" s="226"/>
      <c r="H145" s="227"/>
      <c r="I145" s="228">
        <v>0</v>
      </c>
      <c r="J145" s="129">
        <f>'Oport-Pré'!F142</f>
        <v>0</v>
      </c>
      <c r="K145" s="132">
        <f>'Oport-Pré'!O142</f>
        <v>0</v>
      </c>
      <c r="L145" s="229">
        <f t="shared" si="2"/>
        <v>0</v>
      </c>
      <c r="M145" s="226"/>
      <c r="N145" s="228">
        <v>0</v>
      </c>
      <c r="O145" s="228"/>
    </row>
    <row r="146" spans="1:15" ht="13">
      <c r="A146" s="126">
        <f>'Oport-Pré'!A143</f>
        <v>136</v>
      </c>
      <c r="B146" s="222" t="str">
        <f>IF(('Oport-Pré'!B143)&gt;0,'Oport-Pré'!B143,"")</f>
        <v/>
      </c>
      <c r="C146" s="223" t="str">
        <f>IF(('Oport-Pré'!C143)&gt;0,'Oport-Pré'!C143,"")</f>
        <v/>
      </c>
      <c r="D146" s="437" t="str">
        <f>IF(('Oport-Pré'!D143)&gt;0,'Oport-Pré'!D143,"")</f>
        <v/>
      </c>
      <c r="E146" s="438"/>
      <c r="F146" s="306" t="str">
        <f>IF(('Oport-Pré'!F143)&gt;0,'Oport-Pré'!P143,"")</f>
        <v/>
      </c>
      <c r="G146" s="226"/>
      <c r="H146" s="227"/>
      <c r="I146" s="228">
        <v>0</v>
      </c>
      <c r="J146" s="129">
        <f>'Oport-Pré'!F143</f>
        <v>0</v>
      </c>
      <c r="K146" s="132">
        <f>'Oport-Pré'!O143</f>
        <v>0</v>
      </c>
      <c r="L146" s="229">
        <f t="shared" si="2"/>
        <v>0</v>
      </c>
      <c r="M146" s="226"/>
      <c r="N146" s="228">
        <v>0</v>
      </c>
      <c r="O146" s="228"/>
    </row>
    <row r="147" spans="1:15" ht="13">
      <c r="A147" s="126">
        <f>'Oport-Pré'!A144</f>
        <v>137</v>
      </c>
      <c r="B147" s="222" t="str">
        <f>IF(('Oport-Pré'!B144)&gt;0,'Oport-Pré'!B144,"")</f>
        <v/>
      </c>
      <c r="C147" s="223" t="str">
        <f>IF(('Oport-Pré'!C144)&gt;0,'Oport-Pré'!C144,"")</f>
        <v/>
      </c>
      <c r="D147" s="437" t="str">
        <f>IF(('Oport-Pré'!D144)&gt;0,'Oport-Pré'!D144,"")</f>
        <v/>
      </c>
      <c r="E147" s="438"/>
      <c r="F147" s="306" t="str">
        <f>IF(('Oport-Pré'!F144)&gt;0,'Oport-Pré'!P144,"")</f>
        <v/>
      </c>
      <c r="G147" s="226"/>
      <c r="H147" s="227"/>
      <c r="I147" s="228">
        <v>0</v>
      </c>
      <c r="J147" s="129">
        <f>'Oport-Pré'!F144</f>
        <v>0</v>
      </c>
      <c r="K147" s="132">
        <f>'Oport-Pré'!O144</f>
        <v>0</v>
      </c>
      <c r="L147" s="229">
        <f t="shared" si="2"/>
        <v>0</v>
      </c>
      <c r="M147" s="226"/>
      <c r="N147" s="228">
        <v>0</v>
      </c>
      <c r="O147" s="228"/>
    </row>
    <row r="148" spans="1:15" ht="13">
      <c r="A148" s="126">
        <f>'Oport-Pré'!A145</f>
        <v>138</v>
      </c>
      <c r="B148" s="222" t="str">
        <f>IF(('Oport-Pré'!B145)&gt;0,'Oport-Pré'!B145,"")</f>
        <v/>
      </c>
      <c r="C148" s="223" t="str">
        <f>IF(('Oport-Pré'!C145)&gt;0,'Oport-Pré'!C145,"")</f>
        <v/>
      </c>
      <c r="D148" s="437" t="str">
        <f>IF(('Oport-Pré'!D145)&gt;0,'Oport-Pré'!D145,"")</f>
        <v/>
      </c>
      <c r="E148" s="438"/>
      <c r="F148" s="306" t="str">
        <f>IF(('Oport-Pré'!F145)&gt;0,'Oport-Pré'!P145,"")</f>
        <v/>
      </c>
      <c r="G148" s="226"/>
      <c r="H148" s="227"/>
      <c r="I148" s="228">
        <v>0</v>
      </c>
      <c r="J148" s="129">
        <f>'Oport-Pré'!F145</f>
        <v>0</v>
      </c>
      <c r="K148" s="132">
        <f>'Oport-Pré'!O145</f>
        <v>0</v>
      </c>
      <c r="L148" s="229">
        <f t="shared" si="2"/>
        <v>0</v>
      </c>
      <c r="M148" s="226"/>
      <c r="N148" s="228">
        <v>0</v>
      </c>
      <c r="O148" s="228"/>
    </row>
    <row r="149" spans="1:15" ht="13">
      <c r="A149" s="126">
        <f>'Oport-Pré'!A146</f>
        <v>139</v>
      </c>
      <c r="B149" s="222" t="str">
        <f>IF(('Oport-Pré'!B146)&gt;0,'Oport-Pré'!B146,"")</f>
        <v/>
      </c>
      <c r="C149" s="223" t="str">
        <f>IF(('Oport-Pré'!C146)&gt;0,'Oport-Pré'!C146,"")</f>
        <v/>
      </c>
      <c r="D149" s="437" t="str">
        <f>IF(('Oport-Pré'!D146)&gt;0,'Oport-Pré'!D146,"")</f>
        <v/>
      </c>
      <c r="E149" s="438"/>
      <c r="F149" s="306" t="str">
        <f>IF(('Oport-Pré'!F146)&gt;0,'Oport-Pré'!P146,"")</f>
        <v/>
      </c>
      <c r="G149" s="226"/>
      <c r="H149" s="227"/>
      <c r="I149" s="228">
        <v>0</v>
      </c>
      <c r="J149" s="129">
        <f>'Oport-Pré'!F146</f>
        <v>0</v>
      </c>
      <c r="K149" s="132">
        <f>'Oport-Pré'!O146</f>
        <v>0</v>
      </c>
      <c r="L149" s="229">
        <f t="shared" si="2"/>
        <v>0</v>
      </c>
      <c r="M149" s="226"/>
      <c r="N149" s="228">
        <v>0</v>
      </c>
      <c r="O149" s="228"/>
    </row>
    <row r="150" spans="1:15" ht="13">
      <c r="A150" s="126">
        <f>'Oport-Pré'!A147</f>
        <v>140</v>
      </c>
      <c r="B150" s="222" t="str">
        <f>IF(('Oport-Pré'!B147)&gt;0,'Oport-Pré'!B147,"")</f>
        <v/>
      </c>
      <c r="C150" s="223" t="str">
        <f>IF(('Oport-Pré'!C147)&gt;0,'Oport-Pré'!C147,"")</f>
        <v/>
      </c>
      <c r="D150" s="437" t="str">
        <f>IF(('Oport-Pré'!D147)&gt;0,'Oport-Pré'!D147,"")</f>
        <v/>
      </c>
      <c r="E150" s="438"/>
      <c r="F150" s="306" t="str">
        <f>IF(('Oport-Pré'!F147)&gt;0,'Oport-Pré'!P147,"")</f>
        <v/>
      </c>
      <c r="G150" s="226"/>
      <c r="H150" s="227"/>
      <c r="I150" s="228">
        <v>0</v>
      </c>
      <c r="J150" s="129">
        <f>'Oport-Pré'!F147</f>
        <v>0</v>
      </c>
      <c r="K150" s="132">
        <f>'Oport-Pré'!O147</f>
        <v>0</v>
      </c>
      <c r="L150" s="229">
        <f t="shared" si="2"/>
        <v>0</v>
      </c>
      <c r="M150" s="226"/>
      <c r="N150" s="228">
        <v>0</v>
      </c>
      <c r="O150" s="228"/>
    </row>
    <row r="151" spans="1:15" ht="13">
      <c r="A151" s="126">
        <f>'Oport-Pré'!A148</f>
        <v>141</v>
      </c>
      <c r="B151" s="222" t="str">
        <f>IF(('Oport-Pré'!B148)&gt;0,'Oport-Pré'!B148,"")</f>
        <v/>
      </c>
      <c r="C151" s="223" t="str">
        <f>IF(('Oport-Pré'!C148)&gt;0,'Oport-Pré'!C148,"")</f>
        <v/>
      </c>
      <c r="D151" s="437" t="str">
        <f>IF(('Oport-Pré'!D148)&gt;0,'Oport-Pré'!D148,"")</f>
        <v/>
      </c>
      <c r="E151" s="438"/>
      <c r="F151" s="306" t="str">
        <f>IF(('Oport-Pré'!F148)&gt;0,'Oport-Pré'!P148,"")</f>
        <v/>
      </c>
      <c r="G151" s="226"/>
      <c r="H151" s="227"/>
      <c r="I151" s="228">
        <v>0</v>
      </c>
      <c r="J151" s="129">
        <f>'Oport-Pré'!F148</f>
        <v>0</v>
      </c>
      <c r="K151" s="132">
        <f>'Oport-Pré'!O148</f>
        <v>0</v>
      </c>
      <c r="L151" s="229">
        <f t="shared" si="2"/>
        <v>0</v>
      </c>
      <c r="M151" s="226"/>
      <c r="N151" s="228">
        <v>0</v>
      </c>
      <c r="O151" s="228"/>
    </row>
    <row r="152" spans="1:15" ht="13">
      <c r="A152" s="126">
        <f>'Oport-Pré'!A149</f>
        <v>142</v>
      </c>
      <c r="B152" s="222" t="str">
        <f>IF(('Oport-Pré'!B149)&gt;0,'Oport-Pré'!B149,"")</f>
        <v/>
      </c>
      <c r="C152" s="223" t="str">
        <f>IF(('Oport-Pré'!C149)&gt;0,'Oport-Pré'!C149,"")</f>
        <v/>
      </c>
      <c r="D152" s="437" t="str">
        <f>IF(('Oport-Pré'!D149)&gt;0,'Oport-Pré'!D149,"")</f>
        <v/>
      </c>
      <c r="E152" s="438"/>
      <c r="F152" s="306" t="str">
        <f>IF(('Oport-Pré'!F149)&gt;0,'Oport-Pré'!P149,"")</f>
        <v/>
      </c>
      <c r="G152" s="226"/>
      <c r="H152" s="227"/>
      <c r="I152" s="228">
        <v>0</v>
      </c>
      <c r="J152" s="129">
        <f>'Oport-Pré'!F149</f>
        <v>0</v>
      </c>
      <c r="K152" s="132">
        <f>'Oport-Pré'!O149</f>
        <v>0</v>
      </c>
      <c r="L152" s="229">
        <f t="shared" si="2"/>
        <v>0</v>
      </c>
      <c r="M152" s="226"/>
      <c r="N152" s="228">
        <v>0</v>
      </c>
      <c r="O152" s="228"/>
    </row>
    <row r="153" spans="1:15" ht="13">
      <c r="A153" s="126">
        <f>'Oport-Pré'!A150</f>
        <v>143</v>
      </c>
      <c r="B153" s="222" t="str">
        <f>IF(('Oport-Pré'!B150)&gt;0,'Oport-Pré'!B150,"")</f>
        <v/>
      </c>
      <c r="C153" s="223" t="str">
        <f>IF(('Oport-Pré'!C150)&gt;0,'Oport-Pré'!C150,"")</f>
        <v/>
      </c>
      <c r="D153" s="437" t="str">
        <f>IF(('Oport-Pré'!D150)&gt;0,'Oport-Pré'!D150,"")</f>
        <v/>
      </c>
      <c r="E153" s="438"/>
      <c r="F153" s="306" t="str">
        <f>IF(('Oport-Pré'!F150)&gt;0,'Oport-Pré'!P150,"")</f>
        <v/>
      </c>
      <c r="G153" s="226"/>
      <c r="H153" s="227"/>
      <c r="I153" s="228">
        <v>0</v>
      </c>
      <c r="J153" s="129">
        <f>'Oport-Pré'!F150</f>
        <v>0</v>
      </c>
      <c r="K153" s="132">
        <f>'Oport-Pré'!O150</f>
        <v>0</v>
      </c>
      <c r="L153" s="229">
        <f t="shared" si="2"/>
        <v>0</v>
      </c>
      <c r="M153" s="226"/>
      <c r="N153" s="228">
        <v>0</v>
      </c>
      <c r="O153" s="228"/>
    </row>
    <row r="154" spans="1:15" ht="13">
      <c r="A154" s="126">
        <f>'Oport-Pré'!A151</f>
        <v>144</v>
      </c>
      <c r="B154" s="222" t="str">
        <f>IF(('Oport-Pré'!B151)&gt;0,'Oport-Pré'!B151,"")</f>
        <v/>
      </c>
      <c r="C154" s="223" t="str">
        <f>IF(('Oport-Pré'!C151)&gt;0,'Oport-Pré'!C151,"")</f>
        <v/>
      </c>
      <c r="D154" s="437" t="str">
        <f>IF(('Oport-Pré'!D151)&gt;0,'Oport-Pré'!D151,"")</f>
        <v/>
      </c>
      <c r="E154" s="438"/>
      <c r="F154" s="306" t="str">
        <f>IF(('Oport-Pré'!F151)&gt;0,'Oport-Pré'!P151,"")</f>
        <v/>
      </c>
      <c r="G154" s="226"/>
      <c r="H154" s="227"/>
      <c r="I154" s="228">
        <v>0</v>
      </c>
      <c r="J154" s="129">
        <f>'Oport-Pré'!F151</f>
        <v>0</v>
      </c>
      <c r="K154" s="132">
        <f>'Oport-Pré'!O151</f>
        <v>0</v>
      </c>
      <c r="L154" s="229">
        <f t="shared" si="2"/>
        <v>0</v>
      </c>
      <c r="M154" s="226"/>
      <c r="N154" s="228">
        <v>0</v>
      </c>
      <c r="O154" s="228"/>
    </row>
    <row r="155" spans="1:15" ht="13">
      <c r="A155" s="126">
        <f>'Oport-Pré'!A152</f>
        <v>145</v>
      </c>
      <c r="B155" s="222" t="str">
        <f>IF(('Oport-Pré'!B152)&gt;0,'Oport-Pré'!B152,"")</f>
        <v/>
      </c>
      <c r="C155" s="223" t="str">
        <f>IF(('Oport-Pré'!C152)&gt;0,'Oport-Pré'!C152,"")</f>
        <v/>
      </c>
      <c r="D155" s="437" t="str">
        <f>IF(('Oport-Pré'!D152)&gt;0,'Oport-Pré'!D152,"")</f>
        <v/>
      </c>
      <c r="E155" s="438"/>
      <c r="F155" s="306" t="str">
        <f>IF(('Oport-Pré'!F152)&gt;0,'Oport-Pré'!P152,"")</f>
        <v/>
      </c>
      <c r="G155" s="226"/>
      <c r="H155" s="227"/>
      <c r="I155" s="228">
        <v>0</v>
      </c>
      <c r="J155" s="129">
        <f>'Oport-Pré'!F152</f>
        <v>0</v>
      </c>
      <c r="K155" s="132">
        <f>'Oport-Pré'!O152</f>
        <v>0</v>
      </c>
      <c r="L155" s="229">
        <f t="shared" si="2"/>
        <v>0</v>
      </c>
      <c r="M155" s="226"/>
      <c r="N155" s="228">
        <v>0</v>
      </c>
      <c r="O155" s="228"/>
    </row>
    <row r="156" spans="1:15" ht="13">
      <c r="A156" s="126">
        <f>'Oport-Pré'!A153</f>
        <v>146</v>
      </c>
      <c r="B156" s="222" t="str">
        <f>IF(('Oport-Pré'!B153)&gt;0,'Oport-Pré'!B153,"")</f>
        <v/>
      </c>
      <c r="C156" s="223" t="str">
        <f>IF(('Oport-Pré'!C153)&gt;0,'Oport-Pré'!C153,"")</f>
        <v/>
      </c>
      <c r="D156" s="437" t="str">
        <f>IF(('Oport-Pré'!D153)&gt;0,'Oport-Pré'!D153,"")</f>
        <v/>
      </c>
      <c r="E156" s="438"/>
      <c r="F156" s="306" t="str">
        <f>IF(('Oport-Pré'!F153)&gt;0,'Oport-Pré'!P153,"")</f>
        <v/>
      </c>
      <c r="G156" s="226"/>
      <c r="H156" s="227"/>
      <c r="I156" s="228">
        <v>0</v>
      </c>
      <c r="J156" s="129">
        <f>'Oport-Pré'!F153</f>
        <v>0</v>
      </c>
      <c r="K156" s="132">
        <f>'Oport-Pré'!O153</f>
        <v>0</v>
      </c>
      <c r="L156" s="229">
        <f t="shared" si="2"/>
        <v>0</v>
      </c>
      <c r="M156" s="226"/>
      <c r="N156" s="228">
        <v>0</v>
      </c>
      <c r="O156" s="228"/>
    </row>
    <row r="157" spans="1:15" ht="13">
      <c r="A157" s="126">
        <f>'Oport-Pré'!A154</f>
        <v>147</v>
      </c>
      <c r="B157" s="222" t="str">
        <f>IF(('Oport-Pré'!B154)&gt;0,'Oport-Pré'!B154,"")</f>
        <v/>
      </c>
      <c r="C157" s="223" t="str">
        <f>IF(('Oport-Pré'!C154)&gt;0,'Oport-Pré'!C154,"")</f>
        <v/>
      </c>
      <c r="D157" s="437" t="str">
        <f>IF(('Oport-Pré'!D154)&gt;0,'Oport-Pré'!D154,"")</f>
        <v/>
      </c>
      <c r="E157" s="438"/>
      <c r="F157" s="306" t="str">
        <f>IF(('Oport-Pré'!F154)&gt;0,'Oport-Pré'!P154,"")</f>
        <v/>
      </c>
      <c r="G157" s="226"/>
      <c r="H157" s="227"/>
      <c r="I157" s="228">
        <v>0</v>
      </c>
      <c r="J157" s="129">
        <f>'Oport-Pré'!F154</f>
        <v>0</v>
      </c>
      <c r="K157" s="132">
        <f>'Oport-Pré'!O154</f>
        <v>0</v>
      </c>
      <c r="L157" s="229">
        <f t="shared" si="2"/>
        <v>0</v>
      </c>
      <c r="M157" s="226"/>
      <c r="N157" s="228">
        <v>0</v>
      </c>
      <c r="O157" s="228"/>
    </row>
    <row r="158" spans="1:15" ht="13">
      <c r="A158" s="126">
        <f>'Oport-Pré'!A155</f>
        <v>148</v>
      </c>
      <c r="B158" s="222" t="str">
        <f>IF(('Oport-Pré'!B155)&gt;0,'Oport-Pré'!B155,"")</f>
        <v/>
      </c>
      <c r="C158" s="223" t="str">
        <f>IF(('Oport-Pré'!C155)&gt;0,'Oport-Pré'!C155,"")</f>
        <v/>
      </c>
      <c r="D158" s="437" t="str">
        <f>IF(('Oport-Pré'!D155)&gt;0,'Oport-Pré'!D155,"")</f>
        <v/>
      </c>
      <c r="E158" s="438"/>
      <c r="F158" s="306" t="str">
        <f>IF(('Oport-Pré'!F155)&gt;0,'Oport-Pré'!P155,"")</f>
        <v/>
      </c>
      <c r="G158" s="226"/>
      <c r="H158" s="227"/>
      <c r="I158" s="228">
        <v>0</v>
      </c>
      <c r="J158" s="129">
        <f>'Oport-Pré'!F155</f>
        <v>0</v>
      </c>
      <c r="K158" s="132">
        <f>'Oport-Pré'!O155</f>
        <v>0</v>
      </c>
      <c r="L158" s="229">
        <f t="shared" si="2"/>
        <v>0</v>
      </c>
      <c r="M158" s="226"/>
      <c r="N158" s="228">
        <v>0</v>
      </c>
      <c r="O158" s="228"/>
    </row>
    <row r="159" spans="1:15" ht="13">
      <c r="A159" s="126">
        <f>'Oport-Pré'!A156</f>
        <v>149</v>
      </c>
      <c r="B159" s="222" t="str">
        <f>IF(('Oport-Pré'!B156)&gt;0,'Oport-Pré'!B156,"")</f>
        <v/>
      </c>
      <c r="C159" s="223" t="str">
        <f>IF(('Oport-Pré'!C156)&gt;0,'Oport-Pré'!C156,"")</f>
        <v/>
      </c>
      <c r="D159" s="437" t="str">
        <f>IF(('Oport-Pré'!D156)&gt;0,'Oport-Pré'!D156,"")</f>
        <v/>
      </c>
      <c r="E159" s="438"/>
      <c r="F159" s="306" t="str">
        <f>IF(('Oport-Pré'!F156)&gt;0,'Oport-Pré'!P156,"")</f>
        <v/>
      </c>
      <c r="G159" s="226"/>
      <c r="H159" s="227"/>
      <c r="I159" s="228">
        <v>0</v>
      </c>
      <c r="J159" s="129">
        <f>'Oport-Pré'!F156</f>
        <v>0</v>
      </c>
      <c r="K159" s="132">
        <f>'Oport-Pré'!O156</f>
        <v>0</v>
      </c>
      <c r="L159" s="229">
        <f t="shared" si="2"/>
        <v>0</v>
      </c>
      <c r="M159" s="226"/>
      <c r="N159" s="228">
        <v>0</v>
      </c>
      <c r="O159" s="228"/>
    </row>
    <row r="160" spans="1:15" ht="13">
      <c r="A160" s="126">
        <f>'Oport-Pré'!A157</f>
        <v>150</v>
      </c>
      <c r="B160" s="222" t="str">
        <f>IF(('Oport-Pré'!B157)&gt;0,'Oport-Pré'!B157,"")</f>
        <v/>
      </c>
      <c r="C160" s="223" t="str">
        <f>IF(('Oport-Pré'!C157)&gt;0,'Oport-Pré'!C157,"")</f>
        <v/>
      </c>
      <c r="D160" s="437" t="str">
        <f>IF(('Oport-Pré'!D157)&gt;0,'Oport-Pré'!D157,"")</f>
        <v/>
      </c>
      <c r="E160" s="438"/>
      <c r="F160" s="306" t="str">
        <f>IF(('Oport-Pré'!F157)&gt;0,'Oport-Pré'!P157,"")</f>
        <v/>
      </c>
      <c r="G160" s="226"/>
      <c r="H160" s="227"/>
      <c r="I160" s="228">
        <v>0</v>
      </c>
      <c r="J160" s="129">
        <f>'Oport-Pré'!F157</f>
        <v>0</v>
      </c>
      <c r="K160" s="132">
        <f>'Oport-Pré'!O157</f>
        <v>0</v>
      </c>
      <c r="L160" s="229">
        <f t="shared" si="2"/>
        <v>0</v>
      </c>
      <c r="M160" s="226"/>
      <c r="N160" s="228">
        <v>0</v>
      </c>
      <c r="O160" s="228"/>
    </row>
    <row r="161" spans="1:15" ht="13">
      <c r="A161" s="126">
        <f>'Oport-Pré'!A158</f>
        <v>151</v>
      </c>
      <c r="B161" s="222" t="str">
        <f>IF(('Oport-Pré'!B158)&gt;0,'Oport-Pré'!B158,"")</f>
        <v/>
      </c>
      <c r="C161" s="223" t="str">
        <f>IF(('Oport-Pré'!C158)&gt;0,'Oport-Pré'!C158,"")</f>
        <v/>
      </c>
      <c r="D161" s="437" t="str">
        <f>IF(('Oport-Pré'!D158)&gt;0,'Oport-Pré'!D158,"")</f>
        <v/>
      </c>
      <c r="E161" s="438"/>
      <c r="F161" s="306" t="str">
        <f>IF(('Oport-Pré'!F158)&gt;0,'Oport-Pré'!P158,"")</f>
        <v/>
      </c>
      <c r="G161" s="226"/>
      <c r="H161" s="227"/>
      <c r="I161" s="228">
        <v>0</v>
      </c>
      <c r="J161" s="129">
        <f>'Oport-Pré'!F158</f>
        <v>0</v>
      </c>
      <c r="K161" s="132">
        <f>'Oport-Pré'!O158</f>
        <v>0</v>
      </c>
      <c r="L161" s="229">
        <f t="shared" si="2"/>
        <v>0</v>
      </c>
      <c r="M161" s="226"/>
      <c r="N161" s="228">
        <v>0</v>
      </c>
      <c r="O161" s="228"/>
    </row>
    <row r="162" spans="1:15" ht="13">
      <c r="A162" s="126">
        <f>'Oport-Pré'!A159</f>
        <v>152</v>
      </c>
      <c r="B162" s="222" t="str">
        <f>IF(('Oport-Pré'!B159)&gt;0,'Oport-Pré'!B159,"")</f>
        <v/>
      </c>
      <c r="C162" s="223" t="str">
        <f>IF(('Oport-Pré'!C159)&gt;0,'Oport-Pré'!C159,"")</f>
        <v/>
      </c>
      <c r="D162" s="437" t="str">
        <f>IF(('Oport-Pré'!D159)&gt;0,'Oport-Pré'!D159,"")</f>
        <v/>
      </c>
      <c r="E162" s="438"/>
      <c r="F162" s="306" t="str">
        <f>IF(('Oport-Pré'!F159)&gt;0,'Oport-Pré'!P159,"")</f>
        <v/>
      </c>
      <c r="G162" s="226"/>
      <c r="H162" s="227"/>
      <c r="I162" s="228">
        <v>0</v>
      </c>
      <c r="J162" s="129">
        <f>'Oport-Pré'!F159</f>
        <v>0</v>
      </c>
      <c r="K162" s="132">
        <f>'Oport-Pré'!O159</f>
        <v>0</v>
      </c>
      <c r="L162" s="229">
        <f t="shared" si="2"/>
        <v>0</v>
      </c>
      <c r="M162" s="226"/>
      <c r="N162" s="228">
        <v>0</v>
      </c>
      <c r="O162" s="228"/>
    </row>
    <row r="163" spans="1:15" ht="13">
      <c r="A163" s="126">
        <f>'Oport-Pré'!A160</f>
        <v>153</v>
      </c>
      <c r="B163" s="222" t="str">
        <f>IF(('Oport-Pré'!B160)&gt;0,'Oport-Pré'!B160,"")</f>
        <v/>
      </c>
      <c r="C163" s="223" t="str">
        <f>IF(('Oport-Pré'!C160)&gt;0,'Oport-Pré'!C160,"")</f>
        <v/>
      </c>
      <c r="D163" s="437" t="str">
        <f>IF(('Oport-Pré'!D160)&gt;0,'Oport-Pré'!D160,"")</f>
        <v/>
      </c>
      <c r="E163" s="438"/>
      <c r="F163" s="306" t="str">
        <f>IF(('Oport-Pré'!F160)&gt;0,'Oport-Pré'!P160,"")</f>
        <v/>
      </c>
      <c r="G163" s="226"/>
      <c r="H163" s="227"/>
      <c r="I163" s="228">
        <v>0</v>
      </c>
      <c r="J163" s="129">
        <f>'Oport-Pré'!F160</f>
        <v>0</v>
      </c>
      <c r="K163" s="132">
        <f>'Oport-Pré'!O160</f>
        <v>0</v>
      </c>
      <c r="L163" s="229">
        <f t="shared" si="2"/>
        <v>0</v>
      </c>
      <c r="M163" s="226"/>
      <c r="N163" s="228">
        <v>0</v>
      </c>
      <c r="O163" s="228"/>
    </row>
    <row r="164" spans="1:15" ht="13">
      <c r="A164" s="126">
        <f>'Oport-Pré'!A161</f>
        <v>154</v>
      </c>
      <c r="B164" s="222" t="str">
        <f>IF(('Oport-Pré'!B161)&gt;0,'Oport-Pré'!B161,"")</f>
        <v/>
      </c>
      <c r="C164" s="223" t="str">
        <f>IF(('Oport-Pré'!C161)&gt;0,'Oport-Pré'!C161,"")</f>
        <v/>
      </c>
      <c r="D164" s="437" t="str">
        <f>IF(('Oport-Pré'!D161)&gt;0,'Oport-Pré'!D161,"")</f>
        <v/>
      </c>
      <c r="E164" s="438"/>
      <c r="F164" s="306" t="str">
        <f>IF(('Oport-Pré'!F161)&gt;0,'Oport-Pré'!P161,"")</f>
        <v/>
      </c>
      <c r="G164" s="226"/>
      <c r="H164" s="227"/>
      <c r="I164" s="228">
        <v>0</v>
      </c>
      <c r="J164" s="129">
        <f>'Oport-Pré'!F161</f>
        <v>0</v>
      </c>
      <c r="K164" s="132">
        <f>'Oport-Pré'!O161</f>
        <v>0</v>
      </c>
      <c r="L164" s="229">
        <f t="shared" si="2"/>
        <v>0</v>
      </c>
      <c r="M164" s="226"/>
      <c r="N164" s="228">
        <v>0</v>
      </c>
      <c r="O164" s="228"/>
    </row>
    <row r="165" spans="1:15" ht="13">
      <c r="A165" s="126">
        <f>'Oport-Pré'!A162</f>
        <v>155</v>
      </c>
      <c r="B165" s="222" t="str">
        <f>IF(('Oport-Pré'!B162)&gt;0,'Oport-Pré'!B162,"")</f>
        <v/>
      </c>
      <c r="C165" s="223" t="str">
        <f>IF(('Oport-Pré'!C162)&gt;0,'Oport-Pré'!C162,"")</f>
        <v/>
      </c>
      <c r="D165" s="437" t="str">
        <f>IF(('Oport-Pré'!D162)&gt;0,'Oport-Pré'!D162,"")</f>
        <v/>
      </c>
      <c r="E165" s="438"/>
      <c r="F165" s="306" t="str">
        <f>IF(('Oport-Pré'!F162)&gt;0,'Oport-Pré'!P162,"")</f>
        <v/>
      </c>
      <c r="G165" s="226"/>
      <c r="H165" s="227"/>
      <c r="I165" s="228">
        <v>0</v>
      </c>
      <c r="J165" s="129">
        <f>'Oport-Pré'!F162</f>
        <v>0</v>
      </c>
      <c r="K165" s="132">
        <f>'Oport-Pré'!O162</f>
        <v>0</v>
      </c>
      <c r="L165" s="229">
        <f t="shared" si="2"/>
        <v>0</v>
      </c>
      <c r="M165" s="226"/>
      <c r="N165" s="228">
        <v>0</v>
      </c>
      <c r="O165" s="228"/>
    </row>
    <row r="166" spans="1:15" ht="13">
      <c r="A166" s="126">
        <f>'Oport-Pré'!A163</f>
        <v>156</v>
      </c>
      <c r="B166" s="222" t="str">
        <f>IF(('Oport-Pré'!B163)&gt;0,'Oport-Pré'!B163,"")</f>
        <v/>
      </c>
      <c r="C166" s="223" t="str">
        <f>IF(('Oport-Pré'!C163)&gt;0,'Oport-Pré'!C163,"")</f>
        <v/>
      </c>
      <c r="D166" s="437" t="str">
        <f>IF(('Oport-Pré'!D163)&gt;0,'Oport-Pré'!D163,"")</f>
        <v/>
      </c>
      <c r="E166" s="438"/>
      <c r="F166" s="306" t="str">
        <f>IF(('Oport-Pré'!F163)&gt;0,'Oport-Pré'!P163,"")</f>
        <v/>
      </c>
      <c r="G166" s="226"/>
      <c r="H166" s="227"/>
      <c r="I166" s="228">
        <v>0</v>
      </c>
      <c r="J166" s="129">
        <f>'Oport-Pré'!F163</f>
        <v>0</v>
      </c>
      <c r="K166" s="132">
        <f>'Oport-Pré'!O163</f>
        <v>0</v>
      </c>
      <c r="L166" s="229">
        <f t="shared" si="2"/>
        <v>0</v>
      </c>
      <c r="M166" s="226"/>
      <c r="N166" s="228">
        <v>0</v>
      </c>
      <c r="O166" s="228"/>
    </row>
    <row r="167" spans="1:15" ht="13">
      <c r="A167" s="126">
        <f>'Oport-Pré'!A164</f>
        <v>157</v>
      </c>
      <c r="B167" s="222" t="str">
        <f>IF(('Oport-Pré'!B164)&gt;0,'Oport-Pré'!B164,"")</f>
        <v/>
      </c>
      <c r="C167" s="223" t="str">
        <f>IF(('Oport-Pré'!C164)&gt;0,'Oport-Pré'!C164,"")</f>
        <v/>
      </c>
      <c r="D167" s="437" t="str">
        <f>IF(('Oport-Pré'!D164)&gt;0,'Oport-Pré'!D164,"")</f>
        <v/>
      </c>
      <c r="E167" s="438"/>
      <c r="F167" s="306" t="str">
        <f>IF(('Oport-Pré'!F164)&gt;0,'Oport-Pré'!P164,"")</f>
        <v/>
      </c>
      <c r="G167" s="226"/>
      <c r="H167" s="227"/>
      <c r="I167" s="228">
        <v>0</v>
      </c>
      <c r="J167" s="129">
        <f>'Oport-Pré'!F164</f>
        <v>0</v>
      </c>
      <c r="K167" s="132">
        <f>'Oport-Pré'!O164</f>
        <v>0</v>
      </c>
      <c r="L167" s="229">
        <f t="shared" si="2"/>
        <v>0</v>
      </c>
      <c r="M167" s="226"/>
      <c r="N167" s="228">
        <v>0</v>
      </c>
      <c r="O167" s="228"/>
    </row>
    <row r="168" spans="1:15" ht="13">
      <c r="A168" s="126">
        <f>'Oport-Pré'!A165</f>
        <v>158</v>
      </c>
      <c r="B168" s="222" t="str">
        <f>IF(('Oport-Pré'!B165)&gt;0,'Oport-Pré'!B165,"")</f>
        <v/>
      </c>
      <c r="C168" s="223" t="str">
        <f>IF(('Oport-Pré'!C165)&gt;0,'Oport-Pré'!C165,"")</f>
        <v/>
      </c>
      <c r="D168" s="437" t="str">
        <f>IF(('Oport-Pré'!D165)&gt;0,'Oport-Pré'!D165,"")</f>
        <v/>
      </c>
      <c r="E168" s="438"/>
      <c r="F168" s="306" t="str">
        <f>IF(('Oport-Pré'!F165)&gt;0,'Oport-Pré'!P165,"")</f>
        <v/>
      </c>
      <c r="G168" s="226"/>
      <c r="H168" s="227"/>
      <c r="I168" s="228">
        <v>0</v>
      </c>
      <c r="J168" s="129">
        <f>'Oport-Pré'!F165</f>
        <v>0</v>
      </c>
      <c r="K168" s="132">
        <f>'Oport-Pré'!O165</f>
        <v>0</v>
      </c>
      <c r="L168" s="229">
        <f t="shared" si="2"/>
        <v>0</v>
      </c>
      <c r="M168" s="226"/>
      <c r="N168" s="228">
        <v>0</v>
      </c>
      <c r="O168" s="228"/>
    </row>
    <row r="169" spans="1:15" ht="13">
      <c r="A169" s="126">
        <f>'Oport-Pré'!A166</f>
        <v>159</v>
      </c>
      <c r="B169" s="222" t="str">
        <f>IF(('Oport-Pré'!B166)&gt;0,'Oport-Pré'!B166,"")</f>
        <v/>
      </c>
      <c r="C169" s="223" t="str">
        <f>IF(('Oport-Pré'!C166)&gt;0,'Oport-Pré'!C166,"")</f>
        <v/>
      </c>
      <c r="D169" s="437" t="str">
        <f>IF(('Oport-Pré'!D166)&gt;0,'Oport-Pré'!D166,"")</f>
        <v/>
      </c>
      <c r="E169" s="438"/>
      <c r="F169" s="306" t="str">
        <f>IF(('Oport-Pré'!F166)&gt;0,'Oport-Pré'!P166,"")</f>
        <v/>
      </c>
      <c r="G169" s="226"/>
      <c r="H169" s="227"/>
      <c r="I169" s="228">
        <v>0</v>
      </c>
      <c r="J169" s="129">
        <f>'Oport-Pré'!F166</f>
        <v>0</v>
      </c>
      <c r="K169" s="132">
        <f>'Oport-Pré'!O166</f>
        <v>0</v>
      </c>
      <c r="L169" s="229">
        <f t="shared" si="2"/>
        <v>0</v>
      </c>
      <c r="M169" s="226"/>
      <c r="N169" s="228">
        <v>0</v>
      </c>
      <c r="O169" s="228"/>
    </row>
    <row r="170" spans="1:15" ht="13">
      <c r="A170" s="126">
        <f>'Oport-Pré'!A167</f>
        <v>160</v>
      </c>
      <c r="B170" s="222" t="str">
        <f>IF(('Oport-Pré'!B167)&gt;0,'Oport-Pré'!B167,"")</f>
        <v/>
      </c>
      <c r="C170" s="223" t="str">
        <f>IF(('Oport-Pré'!C167)&gt;0,'Oport-Pré'!C167,"")</f>
        <v/>
      </c>
      <c r="D170" s="437" t="str">
        <f>IF(('Oport-Pré'!D167)&gt;0,'Oport-Pré'!D167,"")</f>
        <v/>
      </c>
      <c r="E170" s="438"/>
      <c r="F170" s="306" t="str">
        <f>IF(('Oport-Pré'!F167)&gt;0,'Oport-Pré'!P167,"")</f>
        <v/>
      </c>
      <c r="G170" s="226"/>
      <c r="H170" s="227"/>
      <c r="I170" s="228">
        <v>0</v>
      </c>
      <c r="J170" s="129">
        <f>'Oport-Pré'!F167</f>
        <v>0</v>
      </c>
      <c r="K170" s="132">
        <f>'Oport-Pré'!O167</f>
        <v>0</v>
      </c>
      <c r="L170" s="229">
        <f t="shared" si="2"/>
        <v>0</v>
      </c>
      <c r="M170" s="226"/>
      <c r="N170" s="228">
        <v>0</v>
      </c>
      <c r="O170" s="228"/>
    </row>
    <row r="171" spans="1:15" ht="13">
      <c r="A171" s="126">
        <f>'Oport-Pré'!A168</f>
        <v>161</v>
      </c>
      <c r="B171" s="222" t="str">
        <f>IF(('Oport-Pré'!B168)&gt;0,'Oport-Pré'!B168,"")</f>
        <v/>
      </c>
      <c r="C171" s="223" t="str">
        <f>IF(('Oport-Pré'!C168)&gt;0,'Oport-Pré'!C168,"")</f>
        <v/>
      </c>
      <c r="D171" s="437" t="str">
        <f>IF(('Oport-Pré'!D168)&gt;0,'Oport-Pré'!D168,"")</f>
        <v/>
      </c>
      <c r="E171" s="438"/>
      <c r="F171" s="306" t="str">
        <f>IF(('Oport-Pré'!F168)&gt;0,'Oport-Pré'!P168,"")</f>
        <v/>
      </c>
      <c r="G171" s="226"/>
      <c r="H171" s="227"/>
      <c r="I171" s="228">
        <v>0</v>
      </c>
      <c r="J171" s="129">
        <f>'Oport-Pré'!F168</f>
        <v>0</v>
      </c>
      <c r="K171" s="132">
        <f>'Oport-Pré'!O168</f>
        <v>0</v>
      </c>
      <c r="L171" s="229">
        <f t="shared" si="2"/>
        <v>0</v>
      </c>
      <c r="M171" s="226"/>
      <c r="N171" s="228">
        <v>0</v>
      </c>
      <c r="O171" s="228"/>
    </row>
    <row r="172" spans="1:15" ht="13">
      <c r="A172" s="126">
        <f>'Oport-Pré'!A169</f>
        <v>162</v>
      </c>
      <c r="B172" s="222" t="str">
        <f>IF(('Oport-Pré'!B169)&gt;0,'Oport-Pré'!B169,"")</f>
        <v/>
      </c>
      <c r="C172" s="223" t="str">
        <f>IF(('Oport-Pré'!C169)&gt;0,'Oport-Pré'!C169,"")</f>
        <v/>
      </c>
      <c r="D172" s="437" t="str">
        <f>IF(('Oport-Pré'!D169)&gt;0,'Oport-Pré'!D169,"")</f>
        <v/>
      </c>
      <c r="E172" s="438"/>
      <c r="F172" s="306" t="str">
        <f>IF(('Oport-Pré'!F169)&gt;0,'Oport-Pré'!P169,"")</f>
        <v/>
      </c>
      <c r="G172" s="226"/>
      <c r="H172" s="227"/>
      <c r="I172" s="228">
        <v>0</v>
      </c>
      <c r="J172" s="129">
        <f>'Oport-Pré'!F169</f>
        <v>0</v>
      </c>
      <c r="K172" s="132">
        <f>'Oport-Pré'!O169</f>
        <v>0</v>
      </c>
      <c r="L172" s="229">
        <f t="shared" si="2"/>
        <v>0</v>
      </c>
      <c r="M172" s="226"/>
      <c r="N172" s="228">
        <v>0</v>
      </c>
      <c r="O172" s="228"/>
    </row>
    <row r="173" spans="1:15" ht="13">
      <c r="A173" s="126">
        <f>'Oport-Pré'!A170</f>
        <v>163</v>
      </c>
      <c r="B173" s="222" t="str">
        <f>IF(('Oport-Pré'!B170)&gt;0,'Oport-Pré'!B170,"")</f>
        <v/>
      </c>
      <c r="C173" s="223" t="str">
        <f>IF(('Oport-Pré'!C170)&gt;0,'Oport-Pré'!C170,"")</f>
        <v/>
      </c>
      <c r="D173" s="437" t="str">
        <f>IF(('Oport-Pré'!D170)&gt;0,'Oport-Pré'!D170,"")</f>
        <v/>
      </c>
      <c r="E173" s="438"/>
      <c r="F173" s="306" t="str">
        <f>IF(('Oport-Pré'!F170)&gt;0,'Oport-Pré'!P170,"")</f>
        <v/>
      </c>
      <c r="G173" s="226"/>
      <c r="H173" s="227"/>
      <c r="I173" s="228">
        <v>0</v>
      </c>
      <c r="J173" s="129">
        <f>'Oport-Pré'!F170</f>
        <v>0</v>
      </c>
      <c r="K173" s="132">
        <f>'Oport-Pré'!O170</f>
        <v>0</v>
      </c>
      <c r="L173" s="229">
        <f t="shared" si="2"/>
        <v>0</v>
      </c>
      <c r="M173" s="226"/>
      <c r="N173" s="228">
        <v>0</v>
      </c>
      <c r="O173" s="228"/>
    </row>
    <row r="174" spans="1:15" ht="13">
      <c r="A174" s="126">
        <f>'Oport-Pré'!A171</f>
        <v>164</v>
      </c>
      <c r="B174" s="222" t="str">
        <f>IF(('Oport-Pré'!B171)&gt;0,'Oport-Pré'!B171,"")</f>
        <v/>
      </c>
      <c r="C174" s="223" t="str">
        <f>IF(('Oport-Pré'!C171)&gt;0,'Oport-Pré'!C171,"")</f>
        <v/>
      </c>
      <c r="D174" s="437" t="str">
        <f>IF(('Oport-Pré'!D171)&gt;0,'Oport-Pré'!D171,"")</f>
        <v/>
      </c>
      <c r="E174" s="438"/>
      <c r="F174" s="306" t="str">
        <f>IF(('Oport-Pré'!F171)&gt;0,'Oport-Pré'!P171,"")</f>
        <v/>
      </c>
      <c r="G174" s="226"/>
      <c r="H174" s="227"/>
      <c r="I174" s="228">
        <v>0</v>
      </c>
      <c r="J174" s="129">
        <f>'Oport-Pré'!F171</f>
        <v>0</v>
      </c>
      <c r="K174" s="132">
        <f>'Oport-Pré'!O171</f>
        <v>0</v>
      </c>
      <c r="L174" s="229">
        <f t="shared" si="2"/>
        <v>0</v>
      </c>
      <c r="M174" s="226"/>
      <c r="N174" s="228">
        <v>0</v>
      </c>
      <c r="O174" s="228"/>
    </row>
    <row r="175" spans="1:15" ht="13">
      <c r="A175" s="126">
        <f>'Oport-Pré'!A172</f>
        <v>165</v>
      </c>
      <c r="B175" s="222" t="str">
        <f>IF(('Oport-Pré'!B172)&gt;0,'Oport-Pré'!B172,"")</f>
        <v/>
      </c>
      <c r="C175" s="223" t="str">
        <f>IF(('Oport-Pré'!C172)&gt;0,'Oport-Pré'!C172,"")</f>
        <v/>
      </c>
      <c r="D175" s="437" t="str">
        <f>IF(('Oport-Pré'!D172)&gt;0,'Oport-Pré'!D172,"")</f>
        <v/>
      </c>
      <c r="E175" s="438"/>
      <c r="F175" s="306" t="str">
        <f>IF(('Oport-Pré'!F172)&gt;0,'Oport-Pré'!P172,"")</f>
        <v/>
      </c>
      <c r="G175" s="226"/>
      <c r="H175" s="227"/>
      <c r="I175" s="228">
        <v>0</v>
      </c>
      <c r="J175" s="129">
        <f>'Oport-Pré'!F172</f>
        <v>0</v>
      </c>
      <c r="K175" s="132">
        <f>'Oport-Pré'!O172</f>
        <v>0</v>
      </c>
      <c r="L175" s="229">
        <f t="shared" si="2"/>
        <v>0</v>
      </c>
      <c r="M175" s="226"/>
      <c r="N175" s="228">
        <v>0</v>
      </c>
      <c r="O175" s="228"/>
    </row>
    <row r="176" spans="1:15" ht="13">
      <c r="A176" s="126">
        <f>'Oport-Pré'!A173</f>
        <v>166</v>
      </c>
      <c r="B176" s="222" t="str">
        <f>IF(('Oport-Pré'!B173)&gt;0,'Oport-Pré'!B173,"")</f>
        <v/>
      </c>
      <c r="C176" s="223" t="str">
        <f>IF(('Oport-Pré'!C173)&gt;0,'Oport-Pré'!C173,"")</f>
        <v/>
      </c>
      <c r="D176" s="437" t="str">
        <f>IF(('Oport-Pré'!D173)&gt;0,'Oport-Pré'!D173,"")</f>
        <v/>
      </c>
      <c r="E176" s="438"/>
      <c r="F176" s="306" t="str">
        <f>IF(('Oport-Pré'!F173)&gt;0,'Oport-Pré'!P173,"")</f>
        <v/>
      </c>
      <c r="G176" s="226"/>
      <c r="H176" s="227"/>
      <c r="I176" s="228">
        <v>0</v>
      </c>
      <c r="J176" s="129">
        <f>'Oport-Pré'!F173</f>
        <v>0</v>
      </c>
      <c r="K176" s="132">
        <f>'Oport-Pré'!O173</f>
        <v>0</v>
      </c>
      <c r="L176" s="229">
        <f t="shared" si="2"/>
        <v>0</v>
      </c>
      <c r="M176" s="226"/>
      <c r="N176" s="228">
        <v>0</v>
      </c>
      <c r="O176" s="228"/>
    </row>
    <row r="177" spans="1:15" ht="13">
      <c r="A177" s="126">
        <f>'Oport-Pré'!A174</f>
        <v>167</v>
      </c>
      <c r="B177" s="222" t="str">
        <f>IF(('Oport-Pré'!B174)&gt;0,'Oport-Pré'!B174,"")</f>
        <v/>
      </c>
      <c r="C177" s="223" t="str">
        <f>IF(('Oport-Pré'!C174)&gt;0,'Oport-Pré'!C174,"")</f>
        <v/>
      </c>
      <c r="D177" s="437" t="str">
        <f>IF(('Oport-Pré'!D174)&gt;0,'Oport-Pré'!D174,"")</f>
        <v/>
      </c>
      <c r="E177" s="438"/>
      <c r="F177" s="306" t="str">
        <f>IF(('Oport-Pré'!F174)&gt;0,'Oport-Pré'!P174,"")</f>
        <v/>
      </c>
      <c r="G177" s="226"/>
      <c r="H177" s="227"/>
      <c r="I177" s="228">
        <v>0</v>
      </c>
      <c r="J177" s="129">
        <f>'Oport-Pré'!F174</f>
        <v>0</v>
      </c>
      <c r="K177" s="132">
        <f>'Oport-Pré'!O174</f>
        <v>0</v>
      </c>
      <c r="L177" s="229">
        <f t="shared" si="2"/>
        <v>0</v>
      </c>
      <c r="M177" s="226"/>
      <c r="N177" s="228">
        <v>0</v>
      </c>
      <c r="O177" s="228"/>
    </row>
    <row r="178" spans="1:15" ht="13">
      <c r="A178" s="126">
        <f>'Oport-Pré'!A175</f>
        <v>168</v>
      </c>
      <c r="B178" s="222" t="str">
        <f>IF(('Oport-Pré'!B175)&gt;0,'Oport-Pré'!B175,"")</f>
        <v/>
      </c>
      <c r="C178" s="223" t="str">
        <f>IF(('Oport-Pré'!C175)&gt;0,'Oport-Pré'!C175,"")</f>
        <v/>
      </c>
      <c r="D178" s="437" t="str">
        <f>IF(('Oport-Pré'!D175)&gt;0,'Oport-Pré'!D175,"")</f>
        <v/>
      </c>
      <c r="E178" s="438"/>
      <c r="F178" s="306" t="str">
        <f>IF(('Oport-Pré'!F175)&gt;0,'Oport-Pré'!P175,"")</f>
        <v/>
      </c>
      <c r="G178" s="226"/>
      <c r="H178" s="227"/>
      <c r="I178" s="228">
        <v>0</v>
      </c>
      <c r="J178" s="129">
        <f>'Oport-Pré'!F175</f>
        <v>0</v>
      </c>
      <c r="K178" s="132">
        <f>'Oport-Pré'!O175</f>
        <v>0</v>
      </c>
      <c r="L178" s="229">
        <f t="shared" si="2"/>
        <v>0</v>
      </c>
      <c r="M178" s="226"/>
      <c r="N178" s="228">
        <v>0</v>
      </c>
      <c r="O178" s="228"/>
    </row>
    <row r="179" spans="1:15" ht="13">
      <c r="A179" s="126">
        <f>'Oport-Pré'!A176</f>
        <v>169</v>
      </c>
      <c r="B179" s="222" t="str">
        <f>IF(('Oport-Pré'!B176)&gt;0,'Oport-Pré'!B176,"")</f>
        <v/>
      </c>
      <c r="C179" s="223" t="str">
        <f>IF(('Oport-Pré'!C176)&gt;0,'Oport-Pré'!C176,"")</f>
        <v/>
      </c>
      <c r="D179" s="437" t="str">
        <f>IF(('Oport-Pré'!D176)&gt;0,'Oport-Pré'!D176,"")</f>
        <v/>
      </c>
      <c r="E179" s="438"/>
      <c r="F179" s="306" t="str">
        <f>IF(('Oport-Pré'!F176)&gt;0,'Oport-Pré'!P176,"")</f>
        <v/>
      </c>
      <c r="G179" s="226"/>
      <c r="H179" s="227"/>
      <c r="I179" s="228">
        <v>0</v>
      </c>
      <c r="J179" s="129">
        <f>'Oport-Pré'!F176</f>
        <v>0</v>
      </c>
      <c r="K179" s="132">
        <f>'Oport-Pré'!O176</f>
        <v>0</v>
      </c>
      <c r="L179" s="229">
        <f t="shared" si="2"/>
        <v>0</v>
      </c>
      <c r="M179" s="226"/>
      <c r="N179" s="228">
        <v>0</v>
      </c>
      <c r="O179" s="228"/>
    </row>
    <row r="180" spans="1:15" ht="13">
      <c r="A180" s="126">
        <f>'Oport-Pré'!A177</f>
        <v>170</v>
      </c>
      <c r="B180" s="222" t="str">
        <f>IF(('Oport-Pré'!B177)&gt;0,'Oport-Pré'!B177,"")</f>
        <v/>
      </c>
      <c r="C180" s="223" t="str">
        <f>IF(('Oport-Pré'!C177)&gt;0,'Oport-Pré'!C177,"")</f>
        <v/>
      </c>
      <c r="D180" s="437" t="str">
        <f>IF(('Oport-Pré'!D177)&gt;0,'Oport-Pré'!D177,"")</f>
        <v/>
      </c>
      <c r="E180" s="438"/>
      <c r="F180" s="306" t="str">
        <f>IF(('Oport-Pré'!F177)&gt;0,'Oport-Pré'!P177,"")</f>
        <v/>
      </c>
      <c r="G180" s="226"/>
      <c r="H180" s="227"/>
      <c r="I180" s="228">
        <v>0</v>
      </c>
      <c r="J180" s="129">
        <f>'Oport-Pré'!F177</f>
        <v>0</v>
      </c>
      <c r="K180" s="132">
        <f>'Oport-Pré'!O177</f>
        <v>0</v>
      </c>
      <c r="L180" s="229">
        <f t="shared" si="2"/>
        <v>0</v>
      </c>
      <c r="M180" s="226"/>
      <c r="N180" s="228">
        <v>0</v>
      </c>
      <c r="O180" s="228"/>
    </row>
    <row r="181" spans="1:15" ht="13">
      <c r="A181" s="126">
        <f>'Oport-Pré'!A178</f>
        <v>171</v>
      </c>
      <c r="B181" s="222" t="str">
        <f>IF(('Oport-Pré'!B178)&gt;0,'Oport-Pré'!B178,"")</f>
        <v/>
      </c>
      <c r="C181" s="223" t="str">
        <f>IF(('Oport-Pré'!C178)&gt;0,'Oport-Pré'!C178,"")</f>
        <v/>
      </c>
      <c r="D181" s="437" t="str">
        <f>IF(('Oport-Pré'!D178)&gt;0,'Oport-Pré'!D178,"")</f>
        <v/>
      </c>
      <c r="E181" s="438"/>
      <c r="F181" s="306" t="str">
        <f>IF(('Oport-Pré'!F178)&gt;0,'Oport-Pré'!P178,"")</f>
        <v/>
      </c>
      <c r="G181" s="226"/>
      <c r="H181" s="227"/>
      <c r="I181" s="228">
        <v>0</v>
      </c>
      <c r="J181" s="129">
        <f>'Oport-Pré'!F178</f>
        <v>0</v>
      </c>
      <c r="K181" s="132">
        <f>'Oport-Pré'!O178</f>
        <v>0</v>
      </c>
      <c r="L181" s="229">
        <f t="shared" si="2"/>
        <v>0</v>
      </c>
      <c r="M181" s="226"/>
      <c r="N181" s="228">
        <v>0</v>
      </c>
      <c r="O181" s="228"/>
    </row>
    <row r="182" spans="1:15" ht="13">
      <c r="A182" s="126">
        <f>'Oport-Pré'!A179</f>
        <v>172</v>
      </c>
      <c r="B182" s="222" t="str">
        <f>IF(('Oport-Pré'!B179)&gt;0,'Oport-Pré'!B179,"")</f>
        <v/>
      </c>
      <c r="C182" s="223" t="str">
        <f>IF(('Oport-Pré'!C179)&gt;0,'Oport-Pré'!C179,"")</f>
        <v/>
      </c>
      <c r="D182" s="437" t="str">
        <f>IF(('Oport-Pré'!D179)&gt;0,'Oport-Pré'!D179,"")</f>
        <v/>
      </c>
      <c r="E182" s="438"/>
      <c r="F182" s="306" t="str">
        <f>IF(('Oport-Pré'!F179)&gt;0,'Oport-Pré'!P179,"")</f>
        <v/>
      </c>
      <c r="G182" s="226"/>
      <c r="H182" s="227"/>
      <c r="I182" s="228">
        <v>0</v>
      </c>
      <c r="J182" s="129">
        <f>'Oport-Pré'!F179</f>
        <v>0</v>
      </c>
      <c r="K182" s="132">
        <f>'Oport-Pré'!O179</f>
        <v>0</v>
      </c>
      <c r="L182" s="229">
        <f t="shared" si="2"/>
        <v>0</v>
      </c>
      <c r="M182" s="226"/>
      <c r="N182" s="228">
        <v>0</v>
      </c>
      <c r="O182" s="228"/>
    </row>
    <row r="183" spans="1:15" ht="13">
      <c r="A183" s="126">
        <f>'Oport-Pré'!A180</f>
        <v>173</v>
      </c>
      <c r="B183" s="222" t="str">
        <f>IF(('Oport-Pré'!B180)&gt;0,'Oport-Pré'!B180,"")</f>
        <v/>
      </c>
      <c r="C183" s="223" t="str">
        <f>IF(('Oport-Pré'!C180)&gt;0,'Oport-Pré'!C180,"")</f>
        <v/>
      </c>
      <c r="D183" s="437" t="str">
        <f>IF(('Oport-Pré'!D180)&gt;0,'Oport-Pré'!D180,"")</f>
        <v/>
      </c>
      <c r="E183" s="438"/>
      <c r="F183" s="306" t="str">
        <f>IF(('Oport-Pré'!F180)&gt;0,'Oport-Pré'!P180,"")</f>
        <v/>
      </c>
      <c r="G183" s="226"/>
      <c r="H183" s="227"/>
      <c r="I183" s="228">
        <v>0</v>
      </c>
      <c r="J183" s="129">
        <f>'Oport-Pré'!F180</f>
        <v>0</v>
      </c>
      <c r="K183" s="132">
        <f>'Oport-Pré'!O180</f>
        <v>0</v>
      </c>
      <c r="L183" s="229">
        <f t="shared" si="2"/>
        <v>0</v>
      </c>
      <c r="M183" s="226"/>
      <c r="N183" s="228">
        <v>0</v>
      </c>
      <c r="O183" s="228"/>
    </row>
    <row r="184" spans="1:15" ht="13">
      <c r="A184" s="126">
        <f>'Oport-Pré'!A181</f>
        <v>174</v>
      </c>
      <c r="B184" s="222" t="str">
        <f>IF(('Oport-Pré'!B181)&gt;0,'Oport-Pré'!B181,"")</f>
        <v/>
      </c>
      <c r="C184" s="223" t="str">
        <f>IF(('Oport-Pré'!C181)&gt;0,'Oport-Pré'!C181,"")</f>
        <v/>
      </c>
      <c r="D184" s="437" t="str">
        <f>IF(('Oport-Pré'!D181)&gt;0,'Oport-Pré'!D181,"")</f>
        <v/>
      </c>
      <c r="E184" s="438"/>
      <c r="F184" s="306" t="str">
        <f>IF(('Oport-Pré'!F181)&gt;0,'Oport-Pré'!P181,"")</f>
        <v/>
      </c>
      <c r="G184" s="226"/>
      <c r="H184" s="227"/>
      <c r="I184" s="228">
        <v>0</v>
      </c>
      <c r="J184" s="129">
        <f>'Oport-Pré'!F181</f>
        <v>0</v>
      </c>
      <c r="K184" s="132">
        <f>'Oport-Pré'!O181</f>
        <v>0</v>
      </c>
      <c r="L184" s="229">
        <f t="shared" si="2"/>
        <v>0</v>
      </c>
      <c r="M184" s="226"/>
      <c r="N184" s="228">
        <v>0</v>
      </c>
      <c r="O184" s="228"/>
    </row>
    <row r="185" spans="1:15" ht="13">
      <c r="A185" s="126">
        <f>'Oport-Pré'!A182</f>
        <v>175</v>
      </c>
      <c r="B185" s="222" t="str">
        <f>IF(('Oport-Pré'!B182)&gt;0,'Oport-Pré'!B182,"")</f>
        <v/>
      </c>
      <c r="C185" s="223" t="str">
        <f>IF(('Oport-Pré'!C182)&gt;0,'Oport-Pré'!C182,"")</f>
        <v/>
      </c>
      <c r="D185" s="437" t="str">
        <f>IF(('Oport-Pré'!D182)&gt;0,'Oport-Pré'!D182,"")</f>
        <v/>
      </c>
      <c r="E185" s="438"/>
      <c r="F185" s="306" t="str">
        <f>IF(('Oport-Pré'!F182)&gt;0,'Oport-Pré'!P182,"")</f>
        <v/>
      </c>
      <c r="G185" s="226"/>
      <c r="H185" s="227"/>
      <c r="I185" s="228">
        <v>0</v>
      </c>
      <c r="J185" s="129">
        <f>'Oport-Pré'!F182</f>
        <v>0</v>
      </c>
      <c r="K185" s="132">
        <f>'Oport-Pré'!O182</f>
        <v>0</v>
      </c>
      <c r="L185" s="229">
        <f t="shared" si="2"/>
        <v>0</v>
      </c>
      <c r="M185" s="226"/>
      <c r="N185" s="228">
        <v>0</v>
      </c>
      <c r="O185" s="228"/>
    </row>
    <row r="186" spans="1:15" ht="13">
      <c r="A186" s="126">
        <f>'Oport-Pré'!A183</f>
        <v>176</v>
      </c>
      <c r="B186" s="222" t="str">
        <f>IF(('Oport-Pré'!B183)&gt;0,'Oport-Pré'!B183,"")</f>
        <v/>
      </c>
      <c r="C186" s="223" t="str">
        <f>IF(('Oport-Pré'!C183)&gt;0,'Oport-Pré'!C183,"")</f>
        <v/>
      </c>
      <c r="D186" s="437" t="str">
        <f>IF(('Oport-Pré'!D183)&gt;0,'Oport-Pré'!D183,"")</f>
        <v/>
      </c>
      <c r="E186" s="438"/>
      <c r="F186" s="306" t="str">
        <f>IF(('Oport-Pré'!F183)&gt;0,'Oport-Pré'!P183,"")</f>
        <v/>
      </c>
      <c r="G186" s="226"/>
      <c r="H186" s="227"/>
      <c r="I186" s="228">
        <v>0</v>
      </c>
      <c r="J186" s="129">
        <f>'Oport-Pré'!F183</f>
        <v>0</v>
      </c>
      <c r="K186" s="132">
        <f>'Oport-Pré'!O183</f>
        <v>0</v>
      </c>
      <c r="L186" s="229">
        <f t="shared" si="2"/>
        <v>0</v>
      </c>
      <c r="M186" s="226"/>
      <c r="N186" s="228">
        <v>0</v>
      </c>
      <c r="O186" s="228"/>
    </row>
    <row r="187" spans="1:15" ht="13">
      <c r="A187" s="126">
        <f>'Oport-Pré'!A184</f>
        <v>177</v>
      </c>
      <c r="B187" s="222" t="str">
        <f>IF(('Oport-Pré'!B184)&gt;0,'Oport-Pré'!B184,"")</f>
        <v/>
      </c>
      <c r="C187" s="223" t="str">
        <f>IF(('Oport-Pré'!C184)&gt;0,'Oport-Pré'!C184,"")</f>
        <v/>
      </c>
      <c r="D187" s="437" t="str">
        <f>IF(('Oport-Pré'!D184)&gt;0,'Oport-Pré'!D184,"")</f>
        <v/>
      </c>
      <c r="E187" s="438"/>
      <c r="F187" s="306" t="str">
        <f>IF(('Oport-Pré'!F184)&gt;0,'Oport-Pré'!P184,"")</f>
        <v/>
      </c>
      <c r="G187" s="226"/>
      <c r="H187" s="227"/>
      <c r="I187" s="228">
        <v>0</v>
      </c>
      <c r="J187" s="129">
        <f>'Oport-Pré'!F184</f>
        <v>0</v>
      </c>
      <c r="K187" s="132">
        <f>'Oport-Pré'!O184</f>
        <v>0</v>
      </c>
      <c r="L187" s="229">
        <f t="shared" si="2"/>
        <v>0</v>
      </c>
      <c r="M187" s="226"/>
      <c r="N187" s="228">
        <v>0</v>
      </c>
      <c r="O187" s="228"/>
    </row>
    <row r="188" spans="1:15" ht="13">
      <c r="A188" s="126">
        <f>'Oport-Pré'!A185</f>
        <v>178</v>
      </c>
      <c r="B188" s="222" t="str">
        <f>IF(('Oport-Pré'!B185)&gt;0,'Oport-Pré'!B185,"")</f>
        <v/>
      </c>
      <c r="C188" s="223" t="str">
        <f>IF(('Oport-Pré'!C185)&gt;0,'Oport-Pré'!C185,"")</f>
        <v/>
      </c>
      <c r="D188" s="437" t="str">
        <f>IF(('Oport-Pré'!D185)&gt;0,'Oport-Pré'!D185,"")</f>
        <v/>
      </c>
      <c r="E188" s="438"/>
      <c r="F188" s="306" t="str">
        <f>IF(('Oport-Pré'!F185)&gt;0,'Oport-Pré'!P185,"")</f>
        <v/>
      </c>
      <c r="G188" s="226"/>
      <c r="H188" s="227"/>
      <c r="I188" s="228">
        <v>0</v>
      </c>
      <c r="J188" s="129">
        <f>'Oport-Pré'!F185</f>
        <v>0</v>
      </c>
      <c r="K188" s="132">
        <f>'Oport-Pré'!O185</f>
        <v>0</v>
      </c>
      <c r="L188" s="229">
        <f t="shared" si="2"/>
        <v>0</v>
      </c>
      <c r="M188" s="226"/>
      <c r="N188" s="228">
        <v>0</v>
      </c>
      <c r="O188" s="228"/>
    </row>
    <row r="189" spans="1:15" ht="13">
      <c r="A189" s="126">
        <f>'Oport-Pré'!A186</f>
        <v>179</v>
      </c>
      <c r="B189" s="222" t="str">
        <f>IF(('Oport-Pré'!B186)&gt;0,'Oport-Pré'!B186,"")</f>
        <v/>
      </c>
      <c r="C189" s="223" t="str">
        <f>IF(('Oport-Pré'!C186)&gt;0,'Oport-Pré'!C186,"")</f>
        <v/>
      </c>
      <c r="D189" s="437" t="str">
        <f>IF(('Oport-Pré'!D186)&gt;0,'Oport-Pré'!D186,"")</f>
        <v/>
      </c>
      <c r="E189" s="438"/>
      <c r="F189" s="306" t="str">
        <f>IF(('Oport-Pré'!F186)&gt;0,'Oport-Pré'!P186,"")</f>
        <v/>
      </c>
      <c r="G189" s="226"/>
      <c r="H189" s="227"/>
      <c r="I189" s="228">
        <v>0</v>
      </c>
      <c r="J189" s="129">
        <f>'Oport-Pré'!F186</f>
        <v>0</v>
      </c>
      <c r="K189" s="132">
        <f>'Oport-Pré'!O186</f>
        <v>0</v>
      </c>
      <c r="L189" s="229">
        <f t="shared" si="2"/>
        <v>0</v>
      </c>
      <c r="M189" s="226"/>
      <c r="N189" s="228">
        <v>0</v>
      </c>
      <c r="O189" s="228"/>
    </row>
    <row r="190" spans="1:15" ht="13">
      <c r="A190" s="126">
        <f>'Oport-Pré'!A187</f>
        <v>180</v>
      </c>
      <c r="B190" s="222" t="str">
        <f>IF(('Oport-Pré'!B187)&gt;0,'Oport-Pré'!B187,"")</f>
        <v/>
      </c>
      <c r="C190" s="223" t="str">
        <f>IF(('Oport-Pré'!C187)&gt;0,'Oport-Pré'!C187,"")</f>
        <v/>
      </c>
      <c r="D190" s="437" t="str">
        <f>IF(('Oport-Pré'!D187)&gt;0,'Oport-Pré'!D187,"")</f>
        <v/>
      </c>
      <c r="E190" s="438"/>
      <c r="F190" s="306" t="str">
        <f>IF(('Oport-Pré'!F187)&gt;0,'Oport-Pré'!P187,"")</f>
        <v/>
      </c>
      <c r="G190" s="226"/>
      <c r="H190" s="227"/>
      <c r="I190" s="228">
        <v>0</v>
      </c>
      <c r="J190" s="129">
        <f>'Oport-Pré'!F187</f>
        <v>0</v>
      </c>
      <c r="K190" s="132">
        <f>'Oport-Pré'!O187</f>
        <v>0</v>
      </c>
      <c r="L190" s="229">
        <f t="shared" si="2"/>
        <v>0</v>
      </c>
      <c r="M190" s="226"/>
      <c r="N190" s="228">
        <v>0</v>
      </c>
      <c r="O190" s="228"/>
    </row>
    <row r="191" spans="1:15" ht="13">
      <c r="A191" s="126">
        <f>'Oport-Pré'!A188</f>
        <v>181</v>
      </c>
      <c r="B191" s="222" t="str">
        <f>IF(('Oport-Pré'!B188)&gt;0,'Oport-Pré'!B188,"")</f>
        <v/>
      </c>
      <c r="C191" s="223" t="str">
        <f>IF(('Oport-Pré'!C188)&gt;0,'Oport-Pré'!C188,"")</f>
        <v/>
      </c>
      <c r="D191" s="437" t="str">
        <f>IF(('Oport-Pré'!D188)&gt;0,'Oport-Pré'!D188,"")</f>
        <v/>
      </c>
      <c r="E191" s="438"/>
      <c r="F191" s="306" t="str">
        <f>IF(('Oport-Pré'!F188)&gt;0,'Oport-Pré'!P188,"")</f>
        <v/>
      </c>
      <c r="G191" s="226"/>
      <c r="H191" s="227"/>
      <c r="I191" s="228">
        <v>0</v>
      </c>
      <c r="J191" s="129">
        <f>'Oport-Pré'!F188</f>
        <v>0</v>
      </c>
      <c r="K191" s="132">
        <f>'Oport-Pré'!O188</f>
        <v>0</v>
      </c>
      <c r="L191" s="229">
        <f t="shared" si="2"/>
        <v>0</v>
      </c>
      <c r="M191" s="226"/>
      <c r="N191" s="228">
        <v>0</v>
      </c>
      <c r="O191" s="228"/>
    </row>
    <row r="192" spans="1:15" ht="13">
      <c r="A192" s="126">
        <f>'Oport-Pré'!A189</f>
        <v>182</v>
      </c>
      <c r="B192" s="222" t="str">
        <f>IF(('Oport-Pré'!B189)&gt;0,'Oport-Pré'!B189,"")</f>
        <v/>
      </c>
      <c r="C192" s="223" t="str">
        <f>IF(('Oport-Pré'!C189)&gt;0,'Oport-Pré'!C189,"")</f>
        <v/>
      </c>
      <c r="D192" s="437" t="str">
        <f>IF(('Oport-Pré'!D189)&gt;0,'Oport-Pré'!D189,"")</f>
        <v/>
      </c>
      <c r="E192" s="438"/>
      <c r="F192" s="306" t="str">
        <f>IF(('Oport-Pré'!F189)&gt;0,'Oport-Pré'!P189,"")</f>
        <v/>
      </c>
      <c r="G192" s="226"/>
      <c r="H192" s="227"/>
      <c r="I192" s="228">
        <v>0</v>
      </c>
      <c r="J192" s="129">
        <f>'Oport-Pré'!F189</f>
        <v>0</v>
      </c>
      <c r="K192" s="132">
        <f>'Oport-Pré'!O189</f>
        <v>0</v>
      </c>
      <c r="L192" s="229">
        <f t="shared" si="2"/>
        <v>0</v>
      </c>
      <c r="M192" s="226"/>
      <c r="N192" s="228">
        <v>0</v>
      </c>
      <c r="O192" s="228"/>
    </row>
    <row r="193" spans="1:15" ht="13">
      <c r="A193" s="126">
        <f>'Oport-Pré'!A190</f>
        <v>183</v>
      </c>
      <c r="B193" s="222" t="str">
        <f>IF(('Oport-Pré'!B190)&gt;0,'Oport-Pré'!B190,"")</f>
        <v/>
      </c>
      <c r="C193" s="223" t="str">
        <f>IF(('Oport-Pré'!C190)&gt;0,'Oport-Pré'!C190,"")</f>
        <v/>
      </c>
      <c r="D193" s="437" t="str">
        <f>IF(('Oport-Pré'!D190)&gt;0,'Oport-Pré'!D190,"")</f>
        <v/>
      </c>
      <c r="E193" s="438"/>
      <c r="F193" s="306" t="str">
        <f>IF(('Oport-Pré'!F190)&gt;0,'Oport-Pré'!P190,"")</f>
        <v/>
      </c>
      <c r="G193" s="226"/>
      <c r="H193" s="227"/>
      <c r="I193" s="228">
        <v>0</v>
      </c>
      <c r="J193" s="129">
        <f>'Oport-Pré'!F190</f>
        <v>0</v>
      </c>
      <c r="K193" s="132">
        <f>'Oport-Pré'!O190</f>
        <v>0</v>
      </c>
      <c r="L193" s="229">
        <f t="shared" si="2"/>
        <v>0</v>
      </c>
      <c r="M193" s="226"/>
      <c r="N193" s="228">
        <v>0</v>
      </c>
      <c r="O193" s="228"/>
    </row>
    <row r="194" spans="1:15" ht="13">
      <c r="A194" s="126">
        <f>'Oport-Pré'!A191</f>
        <v>184</v>
      </c>
      <c r="B194" s="222" t="str">
        <f>IF(('Oport-Pré'!B191)&gt;0,'Oport-Pré'!B191,"")</f>
        <v/>
      </c>
      <c r="C194" s="223" t="str">
        <f>IF(('Oport-Pré'!C191)&gt;0,'Oport-Pré'!C191,"")</f>
        <v/>
      </c>
      <c r="D194" s="437" t="str">
        <f>IF(('Oport-Pré'!D191)&gt;0,'Oport-Pré'!D191,"")</f>
        <v/>
      </c>
      <c r="E194" s="438"/>
      <c r="F194" s="306" t="str">
        <f>IF(('Oport-Pré'!F191)&gt;0,'Oport-Pré'!P191,"")</f>
        <v/>
      </c>
      <c r="G194" s="226"/>
      <c r="H194" s="227"/>
      <c r="I194" s="228">
        <v>0</v>
      </c>
      <c r="J194" s="129">
        <f>'Oport-Pré'!F191</f>
        <v>0</v>
      </c>
      <c r="K194" s="132">
        <f>'Oport-Pré'!O191</f>
        <v>0</v>
      </c>
      <c r="L194" s="229">
        <f t="shared" si="2"/>
        <v>0</v>
      </c>
      <c r="M194" s="226"/>
      <c r="N194" s="228">
        <v>0</v>
      </c>
      <c r="O194" s="228"/>
    </row>
    <row r="195" spans="1:15" ht="13">
      <c r="A195" s="126">
        <f>'Oport-Pré'!A192</f>
        <v>185</v>
      </c>
      <c r="B195" s="222" t="str">
        <f>IF(('Oport-Pré'!B192)&gt;0,'Oport-Pré'!B192,"")</f>
        <v/>
      </c>
      <c r="C195" s="223" t="str">
        <f>IF(('Oport-Pré'!C192)&gt;0,'Oport-Pré'!C192,"")</f>
        <v/>
      </c>
      <c r="D195" s="437" t="str">
        <f>IF(('Oport-Pré'!D192)&gt;0,'Oport-Pré'!D192,"")</f>
        <v/>
      </c>
      <c r="E195" s="438"/>
      <c r="F195" s="306" t="str">
        <f>IF(('Oport-Pré'!F192)&gt;0,'Oport-Pré'!P192,"")</f>
        <v/>
      </c>
      <c r="G195" s="226"/>
      <c r="H195" s="227"/>
      <c r="I195" s="228">
        <v>0</v>
      </c>
      <c r="J195" s="129">
        <f>'Oport-Pré'!F192</f>
        <v>0</v>
      </c>
      <c r="K195" s="132">
        <f>'Oport-Pré'!O192</f>
        <v>0</v>
      </c>
      <c r="L195" s="229">
        <f t="shared" si="2"/>
        <v>0</v>
      </c>
      <c r="M195" s="226"/>
      <c r="N195" s="228">
        <v>0</v>
      </c>
      <c r="O195" s="228"/>
    </row>
    <row r="196" spans="1:15" ht="13">
      <c r="A196" s="126">
        <f>'Oport-Pré'!A193</f>
        <v>186</v>
      </c>
      <c r="B196" s="222" t="str">
        <f>IF(('Oport-Pré'!B193)&gt;0,'Oport-Pré'!B193,"")</f>
        <v/>
      </c>
      <c r="C196" s="223" t="str">
        <f>IF(('Oport-Pré'!C193)&gt;0,'Oport-Pré'!C193,"")</f>
        <v/>
      </c>
      <c r="D196" s="437" t="str">
        <f>IF(('Oport-Pré'!D193)&gt;0,'Oport-Pré'!D193,"")</f>
        <v/>
      </c>
      <c r="E196" s="438"/>
      <c r="F196" s="306" t="str">
        <f>IF(('Oport-Pré'!F193)&gt;0,'Oport-Pré'!P193,"")</f>
        <v/>
      </c>
      <c r="G196" s="226"/>
      <c r="H196" s="227"/>
      <c r="I196" s="228">
        <v>0</v>
      </c>
      <c r="J196" s="129">
        <f>'Oport-Pré'!F193</f>
        <v>0</v>
      </c>
      <c r="K196" s="132">
        <f>'Oport-Pré'!O193</f>
        <v>0</v>
      </c>
      <c r="L196" s="229">
        <f t="shared" si="2"/>
        <v>0</v>
      </c>
      <c r="M196" s="226"/>
      <c r="N196" s="228">
        <v>0</v>
      </c>
      <c r="O196" s="228"/>
    </row>
    <row r="197" spans="1:15" ht="13">
      <c r="A197" s="126">
        <f>'Oport-Pré'!A194</f>
        <v>187</v>
      </c>
      <c r="B197" s="222" t="str">
        <f>IF(('Oport-Pré'!B194)&gt;0,'Oport-Pré'!B194,"")</f>
        <v/>
      </c>
      <c r="C197" s="223" t="str">
        <f>IF(('Oport-Pré'!C194)&gt;0,'Oport-Pré'!C194,"")</f>
        <v/>
      </c>
      <c r="D197" s="437" t="str">
        <f>IF(('Oport-Pré'!D194)&gt;0,'Oport-Pré'!D194,"")</f>
        <v/>
      </c>
      <c r="E197" s="438"/>
      <c r="F197" s="306" t="str">
        <f>IF(('Oport-Pré'!F194)&gt;0,'Oport-Pré'!P194,"")</f>
        <v/>
      </c>
      <c r="G197" s="226"/>
      <c r="H197" s="227"/>
      <c r="I197" s="228">
        <v>0</v>
      </c>
      <c r="J197" s="129">
        <f>'Oport-Pré'!F194</f>
        <v>0</v>
      </c>
      <c r="K197" s="132">
        <f>'Oport-Pré'!O194</f>
        <v>0</v>
      </c>
      <c r="L197" s="229">
        <f t="shared" si="2"/>
        <v>0</v>
      </c>
      <c r="M197" s="226"/>
      <c r="N197" s="228">
        <v>0</v>
      </c>
      <c r="O197" s="228"/>
    </row>
    <row r="198" spans="1:15" ht="13">
      <c r="A198" s="126">
        <f>'Oport-Pré'!A195</f>
        <v>188</v>
      </c>
      <c r="B198" s="222" t="str">
        <f>IF(('Oport-Pré'!B195)&gt;0,'Oport-Pré'!B195,"")</f>
        <v/>
      </c>
      <c r="C198" s="223" t="str">
        <f>IF(('Oport-Pré'!C195)&gt;0,'Oport-Pré'!C195,"")</f>
        <v/>
      </c>
      <c r="D198" s="437" t="str">
        <f>IF(('Oport-Pré'!D195)&gt;0,'Oport-Pré'!D195,"")</f>
        <v/>
      </c>
      <c r="E198" s="438"/>
      <c r="F198" s="306" t="str">
        <f>IF(('Oport-Pré'!F195)&gt;0,'Oport-Pré'!P195,"")</f>
        <v/>
      </c>
      <c r="G198" s="226"/>
      <c r="H198" s="227"/>
      <c r="I198" s="228">
        <v>0</v>
      </c>
      <c r="J198" s="129">
        <f>'Oport-Pré'!F195</f>
        <v>0</v>
      </c>
      <c r="K198" s="132">
        <f>'Oport-Pré'!O195</f>
        <v>0</v>
      </c>
      <c r="L198" s="229">
        <f t="shared" si="2"/>
        <v>0</v>
      </c>
      <c r="M198" s="226"/>
      <c r="N198" s="228">
        <v>0</v>
      </c>
      <c r="O198" s="228"/>
    </row>
    <row r="199" spans="1:15" ht="13">
      <c r="A199" s="126">
        <f>'Oport-Pré'!A196</f>
        <v>189</v>
      </c>
      <c r="B199" s="222" t="str">
        <f>IF(('Oport-Pré'!B196)&gt;0,'Oport-Pré'!B196,"")</f>
        <v/>
      </c>
      <c r="C199" s="223" t="str">
        <f>IF(('Oport-Pré'!C196)&gt;0,'Oport-Pré'!C196,"")</f>
        <v/>
      </c>
      <c r="D199" s="437" t="str">
        <f>IF(('Oport-Pré'!D196)&gt;0,'Oport-Pré'!D196,"")</f>
        <v/>
      </c>
      <c r="E199" s="438"/>
      <c r="F199" s="306" t="str">
        <f>IF(('Oport-Pré'!F196)&gt;0,'Oport-Pré'!P196,"")</f>
        <v/>
      </c>
      <c r="G199" s="226"/>
      <c r="H199" s="227"/>
      <c r="I199" s="228">
        <v>0</v>
      </c>
      <c r="J199" s="129">
        <f>'Oport-Pré'!F196</f>
        <v>0</v>
      </c>
      <c r="K199" s="132">
        <f>'Oport-Pré'!O196</f>
        <v>0</v>
      </c>
      <c r="L199" s="229">
        <f t="shared" si="2"/>
        <v>0</v>
      </c>
      <c r="M199" s="226"/>
      <c r="N199" s="228">
        <v>0</v>
      </c>
      <c r="O199" s="228"/>
    </row>
    <row r="200" spans="1:15" ht="13">
      <c r="A200" s="126">
        <f>'Oport-Pré'!A197</f>
        <v>190</v>
      </c>
      <c r="B200" s="222" t="str">
        <f>IF(('Oport-Pré'!B197)&gt;0,'Oport-Pré'!B197,"")</f>
        <v/>
      </c>
      <c r="C200" s="223" t="str">
        <f>IF(('Oport-Pré'!C197)&gt;0,'Oport-Pré'!C197,"")</f>
        <v/>
      </c>
      <c r="D200" s="437" t="str">
        <f>IF(('Oport-Pré'!D197)&gt;0,'Oport-Pré'!D197,"")</f>
        <v/>
      </c>
      <c r="E200" s="438"/>
      <c r="F200" s="306" t="str">
        <f>IF(('Oport-Pré'!F197)&gt;0,'Oport-Pré'!P197,"")</f>
        <v/>
      </c>
      <c r="G200" s="226"/>
      <c r="H200" s="227"/>
      <c r="I200" s="228">
        <v>0</v>
      </c>
      <c r="J200" s="129">
        <f>'Oport-Pré'!F197</f>
        <v>0</v>
      </c>
      <c r="K200" s="132">
        <f>'Oport-Pré'!O197</f>
        <v>0</v>
      </c>
      <c r="L200" s="229">
        <f t="shared" si="2"/>
        <v>0</v>
      </c>
      <c r="M200" s="226"/>
      <c r="N200" s="228">
        <v>0</v>
      </c>
      <c r="O200" s="228"/>
    </row>
    <row r="201" spans="1:15" ht="13">
      <c r="A201" s="126">
        <f>'Oport-Pré'!A198</f>
        <v>191</v>
      </c>
      <c r="B201" s="222" t="str">
        <f>IF(('Oport-Pré'!B198)&gt;0,'Oport-Pré'!B198,"")</f>
        <v/>
      </c>
      <c r="C201" s="223" t="str">
        <f>IF(('Oport-Pré'!C198)&gt;0,'Oport-Pré'!C198,"")</f>
        <v/>
      </c>
      <c r="D201" s="437" t="str">
        <f>IF(('Oport-Pré'!D198)&gt;0,'Oport-Pré'!D198,"")</f>
        <v/>
      </c>
      <c r="E201" s="438"/>
      <c r="F201" s="306" t="str">
        <f>IF(('Oport-Pré'!F198)&gt;0,'Oport-Pré'!P198,"")</f>
        <v/>
      </c>
      <c r="G201" s="226"/>
      <c r="H201" s="227"/>
      <c r="I201" s="228">
        <v>0</v>
      </c>
      <c r="J201" s="129">
        <f>'Oport-Pré'!F198</f>
        <v>0</v>
      </c>
      <c r="K201" s="132">
        <f>'Oport-Pré'!O198</f>
        <v>0</v>
      </c>
      <c r="L201" s="229">
        <f t="shared" si="2"/>
        <v>0</v>
      </c>
      <c r="M201" s="226"/>
      <c r="N201" s="228">
        <v>0</v>
      </c>
      <c r="O201" s="228"/>
    </row>
    <row r="202" spans="1:15" ht="13">
      <c r="A202" s="126">
        <f>'Oport-Pré'!A199</f>
        <v>192</v>
      </c>
      <c r="B202" s="222" t="str">
        <f>IF(('Oport-Pré'!B199)&gt;0,'Oport-Pré'!B199,"")</f>
        <v/>
      </c>
      <c r="C202" s="223" t="str">
        <f>IF(('Oport-Pré'!C199)&gt;0,'Oport-Pré'!C199,"")</f>
        <v/>
      </c>
      <c r="D202" s="437" t="str">
        <f>IF(('Oport-Pré'!D199)&gt;0,'Oport-Pré'!D199,"")</f>
        <v/>
      </c>
      <c r="E202" s="438"/>
      <c r="F202" s="306" t="str">
        <f>IF(('Oport-Pré'!F199)&gt;0,'Oport-Pré'!P199,"")</f>
        <v/>
      </c>
      <c r="G202" s="226"/>
      <c r="H202" s="227"/>
      <c r="I202" s="228">
        <v>0</v>
      </c>
      <c r="J202" s="129">
        <f>'Oport-Pré'!F199</f>
        <v>0</v>
      </c>
      <c r="K202" s="132">
        <f>'Oport-Pré'!O199</f>
        <v>0</v>
      </c>
      <c r="L202" s="229">
        <f t="shared" si="2"/>
        <v>0</v>
      </c>
      <c r="M202" s="226"/>
      <c r="N202" s="228">
        <v>0</v>
      </c>
      <c r="O202" s="228"/>
    </row>
    <row r="203" spans="1:15" ht="13">
      <c r="A203" s="126">
        <f>'Oport-Pré'!A200</f>
        <v>193</v>
      </c>
      <c r="B203" s="222" t="str">
        <f>IF(('Oport-Pré'!B200)&gt;0,'Oport-Pré'!B200,"")</f>
        <v/>
      </c>
      <c r="C203" s="223" t="str">
        <f>IF(('Oport-Pré'!C200)&gt;0,'Oport-Pré'!C200,"")</f>
        <v/>
      </c>
      <c r="D203" s="437" t="str">
        <f>IF(('Oport-Pré'!D200)&gt;0,'Oport-Pré'!D200,"")</f>
        <v/>
      </c>
      <c r="E203" s="438"/>
      <c r="F203" s="306" t="str">
        <f>IF(('Oport-Pré'!F200)&gt;0,'Oport-Pré'!P200,"")</f>
        <v/>
      </c>
      <c r="G203" s="226"/>
      <c r="H203" s="227"/>
      <c r="I203" s="228">
        <v>0</v>
      </c>
      <c r="J203" s="129">
        <f>'Oport-Pré'!F200</f>
        <v>0</v>
      </c>
      <c r="K203" s="132">
        <f>'Oport-Pré'!O200</f>
        <v>0</v>
      </c>
      <c r="L203" s="229">
        <f t="shared" si="2"/>
        <v>0</v>
      </c>
      <c r="M203" s="226"/>
      <c r="N203" s="228">
        <v>0</v>
      </c>
      <c r="O203" s="228"/>
    </row>
    <row r="204" spans="1:15" ht="13">
      <c r="A204" s="126">
        <f>'Oport-Pré'!A201</f>
        <v>194</v>
      </c>
      <c r="B204" s="222" t="str">
        <f>IF(('Oport-Pré'!B201)&gt;0,'Oport-Pré'!B201,"")</f>
        <v/>
      </c>
      <c r="C204" s="223" t="str">
        <f>IF(('Oport-Pré'!C201)&gt;0,'Oport-Pré'!C201,"")</f>
        <v/>
      </c>
      <c r="D204" s="437" t="str">
        <f>IF(('Oport-Pré'!D201)&gt;0,'Oport-Pré'!D201,"")</f>
        <v/>
      </c>
      <c r="E204" s="438"/>
      <c r="F204" s="306" t="str">
        <f>IF(('Oport-Pré'!F201)&gt;0,'Oport-Pré'!P201,"")</f>
        <v/>
      </c>
      <c r="G204" s="226"/>
      <c r="H204" s="227"/>
      <c r="I204" s="228">
        <v>0</v>
      </c>
      <c r="J204" s="129">
        <f>'Oport-Pré'!F201</f>
        <v>0</v>
      </c>
      <c r="K204" s="132">
        <f>'Oport-Pré'!O201</f>
        <v>0</v>
      </c>
      <c r="L204" s="229">
        <f t="shared" si="2"/>
        <v>0</v>
      </c>
      <c r="M204" s="226"/>
      <c r="N204" s="228">
        <v>0</v>
      </c>
      <c r="O204" s="228"/>
    </row>
    <row r="205" spans="1:15" ht="13">
      <c r="A205" s="126">
        <f>'Oport-Pré'!A202</f>
        <v>195</v>
      </c>
      <c r="B205" s="222" t="str">
        <f>IF(('Oport-Pré'!B202)&gt;0,'Oport-Pré'!B202,"")</f>
        <v/>
      </c>
      <c r="C205" s="223" t="str">
        <f>IF(('Oport-Pré'!C202)&gt;0,'Oport-Pré'!C202,"")</f>
        <v/>
      </c>
      <c r="D205" s="437" t="str">
        <f>IF(('Oport-Pré'!D202)&gt;0,'Oport-Pré'!D202,"")</f>
        <v/>
      </c>
      <c r="E205" s="438"/>
      <c r="F205" s="306" t="str">
        <f>IF(('Oport-Pré'!F202)&gt;0,'Oport-Pré'!P202,"")</f>
        <v/>
      </c>
      <c r="G205" s="226"/>
      <c r="H205" s="227"/>
      <c r="I205" s="228">
        <v>0</v>
      </c>
      <c r="J205" s="129">
        <f>'Oport-Pré'!F202</f>
        <v>0</v>
      </c>
      <c r="K205" s="132">
        <f>'Oport-Pré'!O202</f>
        <v>0</v>
      </c>
      <c r="L205" s="229">
        <f t="shared" ref="L205:L210" si="3">J205*K205</f>
        <v>0</v>
      </c>
      <c r="M205" s="226"/>
      <c r="N205" s="228">
        <v>0</v>
      </c>
      <c r="O205" s="228"/>
    </row>
    <row r="206" spans="1:15" ht="13">
      <c r="A206" s="126">
        <f>'Oport-Pré'!A203</f>
        <v>196</v>
      </c>
      <c r="B206" s="222" t="str">
        <f>IF(('Oport-Pré'!B203)&gt;0,'Oport-Pré'!B203,"")</f>
        <v/>
      </c>
      <c r="C206" s="223" t="str">
        <f>IF(('Oport-Pré'!C203)&gt;0,'Oport-Pré'!C203,"")</f>
        <v/>
      </c>
      <c r="D206" s="437" t="str">
        <f>IF(('Oport-Pré'!D203)&gt;0,'Oport-Pré'!D203,"")</f>
        <v/>
      </c>
      <c r="E206" s="438"/>
      <c r="F206" s="306" t="str">
        <f>IF(('Oport-Pré'!F203)&gt;0,'Oport-Pré'!P203,"")</f>
        <v/>
      </c>
      <c r="G206" s="226"/>
      <c r="H206" s="227"/>
      <c r="I206" s="228">
        <v>0</v>
      </c>
      <c r="J206" s="129">
        <f>'Oport-Pré'!F203</f>
        <v>0</v>
      </c>
      <c r="K206" s="132">
        <f>'Oport-Pré'!O203</f>
        <v>0</v>
      </c>
      <c r="L206" s="229">
        <f t="shared" si="3"/>
        <v>0</v>
      </c>
      <c r="M206" s="226"/>
      <c r="N206" s="228">
        <v>0</v>
      </c>
      <c r="O206" s="228"/>
    </row>
    <row r="207" spans="1:15" ht="13">
      <c r="A207" s="126">
        <f>'Oport-Pré'!A204</f>
        <v>197</v>
      </c>
      <c r="B207" s="222" t="str">
        <f>IF(('Oport-Pré'!B204)&gt;0,'Oport-Pré'!B204,"")</f>
        <v/>
      </c>
      <c r="C207" s="223" t="str">
        <f>IF(('Oport-Pré'!C204)&gt;0,'Oport-Pré'!C204,"")</f>
        <v/>
      </c>
      <c r="D207" s="437" t="str">
        <f>IF(('Oport-Pré'!D204)&gt;0,'Oport-Pré'!D204,"")</f>
        <v/>
      </c>
      <c r="E207" s="438"/>
      <c r="F207" s="306" t="str">
        <f>IF(('Oport-Pré'!F204)&gt;0,'Oport-Pré'!P204,"")</f>
        <v/>
      </c>
      <c r="G207" s="226"/>
      <c r="H207" s="227"/>
      <c r="I207" s="228">
        <v>0</v>
      </c>
      <c r="J207" s="129">
        <f>'Oport-Pré'!F204</f>
        <v>0</v>
      </c>
      <c r="K207" s="132">
        <f>'Oport-Pré'!O204</f>
        <v>0</v>
      </c>
      <c r="L207" s="229">
        <f t="shared" si="3"/>
        <v>0</v>
      </c>
      <c r="M207" s="226"/>
      <c r="N207" s="228">
        <v>0</v>
      </c>
      <c r="O207" s="228"/>
    </row>
    <row r="208" spans="1:15" ht="13">
      <c r="A208" s="126">
        <f>'Oport-Pré'!A205</f>
        <v>198</v>
      </c>
      <c r="B208" s="222" t="str">
        <f>IF(('Oport-Pré'!B205)&gt;0,'Oport-Pré'!B205,"")</f>
        <v/>
      </c>
      <c r="C208" s="223" t="str">
        <f>IF(('Oport-Pré'!C205)&gt;0,'Oport-Pré'!C205,"")</f>
        <v/>
      </c>
      <c r="D208" s="437" t="str">
        <f>IF(('Oport-Pré'!D205)&gt;0,'Oport-Pré'!D205,"")</f>
        <v/>
      </c>
      <c r="E208" s="438"/>
      <c r="F208" s="306" t="str">
        <f>IF(('Oport-Pré'!F205)&gt;0,'Oport-Pré'!P205,"")</f>
        <v/>
      </c>
      <c r="G208" s="226"/>
      <c r="H208" s="227"/>
      <c r="I208" s="228">
        <v>0</v>
      </c>
      <c r="J208" s="129">
        <f>'Oport-Pré'!F205</f>
        <v>0</v>
      </c>
      <c r="K208" s="132">
        <f>'Oport-Pré'!O205</f>
        <v>0</v>
      </c>
      <c r="L208" s="229">
        <f t="shared" si="3"/>
        <v>0</v>
      </c>
      <c r="M208" s="226"/>
      <c r="N208" s="228">
        <v>0</v>
      </c>
      <c r="O208" s="228"/>
    </row>
    <row r="209" spans="1:67" ht="13">
      <c r="A209" s="126">
        <f>'Oport-Pré'!A206</f>
        <v>199</v>
      </c>
      <c r="B209" s="222" t="str">
        <f>IF(('Oport-Pré'!B206)&gt;0,'Oport-Pré'!B206,"")</f>
        <v/>
      </c>
      <c r="C209" s="223" t="str">
        <f>IF(('Oport-Pré'!C206)&gt;0,'Oport-Pré'!C206,"")</f>
        <v/>
      </c>
      <c r="D209" s="437" t="str">
        <f>IF(('Oport-Pré'!D206)&gt;0,'Oport-Pré'!D206,"")</f>
        <v/>
      </c>
      <c r="E209" s="438"/>
      <c r="F209" s="306" t="str">
        <f>IF(('Oport-Pré'!F206)&gt;0,'Oport-Pré'!P206,"")</f>
        <v/>
      </c>
      <c r="G209" s="226"/>
      <c r="H209" s="227"/>
      <c r="I209" s="228">
        <v>0</v>
      </c>
      <c r="J209" s="129">
        <f>'Oport-Pré'!F206</f>
        <v>0</v>
      </c>
      <c r="K209" s="132">
        <f>'Oport-Pré'!O206</f>
        <v>0</v>
      </c>
      <c r="L209" s="229">
        <f t="shared" si="3"/>
        <v>0</v>
      </c>
      <c r="M209" s="226"/>
      <c r="N209" s="228">
        <v>0</v>
      </c>
      <c r="O209" s="228"/>
    </row>
    <row r="210" spans="1:67" ht="13">
      <c r="A210" s="126">
        <f>'Oport-Pré'!A207</f>
        <v>200</v>
      </c>
      <c r="B210" s="222" t="str">
        <f>IF(('Oport-Pré'!B207)&gt;0,'Oport-Pré'!B207,"")</f>
        <v/>
      </c>
      <c r="C210" s="223" t="str">
        <f>IF(('Oport-Pré'!C207)&gt;0,'Oport-Pré'!C207,"")</f>
        <v/>
      </c>
      <c r="D210" s="437" t="str">
        <f>IF(('Oport-Pré'!D207)&gt;0,'Oport-Pré'!D207,"")</f>
        <v/>
      </c>
      <c r="E210" s="438"/>
      <c r="F210" s="306" t="str">
        <f>IF(('Oport-Pré'!F207)&gt;0,'Oport-Pré'!P207,"")</f>
        <v/>
      </c>
      <c r="G210" s="226"/>
      <c r="H210" s="227"/>
      <c r="I210" s="228">
        <v>0</v>
      </c>
      <c r="J210" s="129">
        <f>'Oport-Pré'!F207</f>
        <v>0</v>
      </c>
      <c r="K210" s="132">
        <f>'Oport-Pré'!O207</f>
        <v>0</v>
      </c>
      <c r="L210" s="229">
        <f t="shared" si="3"/>
        <v>0</v>
      </c>
      <c r="M210" s="226"/>
      <c r="N210" s="228">
        <v>0</v>
      </c>
      <c r="O210" s="228"/>
    </row>
    <row r="211" spans="1:67">
      <c r="A211" s="98"/>
      <c r="B211" s="99"/>
      <c r="C211" s="98"/>
      <c r="D211" s="151"/>
      <c r="E211" s="151"/>
      <c r="F211" s="151"/>
      <c r="G211" s="98"/>
      <c r="H211" s="230"/>
      <c r="I211" s="98"/>
      <c r="J211" s="82"/>
      <c r="K211" s="82"/>
      <c r="L211" s="82"/>
      <c r="M211" s="98"/>
      <c r="N211" s="98"/>
      <c r="O211" s="98"/>
    </row>
    <row r="212" spans="1:67" s="12" customFormat="1">
      <c r="A212" s="7"/>
      <c r="B212" s="64"/>
      <c r="C212" s="7"/>
      <c r="D212" s="6"/>
      <c r="E212" s="6"/>
      <c r="F212" s="6"/>
      <c r="G212" s="7"/>
      <c r="H212" s="40"/>
      <c r="I212" s="7"/>
      <c r="J212" s="1"/>
      <c r="K212" s="1"/>
      <c r="L212" s="1"/>
      <c r="M212" s="7"/>
      <c r="N212" s="7"/>
      <c r="O212" s="7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</row>
    <row r="213" spans="1:67">
      <c r="J213" s="1"/>
      <c r="K213" s="1"/>
      <c r="L213" s="1"/>
    </row>
    <row r="214" spans="1:67">
      <c r="J214" s="1"/>
      <c r="K214" s="1"/>
      <c r="L214" s="1"/>
    </row>
    <row r="215" spans="1:67">
      <c r="J215" s="1"/>
      <c r="K215" s="1"/>
      <c r="L215" s="1"/>
    </row>
    <row r="216" spans="1:67">
      <c r="J216" s="1"/>
      <c r="K216" s="1"/>
      <c r="L216" s="1"/>
    </row>
    <row r="217" spans="1:67">
      <c r="J217" s="1"/>
      <c r="K217" s="1"/>
      <c r="L217" s="1"/>
    </row>
    <row r="218" spans="1:67">
      <c r="J218" s="1"/>
      <c r="K218" s="1"/>
      <c r="L218" s="1"/>
    </row>
    <row r="219" spans="1:67">
      <c r="J219" s="1"/>
      <c r="K219" s="1"/>
      <c r="L219" s="1"/>
    </row>
    <row r="220" spans="1:67">
      <c r="J220" s="1"/>
      <c r="K220" s="1"/>
      <c r="L220" s="1"/>
    </row>
    <row r="221" spans="1:67">
      <c r="J221" s="1"/>
      <c r="K221" s="1"/>
      <c r="L221" s="1"/>
    </row>
    <row r="222" spans="1:67">
      <c r="J222" s="1"/>
      <c r="K222" s="1"/>
      <c r="L222" s="1"/>
    </row>
    <row r="223" spans="1:67">
      <c r="J223" s="1"/>
      <c r="K223" s="1"/>
      <c r="L223" s="1"/>
    </row>
    <row r="224" spans="1:67">
      <c r="J224" s="1"/>
      <c r="K224" s="1"/>
      <c r="L224" s="1"/>
    </row>
    <row r="225" spans="10:12">
      <c r="J225" s="1"/>
      <c r="K225" s="1"/>
      <c r="L225" s="1"/>
    </row>
    <row r="226" spans="10:12">
      <c r="J226" s="1"/>
      <c r="K226" s="1"/>
      <c r="L226" s="1"/>
    </row>
    <row r="227" spans="10:12">
      <c r="J227" s="1"/>
      <c r="K227" s="1"/>
      <c r="L227" s="1"/>
    </row>
    <row r="228" spans="10:12">
      <c r="J228" s="1"/>
      <c r="K228" s="1"/>
      <c r="L228" s="1"/>
    </row>
    <row r="229" spans="10:12">
      <c r="J229" s="1"/>
      <c r="K229" s="1"/>
      <c r="L229" s="1"/>
    </row>
    <row r="230" spans="10:12">
      <c r="J230" s="1"/>
      <c r="K230" s="1"/>
      <c r="L230" s="1"/>
    </row>
    <row r="231" spans="10:12">
      <c r="J231" s="1"/>
      <c r="K231" s="1"/>
      <c r="L231" s="1"/>
    </row>
    <row r="232" spans="10:12">
      <c r="J232" s="1"/>
      <c r="K232" s="1"/>
      <c r="L232" s="1"/>
    </row>
    <row r="233" spans="10:12">
      <c r="J233" s="1"/>
      <c r="K233" s="1"/>
      <c r="L233" s="1"/>
    </row>
    <row r="234" spans="10:12">
      <c r="J234" s="1"/>
      <c r="K234" s="1"/>
      <c r="L234" s="1"/>
    </row>
    <row r="235" spans="10:12">
      <c r="J235" s="1"/>
      <c r="K235" s="1"/>
      <c r="L235" s="1"/>
    </row>
    <row r="236" spans="10:12">
      <c r="J236" s="1"/>
      <c r="K236" s="1"/>
      <c r="L236" s="1"/>
    </row>
    <row r="237" spans="10:12">
      <c r="J237" s="1"/>
      <c r="K237" s="1"/>
      <c r="L237" s="1"/>
    </row>
    <row r="238" spans="10:12">
      <c r="J238" s="1"/>
      <c r="K238" s="1"/>
      <c r="L238" s="1"/>
    </row>
    <row r="239" spans="10:12">
      <c r="J239" s="1"/>
      <c r="K239" s="1"/>
      <c r="L239" s="1"/>
    </row>
    <row r="240" spans="10:12">
      <c r="J240" s="1"/>
      <c r="K240" s="1"/>
      <c r="L240" s="1"/>
    </row>
    <row r="241" spans="10:12">
      <c r="J241" s="1"/>
      <c r="K241" s="1"/>
      <c r="L241" s="1"/>
    </row>
    <row r="242" spans="10:12">
      <c r="J242" s="1"/>
      <c r="K242" s="1"/>
      <c r="L242" s="1"/>
    </row>
    <row r="243" spans="10:12">
      <c r="J243" s="1"/>
      <c r="K243" s="1"/>
      <c r="L243" s="1"/>
    </row>
    <row r="244" spans="10:12">
      <c r="J244" s="1"/>
      <c r="K244" s="1"/>
      <c r="L244" s="1"/>
    </row>
    <row r="245" spans="10:12">
      <c r="J245" s="1"/>
      <c r="K245" s="1"/>
      <c r="L245" s="1"/>
    </row>
    <row r="246" spans="10:12">
      <c r="J246" s="1"/>
      <c r="K246" s="1"/>
      <c r="L246" s="1"/>
    </row>
    <row r="247" spans="10:12">
      <c r="J247" s="1"/>
      <c r="K247" s="1"/>
      <c r="L247" s="1"/>
    </row>
    <row r="248" spans="10:12">
      <c r="J248" s="1"/>
      <c r="K248" s="1"/>
      <c r="L248" s="1"/>
    </row>
    <row r="249" spans="10:12">
      <c r="J249" s="1"/>
      <c r="K249" s="1"/>
      <c r="L249" s="1"/>
    </row>
    <row r="250" spans="10:12">
      <c r="J250" s="1"/>
      <c r="K250" s="1"/>
      <c r="L250" s="1"/>
    </row>
    <row r="251" spans="10:12">
      <c r="J251" s="1"/>
      <c r="K251" s="1"/>
      <c r="L251" s="1"/>
    </row>
    <row r="252" spans="10:12">
      <c r="J252" s="1"/>
      <c r="K252" s="1"/>
      <c r="L252" s="1"/>
    </row>
    <row r="253" spans="10:12">
      <c r="J253" s="1"/>
      <c r="K253" s="1"/>
      <c r="L253" s="1"/>
    </row>
    <row r="254" spans="10:12">
      <c r="J254" s="1"/>
      <c r="K254" s="1"/>
      <c r="L254" s="1"/>
    </row>
    <row r="255" spans="10:12">
      <c r="J255" s="1"/>
      <c r="K255" s="1"/>
      <c r="L255" s="1"/>
    </row>
    <row r="256" spans="10:12">
      <c r="J256" s="1"/>
      <c r="K256" s="1"/>
      <c r="L256" s="1"/>
    </row>
    <row r="257" spans="10:12">
      <c r="J257" s="1"/>
      <c r="K257" s="1"/>
      <c r="L257" s="1"/>
    </row>
    <row r="258" spans="10:12">
      <c r="J258" s="1"/>
      <c r="K258" s="1"/>
      <c r="L258" s="1"/>
    </row>
    <row r="259" spans="10:12">
      <c r="J259" s="1"/>
      <c r="K259" s="1"/>
      <c r="L259" s="1"/>
    </row>
    <row r="260" spans="10:12">
      <c r="J260" s="1"/>
      <c r="K260" s="1"/>
      <c r="L260" s="1"/>
    </row>
    <row r="261" spans="10:12">
      <c r="J261" s="1"/>
      <c r="K261" s="1"/>
      <c r="L261" s="1"/>
    </row>
    <row r="262" spans="10:12">
      <c r="J262" s="1"/>
      <c r="K262" s="1"/>
      <c r="L262" s="1"/>
    </row>
    <row r="263" spans="10:12">
      <c r="J263" s="1"/>
      <c r="K263" s="1"/>
      <c r="L263" s="1"/>
    </row>
    <row r="264" spans="10:12">
      <c r="J264" s="1"/>
      <c r="K264" s="1"/>
      <c r="L264" s="1"/>
    </row>
    <row r="265" spans="10:12">
      <c r="J265" s="1"/>
      <c r="K265" s="1"/>
      <c r="L265" s="1"/>
    </row>
    <row r="266" spans="10:12">
      <c r="J266" s="1"/>
      <c r="K266" s="1"/>
      <c r="L266" s="1"/>
    </row>
    <row r="267" spans="10:12">
      <c r="J267" s="1"/>
      <c r="K267" s="1"/>
      <c r="L267" s="1"/>
    </row>
    <row r="268" spans="10:12">
      <c r="J268" s="1"/>
      <c r="K268" s="1"/>
      <c r="L268" s="1"/>
    </row>
    <row r="269" spans="10:12">
      <c r="J269" s="1"/>
      <c r="K269" s="1"/>
      <c r="L269" s="1"/>
    </row>
    <row r="270" spans="10:12">
      <c r="J270" s="1"/>
      <c r="K270" s="1"/>
      <c r="L270" s="1"/>
    </row>
    <row r="271" spans="10:12">
      <c r="J271" s="1"/>
      <c r="K271" s="1"/>
      <c r="L271" s="1"/>
    </row>
    <row r="272" spans="10:12">
      <c r="J272" s="1"/>
      <c r="K272" s="1"/>
      <c r="L272" s="1"/>
    </row>
    <row r="273" spans="10:12">
      <c r="J273" s="1"/>
      <c r="K273" s="1"/>
      <c r="L273" s="1"/>
    </row>
    <row r="274" spans="10:12">
      <c r="J274" s="1"/>
      <c r="K274" s="1"/>
      <c r="L274" s="1"/>
    </row>
    <row r="275" spans="10:12">
      <c r="J275" s="1"/>
      <c r="K275" s="1"/>
      <c r="L275" s="1"/>
    </row>
    <row r="276" spans="10:12">
      <c r="J276" s="1"/>
      <c r="K276" s="1"/>
      <c r="L276" s="1"/>
    </row>
    <row r="277" spans="10:12">
      <c r="J277" s="1"/>
      <c r="K277" s="1"/>
      <c r="L277" s="1"/>
    </row>
    <row r="278" spans="10:12">
      <c r="J278" s="1"/>
      <c r="K278" s="1"/>
      <c r="L278" s="1"/>
    </row>
    <row r="279" spans="10:12">
      <c r="J279" s="1"/>
      <c r="K279" s="1"/>
      <c r="L279" s="1"/>
    </row>
    <row r="280" spans="10:12">
      <c r="J280" s="1"/>
      <c r="K280" s="1"/>
      <c r="L280" s="1"/>
    </row>
    <row r="281" spans="10:12">
      <c r="J281" s="1"/>
      <c r="K281" s="1"/>
      <c r="L281" s="1"/>
    </row>
    <row r="282" spans="10:12">
      <c r="J282" s="1"/>
      <c r="K282" s="1"/>
      <c r="L282" s="1"/>
    </row>
    <row r="283" spans="10:12">
      <c r="J283" s="1"/>
      <c r="K283" s="1"/>
      <c r="L283" s="1"/>
    </row>
    <row r="284" spans="10:12">
      <c r="J284" s="1"/>
      <c r="K284" s="1"/>
      <c r="L284" s="1"/>
    </row>
    <row r="285" spans="10:12">
      <c r="J285" s="1"/>
      <c r="K285" s="1"/>
      <c r="L285" s="1"/>
    </row>
    <row r="286" spans="10:12">
      <c r="J286" s="1"/>
      <c r="K286" s="1"/>
      <c r="L286" s="1"/>
    </row>
    <row r="287" spans="10:12">
      <c r="J287" s="1"/>
      <c r="K287" s="1"/>
      <c r="L287" s="1"/>
    </row>
    <row r="288" spans="10:12">
      <c r="J288" s="1"/>
      <c r="K288" s="1"/>
      <c r="L288" s="1"/>
    </row>
    <row r="289" spans="10:12">
      <c r="J289" s="1"/>
      <c r="K289" s="1"/>
      <c r="L289" s="1"/>
    </row>
    <row r="290" spans="10:12">
      <c r="J290" s="1"/>
      <c r="K290" s="1"/>
      <c r="L290" s="1"/>
    </row>
    <row r="291" spans="10:12">
      <c r="J291" s="1"/>
      <c r="K291" s="1"/>
      <c r="L291" s="1"/>
    </row>
    <row r="292" spans="10:12">
      <c r="J292" s="1"/>
      <c r="K292" s="1"/>
      <c r="L292" s="1"/>
    </row>
    <row r="293" spans="10:12">
      <c r="J293" s="1"/>
      <c r="K293" s="1"/>
      <c r="L293" s="1"/>
    </row>
    <row r="294" spans="10:12">
      <c r="J294" s="1"/>
      <c r="K294" s="1"/>
      <c r="L294" s="1"/>
    </row>
    <row r="295" spans="10:12">
      <c r="J295" s="1"/>
      <c r="K295" s="1"/>
      <c r="L295" s="1"/>
    </row>
    <row r="296" spans="10:12">
      <c r="J296" s="1"/>
      <c r="K296" s="1"/>
      <c r="L296" s="1"/>
    </row>
    <row r="297" spans="10:12">
      <c r="J297" s="1"/>
      <c r="K297" s="1"/>
      <c r="L297" s="1"/>
    </row>
    <row r="298" spans="10:12">
      <c r="J298" s="1"/>
      <c r="K298" s="1"/>
      <c r="L298" s="1"/>
    </row>
    <row r="299" spans="10:12">
      <c r="J299" s="1"/>
      <c r="K299" s="1"/>
      <c r="L299" s="1"/>
    </row>
    <row r="300" spans="10:12">
      <c r="J300" s="1"/>
      <c r="K300" s="1"/>
      <c r="L300" s="1"/>
    </row>
    <row r="301" spans="10:12">
      <c r="J301" s="1"/>
      <c r="K301" s="1"/>
      <c r="L301" s="1"/>
    </row>
    <row r="302" spans="10:12">
      <c r="J302" s="1"/>
      <c r="K302" s="1"/>
      <c r="L302" s="1"/>
    </row>
    <row r="303" spans="10:12">
      <c r="J303" s="1"/>
      <c r="K303" s="1"/>
      <c r="L303" s="1"/>
    </row>
    <row r="304" spans="10:12">
      <c r="J304" s="1"/>
      <c r="K304" s="1"/>
      <c r="L304" s="1"/>
    </row>
    <row r="305" spans="10:12">
      <c r="J305" s="1"/>
      <c r="K305" s="1"/>
      <c r="L305" s="1"/>
    </row>
    <row r="306" spans="10:12">
      <c r="J306" s="1"/>
      <c r="K306" s="1"/>
      <c r="L306" s="1"/>
    </row>
    <row r="307" spans="10:12">
      <c r="J307" s="1"/>
      <c r="K307" s="1"/>
      <c r="L307" s="1"/>
    </row>
    <row r="308" spans="10:12">
      <c r="J308" s="1"/>
      <c r="K308" s="1"/>
      <c r="L308" s="1"/>
    </row>
    <row r="309" spans="10:12">
      <c r="J309" s="1"/>
      <c r="K309" s="1"/>
      <c r="L309" s="1"/>
    </row>
    <row r="310" spans="10:12">
      <c r="J310" s="1"/>
      <c r="K310" s="1"/>
      <c r="L310" s="1"/>
    </row>
    <row r="311" spans="10:12">
      <c r="J311" s="1"/>
      <c r="K311" s="1"/>
      <c r="L311" s="1"/>
    </row>
    <row r="312" spans="10:12">
      <c r="J312" s="1"/>
      <c r="K312" s="1"/>
      <c r="L312" s="1"/>
    </row>
    <row r="313" spans="10:12">
      <c r="J313" s="1"/>
      <c r="K313" s="1"/>
      <c r="L313" s="1"/>
    </row>
    <row r="314" spans="10:12">
      <c r="J314" s="1"/>
      <c r="K314" s="1"/>
      <c r="L314" s="1"/>
    </row>
    <row r="315" spans="10:12">
      <c r="J315" s="1"/>
      <c r="K315" s="1"/>
      <c r="L315" s="1"/>
    </row>
    <row r="316" spans="10:12">
      <c r="J316" s="1"/>
      <c r="K316" s="1"/>
      <c r="L316" s="1"/>
    </row>
    <row r="317" spans="10:12">
      <c r="J317" s="1"/>
      <c r="K317" s="1"/>
      <c r="L317" s="1"/>
    </row>
    <row r="318" spans="10:12">
      <c r="J318" s="1"/>
      <c r="K318" s="1"/>
      <c r="L318" s="1"/>
    </row>
    <row r="319" spans="10:12">
      <c r="J319" s="1"/>
      <c r="K319" s="1"/>
      <c r="L319" s="1"/>
    </row>
    <row r="320" spans="10:12">
      <c r="J320" s="1"/>
      <c r="K320" s="1"/>
      <c r="L320" s="1"/>
    </row>
    <row r="321" spans="10:12">
      <c r="J321" s="1"/>
      <c r="K321" s="1"/>
      <c r="L321" s="1"/>
    </row>
    <row r="322" spans="10:12">
      <c r="J322" s="1"/>
      <c r="K322" s="1"/>
      <c r="L322" s="1"/>
    </row>
    <row r="323" spans="10:12">
      <c r="J323" s="1"/>
      <c r="K323" s="1"/>
      <c r="L323" s="1"/>
    </row>
    <row r="324" spans="10:12">
      <c r="J324" s="1"/>
      <c r="K324" s="1"/>
      <c r="L324" s="1"/>
    </row>
    <row r="325" spans="10:12">
      <c r="J325" s="1"/>
      <c r="K325" s="1"/>
      <c r="L325" s="1"/>
    </row>
    <row r="326" spans="10:12">
      <c r="J326" s="1"/>
      <c r="K326" s="1"/>
      <c r="L326" s="1"/>
    </row>
    <row r="327" spans="10:12">
      <c r="J327" s="1"/>
      <c r="K327" s="1"/>
      <c r="L327" s="1"/>
    </row>
    <row r="328" spans="10:12">
      <c r="J328" s="1"/>
      <c r="K328" s="1"/>
      <c r="L328" s="1"/>
    </row>
    <row r="329" spans="10:12">
      <c r="J329" s="1"/>
      <c r="K329" s="1"/>
      <c r="L329" s="1"/>
    </row>
    <row r="330" spans="10:12">
      <c r="J330" s="1"/>
      <c r="K330" s="1"/>
      <c r="L330" s="1"/>
    </row>
    <row r="331" spans="10:12">
      <c r="J331" s="1"/>
      <c r="K331" s="1"/>
      <c r="L331" s="1"/>
    </row>
    <row r="332" spans="10:12">
      <c r="J332" s="1"/>
      <c r="K332" s="1"/>
      <c r="L332" s="1"/>
    </row>
    <row r="333" spans="10:12">
      <c r="J333" s="1"/>
      <c r="K333" s="1"/>
      <c r="L333" s="1"/>
    </row>
    <row r="334" spans="10:12">
      <c r="J334" s="1"/>
      <c r="K334" s="1"/>
      <c r="L334" s="1"/>
    </row>
    <row r="335" spans="10:12">
      <c r="J335" s="1"/>
      <c r="K335" s="1"/>
      <c r="L335" s="1"/>
    </row>
    <row r="336" spans="10:12">
      <c r="J336" s="1"/>
      <c r="K336" s="1"/>
      <c r="L336" s="1"/>
    </row>
    <row r="337" spans="10:12">
      <c r="J337" s="1"/>
      <c r="K337" s="1"/>
      <c r="L337" s="1"/>
    </row>
    <row r="338" spans="10:12">
      <c r="J338" s="1"/>
      <c r="K338" s="1"/>
      <c r="L338" s="1"/>
    </row>
    <row r="339" spans="10:12">
      <c r="J339" s="1"/>
      <c r="K339" s="1"/>
      <c r="L339" s="1"/>
    </row>
    <row r="340" spans="10:12">
      <c r="J340" s="1"/>
      <c r="K340" s="1"/>
      <c r="L340" s="1"/>
    </row>
    <row r="341" spans="10:12">
      <c r="J341" s="1"/>
      <c r="K341" s="1"/>
      <c r="L341" s="1"/>
    </row>
    <row r="342" spans="10:12">
      <c r="J342" s="1"/>
      <c r="K342" s="1"/>
      <c r="L342" s="1"/>
    </row>
    <row r="343" spans="10:12">
      <c r="J343" s="1"/>
      <c r="K343" s="1"/>
      <c r="L343" s="1"/>
    </row>
    <row r="344" spans="10:12">
      <c r="J344" s="1"/>
      <c r="K344" s="1"/>
      <c r="L344" s="1"/>
    </row>
    <row r="345" spans="10:12">
      <c r="J345" s="1"/>
      <c r="K345" s="1"/>
      <c r="L345" s="1"/>
    </row>
    <row r="346" spans="10:12">
      <c r="J346" s="1"/>
      <c r="K346" s="1"/>
      <c r="L346" s="1"/>
    </row>
    <row r="347" spans="10:12">
      <c r="J347" s="1"/>
      <c r="K347" s="1"/>
      <c r="L347" s="1"/>
    </row>
    <row r="348" spans="10:12">
      <c r="J348" s="1"/>
      <c r="K348" s="1"/>
      <c r="L348" s="1"/>
    </row>
    <row r="349" spans="10:12">
      <c r="J349" s="1"/>
      <c r="K349" s="1"/>
      <c r="L349" s="1"/>
    </row>
    <row r="350" spans="10:12">
      <c r="J350" s="1"/>
      <c r="K350" s="1"/>
      <c r="L350" s="1"/>
    </row>
    <row r="351" spans="10:12">
      <c r="J351" s="1"/>
      <c r="K351" s="1"/>
      <c r="L351" s="1"/>
    </row>
    <row r="352" spans="10:12">
      <c r="J352" s="1"/>
      <c r="K352" s="1"/>
      <c r="L352" s="1"/>
    </row>
    <row r="353" spans="10:12">
      <c r="J353" s="1"/>
      <c r="K353" s="1"/>
      <c r="L353" s="1"/>
    </row>
    <row r="354" spans="10:12">
      <c r="J354" s="1"/>
      <c r="K354" s="1"/>
      <c r="L354" s="1"/>
    </row>
    <row r="355" spans="10:12">
      <c r="J355" s="1"/>
      <c r="K355" s="1"/>
      <c r="L355" s="1"/>
    </row>
    <row r="356" spans="10:12">
      <c r="J356" s="1"/>
      <c r="K356" s="1"/>
      <c r="L356" s="1"/>
    </row>
    <row r="357" spans="10:12">
      <c r="J357" s="1"/>
      <c r="K357" s="1"/>
      <c r="L357" s="1"/>
    </row>
    <row r="358" spans="10:12">
      <c r="J358" s="1"/>
      <c r="K358" s="1"/>
      <c r="L358" s="1"/>
    </row>
    <row r="359" spans="10:12">
      <c r="J359" s="1"/>
      <c r="K359" s="1"/>
      <c r="L359" s="1"/>
    </row>
    <row r="360" spans="10:12">
      <c r="J360" s="1"/>
      <c r="K360" s="1"/>
      <c r="L360" s="1"/>
    </row>
    <row r="361" spans="10:12">
      <c r="J361" s="1"/>
      <c r="K361" s="1"/>
      <c r="L361" s="1"/>
    </row>
    <row r="362" spans="10:12">
      <c r="J362" s="1"/>
      <c r="K362" s="1"/>
      <c r="L362" s="1"/>
    </row>
    <row r="363" spans="10:12">
      <c r="J363" s="1"/>
      <c r="K363" s="1"/>
      <c r="L363" s="1"/>
    </row>
    <row r="364" spans="10:12">
      <c r="J364" s="1"/>
      <c r="K364" s="1"/>
      <c r="L364" s="1"/>
    </row>
    <row r="365" spans="10:12">
      <c r="J365" s="1"/>
      <c r="K365" s="1"/>
      <c r="L365" s="1"/>
    </row>
    <row r="366" spans="10:12">
      <c r="J366" s="1"/>
      <c r="K366" s="1"/>
      <c r="L366" s="1"/>
    </row>
    <row r="367" spans="10:12">
      <c r="J367" s="1"/>
      <c r="K367" s="1"/>
      <c r="L367" s="1"/>
    </row>
    <row r="368" spans="10:12">
      <c r="J368" s="1"/>
      <c r="K368" s="1"/>
      <c r="L368" s="1"/>
    </row>
    <row r="369" spans="10:12">
      <c r="J369" s="1"/>
      <c r="K369" s="1"/>
      <c r="L369" s="1"/>
    </row>
    <row r="370" spans="10:12">
      <c r="J370" s="1"/>
      <c r="K370" s="1"/>
      <c r="L370" s="1"/>
    </row>
    <row r="371" spans="10:12">
      <c r="J371" s="1"/>
      <c r="K371" s="1"/>
      <c r="L371" s="1"/>
    </row>
    <row r="372" spans="10:12">
      <c r="J372" s="1"/>
      <c r="K372" s="1"/>
      <c r="L372" s="1"/>
    </row>
    <row r="373" spans="10:12">
      <c r="J373" s="1"/>
      <c r="K373" s="1"/>
      <c r="L373" s="1"/>
    </row>
    <row r="374" spans="10:12">
      <c r="J374" s="1"/>
      <c r="K374" s="1"/>
      <c r="L374" s="1"/>
    </row>
    <row r="375" spans="10:12">
      <c r="J375" s="1"/>
      <c r="K375" s="1"/>
      <c r="L375" s="1"/>
    </row>
    <row r="376" spans="10:12">
      <c r="J376" s="1"/>
      <c r="K376" s="1"/>
      <c r="L376" s="1"/>
    </row>
    <row r="377" spans="10:12">
      <c r="J377" s="1"/>
      <c r="K377" s="1"/>
      <c r="L377" s="1"/>
    </row>
    <row r="378" spans="10:12">
      <c r="J378" s="1"/>
      <c r="K378" s="1"/>
      <c r="L378" s="1"/>
    </row>
    <row r="379" spans="10:12">
      <c r="J379" s="1"/>
      <c r="K379" s="1"/>
      <c r="L379" s="1"/>
    </row>
    <row r="380" spans="10:12">
      <c r="J380" s="1"/>
      <c r="K380" s="1"/>
      <c r="L380" s="1"/>
    </row>
    <row r="381" spans="10:12">
      <c r="J381" s="1"/>
      <c r="K381" s="1"/>
      <c r="L381" s="1"/>
    </row>
    <row r="382" spans="10:12">
      <c r="J382" s="1"/>
      <c r="K382" s="1"/>
      <c r="L382" s="1"/>
    </row>
    <row r="383" spans="10:12">
      <c r="J383" s="1"/>
      <c r="K383" s="1"/>
      <c r="L383" s="1"/>
    </row>
    <row r="384" spans="10:12">
      <c r="J384" s="1"/>
      <c r="K384" s="1"/>
      <c r="L384" s="1"/>
    </row>
    <row r="385" spans="10:12">
      <c r="J385" s="1"/>
      <c r="K385" s="1"/>
      <c r="L385" s="1"/>
    </row>
    <row r="386" spans="10:12">
      <c r="J386" s="1"/>
      <c r="K386" s="1"/>
      <c r="L386" s="1"/>
    </row>
    <row r="387" spans="10:12">
      <c r="J387" s="1"/>
      <c r="K387" s="1"/>
      <c r="L387" s="1"/>
    </row>
    <row r="388" spans="10:12">
      <c r="J388" s="1"/>
      <c r="K388" s="1"/>
      <c r="L388" s="1"/>
    </row>
    <row r="389" spans="10:12">
      <c r="J389" s="1"/>
      <c r="K389" s="1"/>
      <c r="L389" s="1"/>
    </row>
    <row r="390" spans="10:12">
      <c r="J390" s="1"/>
      <c r="K390" s="1"/>
      <c r="L390" s="1"/>
    </row>
    <row r="391" spans="10:12">
      <c r="J391" s="1"/>
      <c r="K391" s="1"/>
      <c r="L391" s="1"/>
    </row>
    <row r="392" spans="10:12">
      <c r="J392" s="1"/>
      <c r="K392" s="1"/>
      <c r="L392" s="1"/>
    </row>
    <row r="393" spans="10:12">
      <c r="J393" s="1"/>
      <c r="K393" s="1"/>
      <c r="L393" s="1"/>
    </row>
    <row r="394" spans="10:12">
      <c r="J394" s="1"/>
      <c r="K394" s="1"/>
      <c r="L394" s="1"/>
    </row>
    <row r="395" spans="10:12">
      <c r="J395" s="1"/>
      <c r="K395" s="1"/>
      <c r="L395" s="1"/>
    </row>
    <row r="396" spans="10:12">
      <c r="J396" s="1"/>
      <c r="K396" s="1"/>
      <c r="L396" s="1"/>
    </row>
    <row r="397" spans="10:12">
      <c r="J397" s="1"/>
      <c r="K397" s="1"/>
      <c r="L397" s="1"/>
    </row>
    <row r="398" spans="10:12">
      <c r="J398" s="1"/>
      <c r="K398" s="1"/>
      <c r="L398" s="1"/>
    </row>
    <row r="399" spans="10:12">
      <c r="J399" s="1"/>
      <c r="K399" s="1"/>
      <c r="L399" s="1"/>
    </row>
    <row r="400" spans="10:12">
      <c r="J400" s="1"/>
      <c r="K400" s="1"/>
      <c r="L400" s="1"/>
    </row>
    <row r="401" spans="10:12">
      <c r="J401" s="1"/>
      <c r="K401" s="1"/>
      <c r="L401" s="1"/>
    </row>
    <row r="402" spans="10:12">
      <c r="J402" s="1"/>
      <c r="K402" s="1"/>
      <c r="L402" s="1"/>
    </row>
    <row r="403" spans="10:12">
      <c r="J403" s="1"/>
      <c r="K403" s="1"/>
      <c r="L403" s="1"/>
    </row>
    <row r="404" spans="10:12">
      <c r="J404" s="1"/>
      <c r="K404" s="1"/>
      <c r="L404" s="1"/>
    </row>
    <row r="405" spans="10:12">
      <c r="J405" s="1"/>
      <c r="K405" s="1"/>
      <c r="L405" s="1"/>
    </row>
    <row r="406" spans="10:12">
      <c r="J406" s="1"/>
      <c r="K406" s="1"/>
      <c r="L406" s="1"/>
    </row>
    <row r="407" spans="10:12">
      <c r="J407" s="1"/>
      <c r="K407" s="1"/>
      <c r="L407" s="1"/>
    </row>
    <row r="408" spans="10:12">
      <c r="J408" s="1"/>
      <c r="K408" s="1"/>
      <c r="L408" s="1"/>
    </row>
    <row r="409" spans="10:12">
      <c r="J409" s="1"/>
      <c r="K409" s="1"/>
      <c r="L409" s="1"/>
    </row>
    <row r="410" spans="10:12">
      <c r="J410" s="1"/>
      <c r="K410" s="1"/>
      <c r="L410" s="1"/>
    </row>
    <row r="411" spans="10:12">
      <c r="J411" s="1"/>
      <c r="K411" s="1"/>
      <c r="L411" s="1"/>
    </row>
    <row r="412" spans="10:12">
      <c r="J412" s="1"/>
      <c r="K412" s="1"/>
      <c r="L412" s="1"/>
    </row>
    <row r="413" spans="10:12">
      <c r="J413" s="1"/>
      <c r="K413" s="1"/>
      <c r="L413" s="1"/>
    </row>
    <row r="414" spans="10:12">
      <c r="J414" s="1"/>
      <c r="K414" s="1"/>
      <c r="L414" s="1"/>
    </row>
    <row r="415" spans="10:12">
      <c r="J415" s="1"/>
      <c r="K415" s="1"/>
      <c r="L415" s="1"/>
    </row>
    <row r="416" spans="10:12">
      <c r="J416" s="1"/>
      <c r="K416" s="1"/>
      <c r="L416" s="1"/>
    </row>
    <row r="417" spans="10:12">
      <c r="J417" s="1"/>
      <c r="K417" s="1"/>
      <c r="L417" s="1"/>
    </row>
    <row r="418" spans="10:12">
      <c r="J418" s="1"/>
      <c r="K418" s="1"/>
      <c r="L418" s="1"/>
    </row>
    <row r="419" spans="10:12">
      <c r="J419" s="1"/>
      <c r="K419" s="1"/>
      <c r="L419" s="1"/>
    </row>
    <row r="420" spans="10:12">
      <c r="J420" s="1"/>
      <c r="K420" s="1"/>
      <c r="L420" s="1"/>
    </row>
    <row r="421" spans="10:12">
      <c r="J421" s="1"/>
      <c r="K421" s="1"/>
      <c r="L421" s="1"/>
    </row>
    <row r="422" spans="10:12">
      <c r="J422" s="1"/>
      <c r="K422" s="1"/>
      <c r="L422" s="1"/>
    </row>
    <row r="423" spans="10:12">
      <c r="J423" s="1"/>
      <c r="K423" s="1"/>
      <c r="L423" s="1"/>
    </row>
    <row r="424" spans="10:12">
      <c r="J424" s="1"/>
      <c r="K424" s="1"/>
      <c r="L424" s="1"/>
    </row>
    <row r="425" spans="10:12">
      <c r="J425" s="1"/>
      <c r="K425" s="1"/>
      <c r="L425" s="1"/>
    </row>
    <row r="426" spans="10:12">
      <c r="J426" s="1"/>
      <c r="K426" s="1"/>
      <c r="L426" s="1"/>
    </row>
    <row r="427" spans="10:12">
      <c r="J427" s="1"/>
      <c r="K427" s="1"/>
      <c r="L427" s="1"/>
    </row>
    <row r="428" spans="10:12">
      <c r="J428" s="1"/>
      <c r="K428" s="1"/>
      <c r="L428" s="1"/>
    </row>
    <row r="429" spans="10:12">
      <c r="J429" s="1"/>
      <c r="K429" s="1"/>
      <c r="L429" s="1"/>
    </row>
    <row r="430" spans="10:12">
      <c r="J430" s="1"/>
      <c r="K430" s="1"/>
      <c r="L430" s="1"/>
    </row>
    <row r="431" spans="10:12">
      <c r="J431" s="1"/>
      <c r="K431" s="1"/>
      <c r="L431" s="1"/>
    </row>
    <row r="432" spans="10:12">
      <c r="J432" s="1"/>
      <c r="K432" s="1"/>
      <c r="L432" s="1"/>
    </row>
    <row r="433" spans="10:12">
      <c r="J433" s="1"/>
      <c r="K433" s="1"/>
      <c r="L433" s="1"/>
    </row>
    <row r="434" spans="10:12">
      <c r="J434" s="1"/>
      <c r="K434" s="1"/>
      <c r="L434" s="1"/>
    </row>
    <row r="435" spans="10:12">
      <c r="J435" s="1"/>
      <c r="K435" s="1"/>
      <c r="L435" s="1"/>
    </row>
    <row r="436" spans="10:12">
      <c r="J436" s="1"/>
      <c r="K436" s="1"/>
      <c r="L436" s="1"/>
    </row>
    <row r="437" spans="10:12">
      <c r="J437" s="1"/>
      <c r="K437" s="1"/>
      <c r="L437" s="1"/>
    </row>
    <row r="438" spans="10:12">
      <c r="J438" s="1"/>
      <c r="K438" s="1"/>
      <c r="L438" s="1"/>
    </row>
    <row r="439" spans="10:12">
      <c r="J439" s="1"/>
      <c r="K439" s="1"/>
      <c r="L439" s="1"/>
    </row>
    <row r="440" spans="10:12">
      <c r="J440" s="1"/>
      <c r="K440" s="1"/>
      <c r="L440" s="1"/>
    </row>
    <row r="441" spans="10:12">
      <c r="J441" s="1"/>
      <c r="K441" s="1"/>
      <c r="L441" s="1"/>
    </row>
    <row r="442" spans="10:12">
      <c r="J442" s="1"/>
      <c r="K442" s="1"/>
      <c r="L442" s="1"/>
    </row>
    <row r="443" spans="10:12">
      <c r="J443" s="1"/>
      <c r="K443" s="1"/>
      <c r="L443" s="1"/>
    </row>
    <row r="444" spans="10:12">
      <c r="J444" s="1"/>
      <c r="K444" s="1"/>
      <c r="L444" s="1"/>
    </row>
    <row r="445" spans="10:12">
      <c r="J445" s="1"/>
      <c r="K445" s="1"/>
      <c r="L445" s="1"/>
    </row>
    <row r="446" spans="10:12">
      <c r="J446" s="1"/>
      <c r="K446" s="1"/>
      <c r="L446" s="1"/>
    </row>
    <row r="447" spans="10:12">
      <c r="J447" s="1"/>
      <c r="K447" s="1"/>
      <c r="L447" s="1"/>
    </row>
    <row r="448" spans="10:12">
      <c r="J448" s="1"/>
      <c r="K448" s="1"/>
      <c r="L448" s="1"/>
    </row>
    <row r="449" spans="10:12">
      <c r="J449" s="1"/>
      <c r="K449" s="1"/>
      <c r="L449" s="1"/>
    </row>
    <row r="450" spans="10:12">
      <c r="J450" s="1"/>
      <c r="K450" s="1"/>
      <c r="L450" s="1"/>
    </row>
    <row r="451" spans="10:12">
      <c r="J451" s="1"/>
      <c r="K451" s="1"/>
      <c r="L451" s="1"/>
    </row>
    <row r="452" spans="10:12">
      <c r="J452" s="1"/>
      <c r="K452" s="1"/>
      <c r="L452" s="1"/>
    </row>
    <row r="453" spans="10:12">
      <c r="J453" s="1"/>
      <c r="K453" s="1"/>
      <c r="L453" s="1"/>
    </row>
    <row r="454" spans="10:12">
      <c r="J454" s="1"/>
      <c r="K454" s="1"/>
      <c r="L454" s="1"/>
    </row>
    <row r="455" spans="10:12">
      <c r="J455" s="1"/>
      <c r="K455" s="1"/>
      <c r="L455" s="1"/>
    </row>
    <row r="456" spans="10:12">
      <c r="J456" s="1"/>
      <c r="K456" s="1"/>
      <c r="L456" s="1"/>
    </row>
    <row r="457" spans="10:12">
      <c r="J457" s="1"/>
      <c r="K457" s="1"/>
      <c r="L457" s="1"/>
    </row>
    <row r="458" spans="10:12">
      <c r="J458" s="1"/>
      <c r="K458" s="1"/>
      <c r="L458" s="1"/>
    </row>
    <row r="459" spans="10:12">
      <c r="J459" s="1"/>
      <c r="K459" s="1"/>
      <c r="L459" s="1"/>
    </row>
    <row r="460" spans="10:12">
      <c r="J460" s="1"/>
      <c r="K460" s="1"/>
      <c r="L460" s="1"/>
    </row>
    <row r="461" spans="10:12">
      <c r="J461" s="1"/>
      <c r="K461" s="1"/>
      <c r="L461" s="1"/>
    </row>
    <row r="462" spans="10:12">
      <c r="J462" s="1"/>
      <c r="K462" s="1"/>
      <c r="L462" s="1"/>
    </row>
    <row r="463" spans="10:12">
      <c r="J463" s="1"/>
      <c r="K463" s="1"/>
      <c r="L463" s="1"/>
    </row>
    <row r="464" spans="10:12">
      <c r="J464" s="1"/>
      <c r="K464" s="1"/>
      <c r="L464" s="1"/>
    </row>
    <row r="465" spans="10:12">
      <c r="J465" s="1"/>
      <c r="K465" s="1"/>
      <c r="L465" s="1"/>
    </row>
    <row r="466" spans="10:12">
      <c r="J466" s="1"/>
      <c r="K466" s="1"/>
      <c r="L466" s="1"/>
    </row>
    <row r="467" spans="10:12">
      <c r="J467" s="1"/>
      <c r="K467" s="1"/>
      <c r="L467" s="1"/>
    </row>
    <row r="468" spans="10:12">
      <c r="J468" s="1"/>
      <c r="K468" s="1"/>
      <c r="L468" s="1"/>
    </row>
    <row r="469" spans="10:12">
      <c r="J469" s="1"/>
      <c r="K469" s="1"/>
      <c r="L469" s="1"/>
    </row>
    <row r="470" spans="10:12">
      <c r="J470" s="1"/>
      <c r="K470" s="1"/>
      <c r="L470" s="1"/>
    </row>
    <row r="471" spans="10:12">
      <c r="J471" s="1"/>
      <c r="K471" s="1"/>
      <c r="L471" s="1"/>
    </row>
    <row r="472" spans="10:12">
      <c r="J472" s="1"/>
      <c r="K472" s="1"/>
      <c r="L472" s="1"/>
    </row>
    <row r="473" spans="10:12">
      <c r="J473" s="1"/>
      <c r="K473" s="1"/>
      <c r="L473" s="1"/>
    </row>
    <row r="474" spans="10:12">
      <c r="J474" s="1"/>
      <c r="K474" s="1"/>
      <c r="L474" s="1"/>
    </row>
    <row r="475" spans="10:12">
      <c r="J475" s="1"/>
      <c r="K475" s="1"/>
      <c r="L475" s="1"/>
    </row>
    <row r="476" spans="10:12">
      <c r="J476" s="1"/>
      <c r="K476" s="1"/>
      <c r="L476" s="1"/>
    </row>
    <row r="477" spans="10:12">
      <c r="J477" s="1"/>
      <c r="K477" s="1"/>
      <c r="L477" s="1"/>
    </row>
    <row r="478" spans="10:12">
      <c r="J478" s="1"/>
      <c r="K478" s="1"/>
      <c r="L478" s="1"/>
    </row>
    <row r="479" spans="10:12">
      <c r="J479" s="1"/>
      <c r="K479" s="1"/>
      <c r="L479" s="1"/>
    </row>
    <row r="480" spans="10:12">
      <c r="J480" s="1"/>
      <c r="K480" s="1"/>
      <c r="L480" s="1"/>
    </row>
    <row r="481" spans="10:12">
      <c r="J481" s="1"/>
      <c r="K481" s="1"/>
      <c r="L481" s="1"/>
    </row>
    <row r="482" spans="10:12">
      <c r="J482" s="1"/>
      <c r="K482" s="1"/>
      <c r="L482" s="1"/>
    </row>
    <row r="483" spans="10:12">
      <c r="J483" s="1"/>
      <c r="K483" s="1"/>
      <c r="L483" s="1"/>
    </row>
    <row r="484" spans="10:12">
      <c r="J484" s="1"/>
      <c r="K484" s="1"/>
      <c r="L484" s="1"/>
    </row>
    <row r="485" spans="10:12">
      <c r="J485" s="1"/>
      <c r="K485" s="1"/>
      <c r="L485" s="1"/>
    </row>
    <row r="486" spans="10:12">
      <c r="J486" s="1"/>
      <c r="K486" s="1"/>
      <c r="L486" s="1"/>
    </row>
    <row r="487" spans="10:12">
      <c r="J487" s="1"/>
      <c r="K487" s="1"/>
      <c r="L487" s="1"/>
    </row>
    <row r="488" spans="10:12">
      <c r="J488" s="1"/>
      <c r="K488" s="1"/>
      <c r="L488" s="1"/>
    </row>
    <row r="489" spans="10:12">
      <c r="J489" s="1"/>
      <c r="K489" s="1"/>
      <c r="L489" s="1"/>
    </row>
    <row r="490" spans="10:12">
      <c r="J490" s="1"/>
      <c r="K490" s="1"/>
      <c r="L490" s="1"/>
    </row>
    <row r="491" spans="10:12">
      <c r="J491" s="1"/>
      <c r="K491" s="1"/>
      <c r="L491" s="1"/>
    </row>
    <row r="492" spans="10:12">
      <c r="J492" s="1"/>
      <c r="K492" s="1"/>
      <c r="L492" s="1"/>
    </row>
    <row r="493" spans="10:12">
      <c r="J493" s="1"/>
      <c r="K493" s="1"/>
      <c r="L493" s="1"/>
    </row>
    <row r="494" spans="10:12">
      <c r="J494" s="1"/>
      <c r="K494" s="1"/>
      <c r="L494" s="1"/>
    </row>
    <row r="495" spans="10:12">
      <c r="J495" s="1"/>
      <c r="K495" s="1"/>
      <c r="L495" s="1"/>
    </row>
    <row r="496" spans="10:12">
      <c r="J496" s="1"/>
      <c r="K496" s="1"/>
      <c r="L496" s="1"/>
    </row>
    <row r="497" spans="10:12">
      <c r="J497" s="1"/>
      <c r="K497" s="1"/>
      <c r="L497" s="1"/>
    </row>
    <row r="498" spans="10:12">
      <c r="J498" s="1"/>
      <c r="K498" s="1"/>
      <c r="L498" s="1"/>
    </row>
    <row r="499" spans="10:12">
      <c r="J499" s="1"/>
      <c r="K499" s="1"/>
      <c r="L499" s="1"/>
    </row>
    <row r="500" spans="10:12">
      <c r="J500" s="1"/>
      <c r="K500" s="1"/>
      <c r="L500" s="1"/>
    </row>
    <row r="501" spans="10:12">
      <c r="J501" s="1"/>
      <c r="K501" s="1"/>
      <c r="L501" s="1"/>
    </row>
    <row r="502" spans="10:12">
      <c r="J502" s="1"/>
      <c r="K502" s="1"/>
      <c r="L502" s="1"/>
    </row>
    <row r="503" spans="10:12">
      <c r="J503" s="1"/>
      <c r="K503" s="1"/>
      <c r="L503" s="1"/>
    </row>
    <row r="504" spans="10:12">
      <c r="J504" s="1"/>
      <c r="K504" s="1"/>
      <c r="L504" s="1"/>
    </row>
    <row r="505" spans="10:12">
      <c r="J505" s="1"/>
      <c r="K505" s="1"/>
      <c r="L505" s="1"/>
    </row>
    <row r="506" spans="10:12">
      <c r="J506" s="1"/>
      <c r="K506" s="1"/>
      <c r="L506" s="1"/>
    </row>
    <row r="507" spans="10:12">
      <c r="J507" s="1"/>
      <c r="K507" s="1"/>
      <c r="L507" s="1"/>
    </row>
    <row r="508" spans="10:12">
      <c r="J508" s="1"/>
      <c r="K508" s="1"/>
      <c r="L508" s="1"/>
    </row>
    <row r="509" spans="10:12">
      <c r="J509" s="1"/>
      <c r="K509" s="1"/>
      <c r="L509" s="1"/>
    </row>
    <row r="510" spans="10:12">
      <c r="J510" s="1"/>
      <c r="K510" s="1"/>
      <c r="L510" s="1"/>
    </row>
    <row r="511" spans="10:12">
      <c r="J511" s="1"/>
      <c r="K511" s="1"/>
      <c r="L511" s="1"/>
    </row>
    <row r="512" spans="10:12">
      <c r="J512" s="1"/>
      <c r="K512" s="1"/>
      <c r="L512" s="1"/>
    </row>
    <row r="513" spans="10:12">
      <c r="J513" s="1"/>
      <c r="K513" s="1"/>
      <c r="L513" s="1"/>
    </row>
    <row r="514" spans="10:12">
      <c r="J514" s="1"/>
      <c r="K514" s="1"/>
      <c r="L514" s="1"/>
    </row>
    <row r="515" spans="10:12">
      <c r="J515" s="1"/>
      <c r="K515" s="1"/>
      <c r="L515" s="1"/>
    </row>
    <row r="516" spans="10:12">
      <c r="J516" s="1"/>
      <c r="K516" s="1"/>
      <c r="L516" s="1"/>
    </row>
    <row r="517" spans="10:12">
      <c r="J517" s="1"/>
      <c r="K517" s="1"/>
      <c r="L517" s="1"/>
    </row>
    <row r="518" spans="10:12">
      <c r="J518" s="1"/>
      <c r="K518" s="1"/>
      <c r="L518" s="1"/>
    </row>
    <row r="519" spans="10:12">
      <c r="J519" s="1"/>
      <c r="K519" s="1"/>
      <c r="L519" s="1"/>
    </row>
    <row r="520" spans="10:12">
      <c r="J520" s="1"/>
      <c r="K520" s="1"/>
      <c r="L520" s="1"/>
    </row>
    <row r="521" spans="10:12">
      <c r="J521" s="1"/>
      <c r="K521" s="1"/>
      <c r="L521" s="1"/>
    </row>
    <row r="522" spans="10:12">
      <c r="J522" s="1"/>
      <c r="K522" s="1"/>
      <c r="L522" s="1"/>
    </row>
    <row r="523" spans="10:12">
      <c r="J523" s="1"/>
      <c r="K523" s="1"/>
      <c r="L523" s="1"/>
    </row>
    <row r="524" spans="10:12">
      <c r="J524" s="1"/>
      <c r="K524" s="1"/>
      <c r="L524" s="1"/>
    </row>
    <row r="525" spans="10:12">
      <c r="J525" s="1"/>
      <c r="K525" s="1"/>
      <c r="L525" s="1"/>
    </row>
    <row r="526" spans="10:12">
      <c r="J526" s="1"/>
      <c r="K526" s="1"/>
      <c r="L526" s="1"/>
    </row>
    <row r="527" spans="10:12">
      <c r="J527" s="1"/>
      <c r="K527" s="1"/>
      <c r="L527" s="1"/>
    </row>
    <row r="528" spans="10:12">
      <c r="J528" s="1"/>
      <c r="K528" s="1"/>
      <c r="L528" s="1"/>
    </row>
    <row r="529" spans="10:12">
      <c r="J529" s="1"/>
      <c r="K529" s="1"/>
      <c r="L529" s="1"/>
    </row>
    <row r="530" spans="10:12">
      <c r="J530" s="1"/>
      <c r="K530" s="1"/>
      <c r="L530" s="1"/>
    </row>
    <row r="531" spans="10:12">
      <c r="J531" s="1"/>
      <c r="K531" s="1"/>
      <c r="L531" s="1"/>
    </row>
    <row r="532" spans="10:12">
      <c r="J532" s="1"/>
      <c r="K532" s="1"/>
      <c r="L532" s="1"/>
    </row>
    <row r="533" spans="10:12">
      <c r="J533" s="1"/>
      <c r="K533" s="1"/>
      <c r="L533" s="1"/>
    </row>
    <row r="534" spans="10:12">
      <c r="J534" s="1"/>
      <c r="K534" s="1"/>
      <c r="L534" s="1"/>
    </row>
    <row r="535" spans="10:12">
      <c r="J535" s="1"/>
      <c r="K535" s="1"/>
      <c r="L535" s="1"/>
    </row>
    <row r="536" spans="10:12">
      <c r="J536" s="1"/>
      <c r="K536" s="1"/>
      <c r="L536" s="1"/>
    </row>
    <row r="537" spans="10:12">
      <c r="J537" s="1"/>
      <c r="K537" s="1"/>
      <c r="L537" s="1"/>
    </row>
    <row r="538" spans="10:12">
      <c r="J538" s="1"/>
      <c r="K538" s="1"/>
      <c r="L538" s="1"/>
    </row>
    <row r="539" spans="10:12">
      <c r="J539" s="1"/>
      <c r="K539" s="1"/>
      <c r="L539" s="1"/>
    </row>
    <row r="540" spans="10:12">
      <c r="J540" s="1"/>
      <c r="K540" s="1"/>
      <c r="L540" s="1"/>
    </row>
    <row r="541" spans="10:12">
      <c r="J541" s="1"/>
      <c r="K541" s="1"/>
      <c r="L541" s="1"/>
    </row>
    <row r="542" spans="10:12">
      <c r="J542" s="1"/>
      <c r="K542" s="1"/>
      <c r="L542" s="1"/>
    </row>
    <row r="543" spans="10:12">
      <c r="J543" s="1"/>
      <c r="K543" s="1"/>
      <c r="L543" s="1"/>
    </row>
    <row r="544" spans="10:12">
      <c r="J544" s="1"/>
      <c r="K544" s="1"/>
      <c r="L544" s="1"/>
    </row>
    <row r="545" spans="10:12">
      <c r="J545" s="1"/>
      <c r="K545" s="1"/>
      <c r="L545" s="1"/>
    </row>
    <row r="546" spans="10:12">
      <c r="J546" s="1"/>
      <c r="K546" s="1"/>
      <c r="L546" s="1"/>
    </row>
    <row r="547" spans="10:12">
      <c r="J547" s="1"/>
      <c r="K547" s="1"/>
      <c r="L547" s="1"/>
    </row>
    <row r="548" spans="10:12">
      <c r="J548" s="1"/>
      <c r="K548" s="1"/>
      <c r="L548" s="1"/>
    </row>
    <row r="549" spans="10:12">
      <c r="J549" s="1"/>
      <c r="K549" s="1"/>
      <c r="L549" s="1"/>
    </row>
    <row r="550" spans="10:12">
      <c r="J550" s="1"/>
      <c r="K550" s="1"/>
      <c r="L550" s="1"/>
    </row>
    <row r="551" spans="10:12">
      <c r="J551" s="1"/>
      <c r="K551" s="1"/>
      <c r="L551" s="1"/>
    </row>
    <row r="552" spans="10:12">
      <c r="J552" s="1"/>
      <c r="K552" s="1"/>
      <c r="L552" s="1"/>
    </row>
    <row r="553" spans="10:12">
      <c r="J553" s="1"/>
      <c r="K553" s="1"/>
      <c r="L553" s="1"/>
    </row>
    <row r="554" spans="10:12">
      <c r="J554" s="1"/>
      <c r="K554" s="1"/>
      <c r="L554" s="1"/>
    </row>
    <row r="555" spans="10:12">
      <c r="J555" s="1"/>
      <c r="K555" s="1"/>
      <c r="L555" s="1"/>
    </row>
    <row r="556" spans="10:12">
      <c r="J556" s="1"/>
      <c r="K556" s="1"/>
      <c r="L556" s="1"/>
    </row>
    <row r="557" spans="10:12">
      <c r="J557" s="1"/>
      <c r="K557" s="1"/>
      <c r="L557" s="1"/>
    </row>
    <row r="558" spans="10:12">
      <c r="J558" s="1"/>
      <c r="K558" s="1"/>
      <c r="L558" s="1"/>
    </row>
    <row r="559" spans="10:12">
      <c r="J559" s="1"/>
      <c r="K559" s="1"/>
      <c r="L559" s="1"/>
    </row>
    <row r="560" spans="10:12">
      <c r="J560" s="1"/>
      <c r="K560" s="1"/>
      <c r="L560" s="1"/>
    </row>
    <row r="561" spans="10:12">
      <c r="J561" s="1"/>
      <c r="K561" s="1"/>
      <c r="L561" s="1"/>
    </row>
    <row r="562" spans="10:12">
      <c r="J562" s="1"/>
      <c r="K562" s="1"/>
      <c r="L562" s="1"/>
    </row>
    <row r="563" spans="10:12">
      <c r="J563" s="1"/>
      <c r="K563" s="1"/>
      <c r="L563" s="1"/>
    </row>
    <row r="564" spans="10:12">
      <c r="J564" s="1"/>
      <c r="K564" s="1"/>
      <c r="L564" s="1"/>
    </row>
    <row r="565" spans="10:12">
      <c r="J565" s="1"/>
      <c r="K565" s="1"/>
      <c r="L565" s="1"/>
    </row>
    <row r="566" spans="10:12">
      <c r="J566" s="1"/>
      <c r="K566" s="1"/>
      <c r="L566" s="1"/>
    </row>
    <row r="567" spans="10:12">
      <c r="J567" s="1"/>
      <c r="K567" s="1"/>
      <c r="L567" s="1"/>
    </row>
    <row r="568" spans="10:12">
      <c r="J568" s="1"/>
      <c r="K568" s="1"/>
      <c r="L568" s="1"/>
    </row>
    <row r="569" spans="10:12">
      <c r="J569" s="1"/>
      <c r="K569" s="1"/>
      <c r="L569" s="1"/>
    </row>
    <row r="570" spans="10:12">
      <c r="J570" s="1"/>
      <c r="K570" s="1"/>
      <c r="L570" s="1"/>
    </row>
    <row r="571" spans="10:12">
      <c r="J571" s="1"/>
      <c r="K571" s="1"/>
      <c r="L571" s="1"/>
    </row>
    <row r="572" spans="10:12">
      <c r="J572" s="1"/>
      <c r="K572" s="1"/>
      <c r="L572" s="1"/>
    </row>
    <row r="573" spans="10:12">
      <c r="J573" s="1"/>
      <c r="K573" s="1"/>
      <c r="L573" s="1"/>
    </row>
    <row r="574" spans="10:12">
      <c r="J574" s="1"/>
      <c r="K574" s="1"/>
      <c r="L574" s="1"/>
    </row>
    <row r="575" spans="10:12">
      <c r="J575" s="1"/>
      <c r="K575" s="1"/>
      <c r="L575" s="1"/>
    </row>
    <row r="576" spans="10:12">
      <c r="J576" s="1"/>
      <c r="K576" s="1"/>
      <c r="L576" s="1"/>
    </row>
    <row r="577" spans="10:12">
      <c r="J577" s="1"/>
      <c r="K577" s="1"/>
      <c r="L577" s="1"/>
    </row>
    <row r="578" spans="10:12">
      <c r="J578" s="1"/>
      <c r="K578" s="1"/>
      <c r="L578" s="1"/>
    </row>
    <row r="579" spans="10:12">
      <c r="J579" s="1"/>
      <c r="K579" s="1"/>
      <c r="L579" s="1"/>
    </row>
    <row r="580" spans="10:12">
      <c r="J580" s="1"/>
      <c r="K580" s="1"/>
      <c r="L580" s="1"/>
    </row>
    <row r="581" spans="10:12">
      <c r="J581" s="1"/>
      <c r="K581" s="1"/>
      <c r="L581" s="1"/>
    </row>
    <row r="582" spans="10:12">
      <c r="J582" s="1"/>
      <c r="K582" s="1"/>
      <c r="L582" s="1"/>
    </row>
    <row r="583" spans="10:12">
      <c r="J583" s="1"/>
      <c r="K583" s="1"/>
      <c r="L583" s="1"/>
    </row>
    <row r="584" spans="10:12">
      <c r="J584" s="1"/>
      <c r="K584" s="1"/>
      <c r="L584" s="1"/>
    </row>
    <row r="585" spans="10:12">
      <c r="J585" s="1"/>
      <c r="K585" s="1"/>
      <c r="L585" s="1"/>
    </row>
    <row r="586" spans="10:12">
      <c r="J586" s="1"/>
      <c r="K586" s="1"/>
      <c r="L586" s="1"/>
    </row>
    <row r="587" spans="10:12">
      <c r="J587" s="1"/>
      <c r="K587" s="1"/>
      <c r="L587" s="1"/>
    </row>
    <row r="588" spans="10:12">
      <c r="J588" s="1"/>
      <c r="K588" s="1"/>
      <c r="L588" s="1"/>
    </row>
    <row r="589" spans="10:12">
      <c r="J589" s="1"/>
      <c r="K589" s="1"/>
      <c r="L589" s="1"/>
    </row>
    <row r="590" spans="10:12">
      <c r="J590" s="1"/>
      <c r="K590" s="1"/>
      <c r="L590" s="1"/>
    </row>
    <row r="591" spans="10:12">
      <c r="J591" s="1"/>
      <c r="K591" s="1"/>
      <c r="L591" s="1"/>
    </row>
    <row r="592" spans="10:12">
      <c r="J592" s="1"/>
      <c r="K592" s="1"/>
      <c r="L592" s="1"/>
    </row>
    <row r="593" spans="10:12">
      <c r="J593" s="1"/>
      <c r="K593" s="1"/>
      <c r="L593" s="1"/>
    </row>
    <row r="594" spans="10:12">
      <c r="J594" s="1"/>
      <c r="K594" s="1"/>
      <c r="L594" s="1"/>
    </row>
    <row r="595" spans="10:12">
      <c r="J595" s="1"/>
      <c r="K595" s="1"/>
      <c r="L595" s="1"/>
    </row>
    <row r="596" spans="10:12">
      <c r="J596" s="1"/>
      <c r="K596" s="1"/>
      <c r="L596" s="1"/>
    </row>
    <row r="597" spans="10:12">
      <c r="J597" s="1"/>
      <c r="K597" s="1"/>
      <c r="L597" s="1"/>
    </row>
    <row r="598" spans="10:12">
      <c r="J598" s="1"/>
      <c r="K598" s="1"/>
      <c r="L598" s="1"/>
    </row>
    <row r="599" spans="10:12">
      <c r="J599" s="1"/>
      <c r="K599" s="1"/>
      <c r="L599" s="1"/>
    </row>
    <row r="600" spans="10:12">
      <c r="J600" s="1"/>
      <c r="K600" s="1"/>
      <c r="L600" s="1"/>
    </row>
    <row r="601" spans="10:12">
      <c r="J601" s="1"/>
      <c r="K601" s="1"/>
      <c r="L601" s="1"/>
    </row>
    <row r="602" spans="10:12">
      <c r="J602" s="1"/>
      <c r="K602" s="1"/>
      <c r="L602" s="1"/>
    </row>
    <row r="603" spans="10:12">
      <c r="J603" s="1"/>
      <c r="K603" s="1"/>
      <c r="L603" s="1"/>
    </row>
    <row r="604" spans="10:12">
      <c r="J604" s="1"/>
      <c r="K604" s="1"/>
      <c r="L604" s="1"/>
    </row>
    <row r="605" spans="10:12">
      <c r="J605" s="1"/>
      <c r="K605" s="1"/>
      <c r="L605" s="1"/>
    </row>
    <row r="606" spans="10:12">
      <c r="J606" s="1"/>
      <c r="K606" s="1"/>
      <c r="L606" s="1"/>
    </row>
    <row r="607" spans="10:12">
      <c r="J607" s="1"/>
      <c r="K607" s="1"/>
      <c r="L607" s="1"/>
    </row>
    <row r="608" spans="10:12">
      <c r="J608" s="1"/>
      <c r="K608" s="1"/>
      <c r="L608" s="1"/>
    </row>
    <row r="609" spans="10:12">
      <c r="J609" s="1"/>
      <c r="K609" s="1"/>
      <c r="L609" s="1"/>
    </row>
    <row r="610" spans="10:12">
      <c r="J610" s="1"/>
      <c r="K610" s="1"/>
      <c r="L610" s="1"/>
    </row>
    <row r="611" spans="10:12">
      <c r="J611" s="1"/>
      <c r="K611" s="1"/>
      <c r="L611" s="1"/>
    </row>
    <row r="612" spans="10:12">
      <c r="J612" s="1"/>
      <c r="K612" s="1"/>
      <c r="L612" s="1"/>
    </row>
    <row r="613" spans="10:12">
      <c r="J613" s="1"/>
      <c r="K613" s="1"/>
      <c r="L613" s="1"/>
    </row>
    <row r="614" spans="10:12">
      <c r="J614" s="1"/>
      <c r="K614" s="1"/>
      <c r="L614" s="1"/>
    </row>
    <row r="615" spans="10:12">
      <c r="J615" s="1"/>
      <c r="K615" s="1"/>
      <c r="L615" s="1"/>
    </row>
    <row r="616" spans="10:12">
      <c r="J616" s="1"/>
      <c r="K616" s="1"/>
      <c r="L616" s="1"/>
    </row>
    <row r="617" spans="10:12">
      <c r="J617" s="1"/>
      <c r="K617" s="1"/>
      <c r="L617" s="1"/>
    </row>
    <row r="618" spans="10:12">
      <c r="J618" s="1"/>
      <c r="K618" s="1"/>
      <c r="L618" s="1"/>
    </row>
    <row r="619" spans="10:12">
      <c r="J619" s="1"/>
      <c r="K619" s="1"/>
      <c r="L619" s="1"/>
    </row>
    <row r="620" spans="10:12">
      <c r="J620" s="1"/>
      <c r="K620" s="1"/>
      <c r="L620" s="1"/>
    </row>
    <row r="621" spans="10:12">
      <c r="J621" s="1"/>
      <c r="K621" s="1"/>
      <c r="L621" s="1"/>
    </row>
    <row r="622" spans="10:12">
      <c r="J622" s="1"/>
      <c r="K622" s="1"/>
      <c r="L622" s="1"/>
    </row>
    <row r="623" spans="10:12">
      <c r="J623" s="1"/>
      <c r="K623" s="1"/>
      <c r="L623" s="1"/>
    </row>
    <row r="624" spans="10:12">
      <c r="J624" s="1"/>
      <c r="K624" s="1"/>
      <c r="L624" s="1"/>
    </row>
    <row r="625" spans="10:12">
      <c r="J625" s="1"/>
      <c r="K625" s="1"/>
      <c r="L625" s="1"/>
    </row>
    <row r="626" spans="10:12">
      <c r="J626" s="1"/>
      <c r="K626" s="1"/>
      <c r="L626" s="1"/>
    </row>
    <row r="627" spans="10:12">
      <c r="J627" s="1"/>
      <c r="K627" s="1"/>
      <c r="L627" s="1"/>
    </row>
    <row r="628" spans="10:12">
      <c r="J628" s="1"/>
      <c r="K628" s="1"/>
      <c r="L628" s="1"/>
    </row>
    <row r="629" spans="10:12">
      <c r="J629" s="1"/>
      <c r="K629" s="1"/>
      <c r="L629" s="1"/>
    </row>
    <row r="630" spans="10:12">
      <c r="J630" s="1"/>
      <c r="K630" s="1"/>
      <c r="L630" s="1"/>
    </row>
    <row r="631" spans="10:12">
      <c r="J631" s="1"/>
      <c r="K631" s="1"/>
      <c r="L631" s="1"/>
    </row>
    <row r="632" spans="10:12">
      <c r="J632" s="1"/>
      <c r="K632" s="1"/>
      <c r="L632" s="1"/>
    </row>
    <row r="633" spans="10:12">
      <c r="J633" s="1"/>
      <c r="K633" s="1"/>
      <c r="L633" s="1"/>
    </row>
    <row r="634" spans="10:12">
      <c r="J634" s="1"/>
      <c r="K634" s="1"/>
      <c r="L634" s="1"/>
    </row>
    <row r="635" spans="10:12">
      <c r="J635" s="1"/>
      <c r="K635" s="1"/>
      <c r="L635" s="1"/>
    </row>
    <row r="636" spans="10:12">
      <c r="J636" s="1"/>
      <c r="K636" s="1"/>
      <c r="L636" s="1"/>
    </row>
    <row r="637" spans="10:12">
      <c r="J637" s="1"/>
      <c r="K637" s="1"/>
      <c r="L637" s="1"/>
    </row>
    <row r="638" spans="10:12">
      <c r="J638" s="1"/>
      <c r="K638" s="1"/>
      <c r="L638" s="1"/>
    </row>
    <row r="639" spans="10:12">
      <c r="J639" s="1"/>
      <c r="K639" s="1"/>
      <c r="L639" s="1"/>
    </row>
    <row r="640" spans="10:12">
      <c r="J640" s="1"/>
      <c r="K640" s="1"/>
      <c r="L640" s="1"/>
    </row>
    <row r="641" spans="10:12">
      <c r="J641" s="1"/>
      <c r="K641" s="1"/>
      <c r="L641" s="1"/>
    </row>
    <row r="642" spans="10:12">
      <c r="J642" s="1"/>
      <c r="K642" s="1"/>
      <c r="L642" s="1"/>
    </row>
    <row r="643" spans="10:12">
      <c r="J643" s="1"/>
      <c r="K643" s="1"/>
      <c r="L643" s="1"/>
    </row>
    <row r="644" spans="10:12">
      <c r="J644" s="1"/>
      <c r="K644" s="1"/>
      <c r="L644" s="1"/>
    </row>
    <row r="645" spans="10:12">
      <c r="J645" s="1"/>
      <c r="K645" s="1"/>
      <c r="L645" s="1"/>
    </row>
    <row r="646" spans="10:12">
      <c r="J646" s="1"/>
      <c r="K646" s="1"/>
      <c r="L646" s="1"/>
    </row>
    <row r="647" spans="10:12">
      <c r="J647" s="1"/>
      <c r="K647" s="1"/>
      <c r="L647" s="1"/>
    </row>
    <row r="648" spans="10:12">
      <c r="J648" s="1"/>
      <c r="K648" s="1"/>
      <c r="L648" s="1"/>
    </row>
    <row r="649" spans="10:12">
      <c r="J649" s="1"/>
      <c r="K649" s="1"/>
      <c r="L649" s="1"/>
    </row>
    <row r="650" spans="10:12">
      <c r="J650" s="1"/>
      <c r="K650" s="1"/>
      <c r="L650" s="1"/>
    </row>
    <row r="651" spans="10:12">
      <c r="J651" s="1"/>
      <c r="K651" s="1"/>
      <c r="L651" s="1"/>
    </row>
    <row r="652" spans="10:12">
      <c r="J652" s="1"/>
      <c r="K652" s="1"/>
      <c r="L652" s="1"/>
    </row>
    <row r="653" spans="10:12">
      <c r="J653" s="1"/>
      <c r="K653" s="1"/>
      <c r="L653" s="1"/>
    </row>
    <row r="654" spans="10:12">
      <c r="J654" s="1"/>
      <c r="K654" s="1"/>
      <c r="L654" s="1"/>
    </row>
    <row r="655" spans="10:12">
      <c r="J655" s="1"/>
      <c r="K655" s="1"/>
      <c r="L655" s="1"/>
    </row>
    <row r="656" spans="10:12">
      <c r="J656" s="1"/>
      <c r="K656" s="1"/>
      <c r="L656" s="1"/>
    </row>
    <row r="657" spans="10:12">
      <c r="J657" s="1"/>
      <c r="K657" s="1"/>
      <c r="L657" s="1"/>
    </row>
    <row r="658" spans="10:12">
      <c r="J658" s="1"/>
      <c r="K658" s="1"/>
      <c r="L658" s="1"/>
    </row>
    <row r="659" spans="10:12">
      <c r="J659" s="1"/>
      <c r="K659" s="1"/>
      <c r="L659" s="1"/>
    </row>
    <row r="660" spans="10:12">
      <c r="J660" s="1"/>
      <c r="K660" s="1"/>
      <c r="L660" s="1"/>
    </row>
    <row r="661" spans="10:12">
      <c r="J661" s="1"/>
      <c r="K661" s="1"/>
      <c r="L661" s="1"/>
    </row>
    <row r="662" spans="10:12">
      <c r="J662" s="1"/>
      <c r="K662" s="1"/>
      <c r="L662" s="1"/>
    </row>
    <row r="663" spans="10:12">
      <c r="J663" s="1"/>
      <c r="K663" s="1"/>
      <c r="L663" s="1"/>
    </row>
    <row r="664" spans="10:12">
      <c r="J664" s="1"/>
      <c r="K664" s="1"/>
      <c r="L664" s="1"/>
    </row>
    <row r="665" spans="10:12">
      <c r="J665" s="1"/>
      <c r="K665" s="1"/>
      <c r="L665" s="1"/>
    </row>
    <row r="666" spans="10:12">
      <c r="J666" s="1"/>
      <c r="K666" s="1"/>
      <c r="L666" s="1"/>
    </row>
    <row r="667" spans="10:12">
      <c r="J667" s="1"/>
      <c r="K667" s="1"/>
      <c r="L667" s="1"/>
    </row>
    <row r="668" spans="10:12">
      <c r="J668" s="1"/>
      <c r="K668" s="1"/>
      <c r="L668" s="1"/>
    </row>
    <row r="669" spans="10:12">
      <c r="J669" s="1"/>
      <c r="K669" s="1"/>
      <c r="L669" s="1"/>
    </row>
    <row r="670" spans="10:12">
      <c r="J670" s="1"/>
      <c r="K670" s="1"/>
      <c r="L670" s="1"/>
    </row>
    <row r="671" spans="10:12">
      <c r="J671" s="1"/>
      <c r="K671" s="1"/>
      <c r="L671" s="1"/>
    </row>
    <row r="672" spans="10:12">
      <c r="J672" s="1"/>
      <c r="K672" s="1"/>
      <c r="L672" s="1"/>
    </row>
    <row r="673" spans="10:12">
      <c r="J673" s="1"/>
      <c r="K673" s="1"/>
      <c r="L673" s="1"/>
    </row>
    <row r="674" spans="10:12">
      <c r="J674" s="1"/>
      <c r="K674" s="1"/>
      <c r="L674" s="1"/>
    </row>
    <row r="675" spans="10:12">
      <c r="J675" s="1"/>
      <c r="K675" s="1"/>
      <c r="L675" s="1"/>
    </row>
    <row r="676" spans="10:12">
      <c r="J676" s="1"/>
      <c r="K676" s="1"/>
      <c r="L676" s="1"/>
    </row>
    <row r="677" spans="10:12">
      <c r="J677" s="1"/>
      <c r="K677" s="1"/>
      <c r="L677" s="1"/>
    </row>
    <row r="678" spans="10:12">
      <c r="J678" s="1"/>
      <c r="K678" s="1"/>
      <c r="L678" s="1"/>
    </row>
    <row r="679" spans="10:12">
      <c r="J679" s="1"/>
      <c r="K679" s="1"/>
      <c r="L679" s="1"/>
    </row>
    <row r="680" spans="10:12">
      <c r="J680" s="1"/>
      <c r="K680" s="1"/>
      <c r="L680" s="1"/>
    </row>
    <row r="681" spans="10:12">
      <c r="J681" s="1"/>
      <c r="K681" s="1"/>
      <c r="L681" s="1"/>
    </row>
    <row r="682" spans="10:12">
      <c r="J682" s="1"/>
      <c r="K682" s="1"/>
      <c r="L682" s="1"/>
    </row>
    <row r="683" spans="10:12">
      <c r="J683" s="1"/>
      <c r="K683" s="1"/>
      <c r="L683" s="1"/>
    </row>
    <row r="684" spans="10:12">
      <c r="J684" s="1"/>
      <c r="K684" s="1"/>
      <c r="L684" s="1"/>
    </row>
    <row r="685" spans="10:12">
      <c r="J685" s="1"/>
      <c r="K685" s="1"/>
      <c r="L685" s="1"/>
    </row>
    <row r="686" spans="10:12">
      <c r="J686" s="1"/>
      <c r="K686" s="1"/>
      <c r="L686" s="1"/>
    </row>
    <row r="687" spans="10:12">
      <c r="J687" s="1"/>
      <c r="K687" s="1"/>
      <c r="L687" s="1"/>
    </row>
    <row r="688" spans="10:12">
      <c r="J688" s="1"/>
      <c r="K688" s="1"/>
      <c r="L688" s="1"/>
    </row>
    <row r="689" spans="10:12">
      <c r="J689" s="1"/>
      <c r="K689" s="1"/>
      <c r="L689" s="1"/>
    </row>
    <row r="690" spans="10:12">
      <c r="J690" s="1"/>
      <c r="K690" s="1"/>
      <c r="L690" s="1"/>
    </row>
    <row r="691" spans="10:12">
      <c r="J691" s="1"/>
      <c r="K691" s="1"/>
      <c r="L691" s="1"/>
    </row>
    <row r="692" spans="10:12">
      <c r="J692" s="1"/>
      <c r="K692" s="1"/>
      <c r="L692" s="1"/>
    </row>
    <row r="693" spans="10:12">
      <c r="J693" s="1"/>
      <c r="K693" s="1"/>
      <c r="L693" s="1"/>
    </row>
    <row r="694" spans="10:12">
      <c r="J694" s="1"/>
      <c r="K694" s="1"/>
      <c r="L694" s="1"/>
    </row>
    <row r="695" spans="10:12">
      <c r="J695" s="1"/>
      <c r="K695" s="1"/>
      <c r="L695" s="1"/>
    </row>
    <row r="696" spans="10:12">
      <c r="J696" s="1"/>
      <c r="K696" s="1"/>
      <c r="L696" s="1"/>
    </row>
    <row r="697" spans="10:12">
      <c r="J697" s="1"/>
      <c r="K697" s="1"/>
      <c r="L697" s="1"/>
    </row>
    <row r="698" spans="10:12">
      <c r="J698" s="1"/>
      <c r="K698" s="1"/>
      <c r="L698" s="1"/>
    </row>
    <row r="699" spans="10:12">
      <c r="J699" s="1"/>
      <c r="K699" s="1"/>
      <c r="L699" s="1"/>
    </row>
    <row r="700" spans="10:12">
      <c r="J700" s="1"/>
      <c r="K700" s="1"/>
      <c r="L700" s="1"/>
    </row>
    <row r="701" spans="10:12">
      <c r="J701" s="1"/>
      <c r="K701" s="1"/>
      <c r="L701" s="1"/>
    </row>
    <row r="702" spans="10:12">
      <c r="J702" s="1"/>
      <c r="K702" s="1"/>
      <c r="L702" s="1"/>
    </row>
    <row r="703" spans="10:12">
      <c r="J703" s="1"/>
      <c r="K703" s="1"/>
      <c r="L703" s="1"/>
    </row>
    <row r="704" spans="10:12">
      <c r="J704" s="1"/>
      <c r="K704" s="1"/>
      <c r="L704" s="1"/>
    </row>
    <row r="705" spans="10:12">
      <c r="J705" s="1"/>
      <c r="K705" s="1"/>
      <c r="L705" s="1"/>
    </row>
    <row r="706" spans="10:12">
      <c r="J706" s="1"/>
      <c r="K706" s="1"/>
      <c r="L706" s="1"/>
    </row>
    <row r="707" spans="10:12">
      <c r="J707" s="1"/>
      <c r="K707" s="1"/>
      <c r="L707" s="1"/>
    </row>
    <row r="708" spans="10:12">
      <c r="J708" s="1"/>
      <c r="K708" s="1"/>
      <c r="L708" s="1"/>
    </row>
    <row r="709" spans="10:12">
      <c r="J709" s="1"/>
      <c r="K709" s="1"/>
      <c r="L709" s="1"/>
    </row>
    <row r="710" spans="10:12">
      <c r="J710" s="1"/>
      <c r="K710" s="1"/>
      <c r="L710" s="1"/>
    </row>
    <row r="711" spans="10:12">
      <c r="J711" s="1"/>
      <c r="K711" s="1"/>
      <c r="L711" s="1"/>
    </row>
    <row r="712" spans="10:12">
      <c r="J712" s="1"/>
      <c r="K712" s="1"/>
      <c r="L712" s="1"/>
    </row>
    <row r="713" spans="10:12">
      <c r="J713" s="1"/>
      <c r="K713" s="1"/>
      <c r="L713" s="1"/>
    </row>
    <row r="714" spans="10:12">
      <c r="J714" s="1"/>
      <c r="K714" s="1"/>
      <c r="L714" s="1"/>
    </row>
    <row r="715" spans="10:12">
      <c r="J715" s="1"/>
      <c r="K715" s="1"/>
      <c r="L715" s="1"/>
    </row>
    <row r="716" spans="10:12">
      <c r="J716" s="1"/>
      <c r="K716" s="1"/>
      <c r="L716" s="1"/>
    </row>
    <row r="717" spans="10:12">
      <c r="J717" s="1"/>
      <c r="K717" s="1"/>
      <c r="L717" s="1"/>
    </row>
    <row r="718" spans="10:12">
      <c r="J718" s="1"/>
      <c r="K718" s="1"/>
      <c r="L718" s="1"/>
    </row>
    <row r="719" spans="10:12">
      <c r="J719" s="1"/>
      <c r="K719" s="1"/>
      <c r="L719" s="1"/>
    </row>
    <row r="720" spans="10:12">
      <c r="J720" s="1"/>
      <c r="K720" s="1"/>
      <c r="L720" s="1"/>
    </row>
    <row r="721" spans="10:12">
      <c r="J721" s="1"/>
      <c r="K721" s="1"/>
      <c r="L721" s="1"/>
    </row>
    <row r="722" spans="10:12">
      <c r="J722" s="1"/>
      <c r="K722" s="1"/>
      <c r="L722" s="1"/>
    </row>
    <row r="723" spans="10:12">
      <c r="J723" s="1"/>
      <c r="K723" s="1"/>
      <c r="L723" s="1"/>
    </row>
    <row r="724" spans="10:12">
      <c r="J724" s="1"/>
      <c r="K724" s="1"/>
      <c r="L724" s="1"/>
    </row>
    <row r="725" spans="10:12">
      <c r="J725" s="1"/>
      <c r="K725" s="1"/>
      <c r="L725" s="1"/>
    </row>
    <row r="726" spans="10:12">
      <c r="J726" s="1"/>
      <c r="K726" s="1"/>
      <c r="L726" s="1"/>
    </row>
    <row r="727" spans="10:12">
      <c r="J727" s="1"/>
      <c r="K727" s="1"/>
      <c r="L727" s="1"/>
    </row>
    <row r="728" spans="10:12">
      <c r="J728" s="1"/>
      <c r="K728" s="1"/>
      <c r="L728" s="1"/>
    </row>
    <row r="729" spans="10:12">
      <c r="J729" s="1"/>
      <c r="K729" s="1"/>
      <c r="L729" s="1"/>
    </row>
    <row r="730" spans="10:12">
      <c r="J730" s="1"/>
      <c r="K730" s="1"/>
      <c r="L730" s="1"/>
    </row>
    <row r="731" spans="10:12">
      <c r="J731" s="1"/>
      <c r="K731" s="1"/>
      <c r="L731" s="1"/>
    </row>
    <row r="732" spans="10:12">
      <c r="J732" s="1"/>
      <c r="K732" s="1"/>
      <c r="L732" s="1"/>
    </row>
    <row r="733" spans="10:12">
      <c r="J733" s="1"/>
      <c r="K733" s="1"/>
      <c r="L733" s="1"/>
    </row>
    <row r="734" spans="10:12">
      <c r="J734" s="1"/>
      <c r="K734" s="1"/>
      <c r="L734" s="1"/>
    </row>
    <row r="735" spans="10:12">
      <c r="J735" s="1"/>
      <c r="K735" s="1"/>
      <c r="L735" s="1"/>
    </row>
    <row r="736" spans="10:12">
      <c r="J736" s="1"/>
      <c r="K736" s="1"/>
      <c r="L736" s="1"/>
    </row>
    <row r="737" spans="10:12">
      <c r="J737" s="1"/>
      <c r="K737" s="1"/>
      <c r="L737" s="1"/>
    </row>
    <row r="738" spans="10:12">
      <c r="J738" s="1"/>
      <c r="K738" s="1"/>
      <c r="L738" s="1"/>
    </row>
    <row r="739" spans="10:12">
      <c r="J739" s="1"/>
      <c r="K739" s="1"/>
      <c r="L739" s="1"/>
    </row>
    <row r="740" spans="10:12">
      <c r="J740" s="1"/>
      <c r="K740" s="1"/>
      <c r="L740" s="1"/>
    </row>
    <row r="741" spans="10:12">
      <c r="J741" s="1"/>
      <c r="K741" s="1"/>
      <c r="L741" s="1"/>
    </row>
    <row r="742" spans="10:12">
      <c r="J742" s="1"/>
      <c r="K742" s="1"/>
      <c r="L742" s="1"/>
    </row>
    <row r="743" spans="10:12">
      <c r="J743" s="1"/>
      <c r="K743" s="1"/>
      <c r="L743" s="1"/>
    </row>
    <row r="744" spans="10:12">
      <c r="J744" s="1"/>
      <c r="K744" s="1"/>
      <c r="L744" s="1"/>
    </row>
    <row r="745" spans="10:12">
      <c r="J745" s="1"/>
      <c r="K745" s="1"/>
      <c r="L745" s="1"/>
    </row>
    <row r="746" spans="10:12">
      <c r="J746" s="1"/>
      <c r="K746" s="1"/>
      <c r="L746" s="1"/>
    </row>
    <row r="747" spans="10:12">
      <c r="J747" s="1"/>
      <c r="K747" s="1"/>
      <c r="L747" s="1"/>
    </row>
    <row r="748" spans="10:12">
      <c r="J748" s="1"/>
      <c r="K748" s="1"/>
      <c r="L748" s="1"/>
    </row>
    <row r="749" spans="10:12">
      <c r="J749" s="1"/>
      <c r="K749" s="1"/>
      <c r="L749" s="1"/>
    </row>
    <row r="750" spans="10:12">
      <c r="J750" s="1"/>
      <c r="K750" s="1"/>
      <c r="L750" s="1"/>
    </row>
    <row r="751" spans="10:12">
      <c r="J751" s="1"/>
      <c r="K751" s="1"/>
      <c r="L751" s="1"/>
    </row>
    <row r="752" spans="10:12">
      <c r="J752" s="1"/>
      <c r="K752" s="1"/>
      <c r="L752" s="1"/>
    </row>
    <row r="753" spans="10:12">
      <c r="J753" s="1"/>
      <c r="K753" s="1"/>
      <c r="L753" s="1"/>
    </row>
    <row r="754" spans="10:12">
      <c r="J754" s="1"/>
      <c r="K754" s="1"/>
      <c r="L754" s="1"/>
    </row>
    <row r="755" spans="10:12">
      <c r="J755" s="1"/>
      <c r="K755" s="1"/>
      <c r="L755" s="1"/>
    </row>
    <row r="756" spans="10:12">
      <c r="J756" s="1"/>
      <c r="K756" s="1"/>
      <c r="L756" s="1"/>
    </row>
    <row r="757" spans="10:12">
      <c r="J757" s="1"/>
      <c r="K757" s="1"/>
      <c r="L757" s="1"/>
    </row>
    <row r="758" spans="10:12">
      <c r="J758" s="1"/>
      <c r="K758" s="1"/>
      <c r="L758" s="1"/>
    </row>
    <row r="759" spans="10:12">
      <c r="J759" s="1"/>
      <c r="K759" s="1"/>
      <c r="L759" s="1"/>
    </row>
    <row r="760" spans="10:12">
      <c r="J760" s="1"/>
      <c r="K760" s="1"/>
      <c r="L760" s="1"/>
    </row>
    <row r="761" spans="10:12">
      <c r="J761" s="1"/>
      <c r="K761" s="1"/>
      <c r="L761" s="1"/>
    </row>
    <row r="762" spans="10:12">
      <c r="J762" s="1"/>
      <c r="K762" s="1"/>
      <c r="L762" s="1"/>
    </row>
    <row r="763" spans="10:12">
      <c r="J763" s="1"/>
      <c r="K763" s="1"/>
      <c r="L763" s="1"/>
    </row>
    <row r="764" spans="10:12">
      <c r="J764" s="1"/>
      <c r="K764" s="1"/>
      <c r="L764" s="1"/>
    </row>
    <row r="765" spans="10:12">
      <c r="J765" s="1"/>
      <c r="K765" s="1"/>
      <c r="L765" s="1"/>
    </row>
    <row r="766" spans="10:12">
      <c r="J766" s="1"/>
      <c r="K766" s="1"/>
      <c r="L766" s="1"/>
    </row>
    <row r="767" spans="10:12">
      <c r="J767" s="1"/>
      <c r="K767" s="1"/>
      <c r="L767" s="1"/>
    </row>
    <row r="768" spans="10:12">
      <c r="J768" s="1"/>
      <c r="K768" s="1"/>
      <c r="L768" s="1"/>
    </row>
    <row r="769" spans="10:12">
      <c r="J769" s="1"/>
      <c r="K769" s="1"/>
      <c r="L769" s="1"/>
    </row>
    <row r="770" spans="10:12">
      <c r="J770" s="1"/>
      <c r="K770" s="1"/>
      <c r="L770" s="1"/>
    </row>
    <row r="771" spans="10:12">
      <c r="J771" s="1"/>
      <c r="K771" s="1"/>
      <c r="L771" s="1"/>
    </row>
    <row r="772" spans="10:12">
      <c r="J772" s="1"/>
      <c r="K772" s="1"/>
      <c r="L772" s="1"/>
    </row>
    <row r="773" spans="10:12">
      <c r="J773" s="1"/>
      <c r="K773" s="1"/>
      <c r="L773" s="1"/>
    </row>
    <row r="774" spans="10:12">
      <c r="J774" s="1"/>
      <c r="K774" s="1"/>
      <c r="L774" s="1"/>
    </row>
    <row r="775" spans="10:12">
      <c r="J775" s="1"/>
      <c r="K775" s="1"/>
      <c r="L775" s="1"/>
    </row>
    <row r="776" spans="10:12">
      <c r="J776" s="1"/>
      <c r="K776" s="1"/>
      <c r="L776" s="1"/>
    </row>
    <row r="777" spans="10:12">
      <c r="J777" s="1"/>
      <c r="K777" s="1"/>
      <c r="L777" s="1"/>
    </row>
    <row r="778" spans="10:12">
      <c r="J778" s="1"/>
      <c r="K778" s="1"/>
      <c r="L778" s="1"/>
    </row>
    <row r="779" spans="10:12">
      <c r="J779" s="1"/>
      <c r="K779" s="1"/>
      <c r="L779" s="1"/>
    </row>
    <row r="780" spans="10:12">
      <c r="J780" s="1"/>
      <c r="K780" s="1"/>
      <c r="L780" s="1"/>
    </row>
    <row r="781" spans="10:12">
      <c r="J781" s="1"/>
      <c r="K781" s="1"/>
      <c r="L781" s="1"/>
    </row>
    <row r="782" spans="10:12">
      <c r="J782" s="1"/>
      <c r="K782" s="1"/>
      <c r="L782" s="1"/>
    </row>
    <row r="783" spans="10:12">
      <c r="J783" s="1"/>
      <c r="K783" s="1"/>
      <c r="L783" s="1"/>
    </row>
    <row r="784" spans="10:12">
      <c r="J784" s="1"/>
      <c r="K784" s="1"/>
      <c r="L784" s="1"/>
    </row>
    <row r="785" spans="10:12">
      <c r="J785" s="1"/>
      <c r="K785" s="1"/>
      <c r="L785" s="1"/>
    </row>
    <row r="786" spans="10:12">
      <c r="J786" s="1"/>
      <c r="K786" s="1"/>
      <c r="L786" s="1"/>
    </row>
    <row r="787" spans="10:12">
      <c r="J787" s="1"/>
      <c r="K787" s="1"/>
      <c r="L787" s="1"/>
    </row>
    <row r="788" spans="10:12">
      <c r="J788" s="1"/>
      <c r="K788" s="1"/>
      <c r="L788" s="1"/>
    </row>
    <row r="789" spans="10:12">
      <c r="J789" s="1"/>
      <c r="K789" s="1"/>
      <c r="L789" s="1"/>
    </row>
    <row r="790" spans="10:12">
      <c r="J790" s="1"/>
      <c r="K790" s="1"/>
      <c r="L790" s="1"/>
    </row>
    <row r="791" spans="10:12">
      <c r="J791" s="1"/>
      <c r="K791" s="1"/>
      <c r="L791" s="1"/>
    </row>
    <row r="792" spans="10:12">
      <c r="J792" s="1"/>
      <c r="K792" s="1"/>
      <c r="L792" s="1"/>
    </row>
    <row r="793" spans="10:12">
      <c r="J793" s="1"/>
      <c r="K793" s="1"/>
      <c r="L793" s="1"/>
    </row>
    <row r="794" spans="10:12">
      <c r="J794" s="1"/>
      <c r="K794" s="1"/>
      <c r="L794" s="1"/>
    </row>
    <row r="795" spans="10:12">
      <c r="J795" s="1"/>
      <c r="K795" s="1"/>
      <c r="L795" s="1"/>
    </row>
    <row r="796" spans="10:12">
      <c r="J796" s="1"/>
      <c r="K796" s="1"/>
      <c r="L796" s="1"/>
    </row>
    <row r="797" spans="10:12">
      <c r="J797" s="1"/>
      <c r="K797" s="1"/>
      <c r="L797" s="1"/>
    </row>
    <row r="798" spans="10:12">
      <c r="J798" s="1"/>
      <c r="K798" s="1"/>
      <c r="L798" s="1"/>
    </row>
    <row r="799" spans="10:12">
      <c r="J799" s="1"/>
      <c r="K799" s="1"/>
      <c r="L799" s="1"/>
    </row>
    <row r="800" spans="10:12">
      <c r="J800" s="1"/>
      <c r="K800" s="1"/>
      <c r="L800" s="1"/>
    </row>
    <row r="801" spans="10:12">
      <c r="J801" s="1"/>
      <c r="K801" s="1"/>
      <c r="L801" s="1"/>
    </row>
    <row r="802" spans="10:12">
      <c r="J802" s="1"/>
      <c r="K802" s="1"/>
      <c r="L802" s="1"/>
    </row>
    <row r="803" spans="10:12">
      <c r="J803" s="1"/>
      <c r="K803" s="1"/>
      <c r="L803" s="1"/>
    </row>
    <row r="804" spans="10:12">
      <c r="J804" s="1"/>
      <c r="K804" s="1"/>
      <c r="L804" s="1"/>
    </row>
    <row r="805" spans="10:12">
      <c r="J805" s="1"/>
      <c r="K805" s="1"/>
      <c r="L805" s="1"/>
    </row>
    <row r="806" spans="10:12">
      <c r="J806" s="1"/>
      <c r="K806" s="1"/>
      <c r="L806" s="1"/>
    </row>
    <row r="807" spans="10:12">
      <c r="J807" s="1"/>
      <c r="K807" s="1"/>
      <c r="L807" s="1"/>
    </row>
    <row r="808" spans="10:12">
      <c r="J808" s="1"/>
      <c r="K808" s="1"/>
      <c r="L808" s="1"/>
    </row>
    <row r="809" spans="10:12">
      <c r="J809" s="1"/>
      <c r="K809" s="1"/>
      <c r="L809" s="1"/>
    </row>
    <row r="810" spans="10:12">
      <c r="J810" s="1"/>
      <c r="K810" s="1"/>
      <c r="L810" s="1"/>
    </row>
    <row r="811" spans="10:12">
      <c r="J811" s="1"/>
      <c r="K811" s="1"/>
      <c r="L811" s="1"/>
    </row>
    <row r="812" spans="10:12">
      <c r="J812" s="1"/>
      <c r="K812" s="1"/>
      <c r="L812" s="1"/>
    </row>
    <row r="813" spans="10:12">
      <c r="J813" s="1"/>
      <c r="K813" s="1"/>
      <c r="L813" s="1"/>
    </row>
    <row r="814" spans="10:12">
      <c r="J814" s="1"/>
      <c r="K814" s="1"/>
      <c r="L814" s="1"/>
    </row>
    <row r="815" spans="10:12">
      <c r="J815" s="1"/>
      <c r="K815" s="1"/>
      <c r="L815" s="1"/>
    </row>
    <row r="816" spans="10:12">
      <c r="J816" s="1"/>
      <c r="K816" s="1"/>
      <c r="L816" s="1"/>
    </row>
    <row r="817" spans="10:12">
      <c r="J817" s="1"/>
      <c r="K817" s="1"/>
      <c r="L817" s="1"/>
    </row>
    <row r="818" spans="10:12">
      <c r="J818" s="1"/>
      <c r="K818" s="1"/>
      <c r="L818" s="1"/>
    </row>
    <row r="819" spans="10:12">
      <c r="J819" s="1"/>
      <c r="K819" s="1"/>
      <c r="L819" s="1"/>
    </row>
    <row r="820" spans="10:12">
      <c r="J820" s="1"/>
      <c r="K820" s="1"/>
      <c r="L820" s="1"/>
    </row>
    <row r="821" spans="10:12">
      <c r="J821" s="1"/>
      <c r="K821" s="1"/>
      <c r="L821" s="1"/>
    </row>
    <row r="822" spans="10:12">
      <c r="J822" s="1"/>
      <c r="K822" s="1"/>
      <c r="L822" s="1"/>
    </row>
    <row r="823" spans="10:12">
      <c r="J823" s="1"/>
      <c r="K823" s="1"/>
      <c r="L823" s="1"/>
    </row>
    <row r="824" spans="10:12">
      <c r="J824" s="1"/>
      <c r="K824" s="1"/>
      <c r="L824" s="1"/>
    </row>
    <row r="825" spans="10:12">
      <c r="J825" s="1"/>
      <c r="K825" s="1"/>
      <c r="L825" s="1"/>
    </row>
    <row r="826" spans="10:12">
      <c r="J826" s="1"/>
      <c r="K826" s="1"/>
      <c r="L826" s="1"/>
    </row>
    <row r="827" spans="10:12">
      <c r="J827" s="1"/>
      <c r="K827" s="1"/>
      <c r="L827" s="1"/>
    </row>
    <row r="828" spans="10:12">
      <c r="J828" s="1"/>
      <c r="K828" s="1"/>
      <c r="L828" s="1"/>
    </row>
    <row r="829" spans="10:12">
      <c r="J829" s="1"/>
      <c r="K829" s="1"/>
      <c r="L829" s="1"/>
    </row>
    <row r="830" spans="10:12">
      <c r="J830" s="1"/>
      <c r="K830" s="1"/>
      <c r="L830" s="1"/>
    </row>
    <row r="831" spans="10:12">
      <c r="J831" s="1"/>
      <c r="K831" s="1"/>
      <c r="L831" s="1"/>
    </row>
    <row r="832" spans="10:12">
      <c r="J832" s="1"/>
      <c r="K832" s="1"/>
      <c r="L832" s="1"/>
    </row>
    <row r="833" spans="10:12">
      <c r="J833" s="1"/>
      <c r="K833" s="1"/>
      <c r="L833" s="1"/>
    </row>
    <row r="834" spans="10:12">
      <c r="J834" s="1"/>
      <c r="K834" s="1"/>
      <c r="L834" s="1"/>
    </row>
    <row r="835" spans="10:12">
      <c r="J835" s="1"/>
      <c r="K835" s="1"/>
      <c r="L835" s="1"/>
    </row>
    <row r="836" spans="10:12">
      <c r="J836" s="1"/>
      <c r="K836" s="1"/>
      <c r="L836" s="1"/>
    </row>
    <row r="837" spans="10:12">
      <c r="J837" s="1"/>
      <c r="K837" s="1"/>
      <c r="L837" s="1"/>
    </row>
    <row r="838" spans="10:12">
      <c r="J838" s="1"/>
      <c r="K838" s="1"/>
      <c r="L838" s="1"/>
    </row>
    <row r="839" spans="10:12">
      <c r="J839" s="1"/>
      <c r="K839" s="1"/>
      <c r="L839" s="1"/>
    </row>
    <row r="840" spans="10:12">
      <c r="J840" s="1"/>
      <c r="K840" s="1"/>
      <c r="L840" s="1"/>
    </row>
    <row r="841" spans="10:12">
      <c r="J841" s="1"/>
      <c r="K841" s="1"/>
      <c r="L841" s="1"/>
    </row>
    <row r="842" spans="10:12">
      <c r="J842" s="1"/>
      <c r="K842" s="1"/>
      <c r="L842" s="1"/>
    </row>
    <row r="843" spans="10:12">
      <c r="J843" s="1"/>
      <c r="K843" s="1"/>
      <c r="L843" s="1"/>
    </row>
    <row r="844" spans="10:12">
      <c r="J844" s="1"/>
      <c r="K844" s="1"/>
      <c r="L844" s="1"/>
    </row>
    <row r="845" spans="10:12">
      <c r="J845" s="1"/>
      <c r="K845" s="1"/>
      <c r="L845" s="1"/>
    </row>
    <row r="846" spans="10:12">
      <c r="J846" s="1"/>
      <c r="K846" s="1"/>
      <c r="L846" s="1"/>
    </row>
    <row r="847" spans="10:12">
      <c r="J847" s="1"/>
      <c r="K847" s="1"/>
      <c r="L847" s="1"/>
    </row>
    <row r="848" spans="10:12">
      <c r="J848" s="1"/>
      <c r="K848" s="1"/>
      <c r="L848" s="1"/>
    </row>
    <row r="849" spans="10:12">
      <c r="J849" s="1"/>
      <c r="K849" s="1"/>
      <c r="L849" s="1"/>
    </row>
    <row r="850" spans="10:12">
      <c r="J850" s="1"/>
      <c r="K850" s="1"/>
      <c r="L850" s="1"/>
    </row>
    <row r="851" spans="10:12">
      <c r="J851" s="1"/>
      <c r="K851" s="1"/>
      <c r="L851" s="1"/>
    </row>
    <row r="852" spans="10:12">
      <c r="J852" s="1"/>
      <c r="K852" s="1"/>
      <c r="L852" s="1"/>
    </row>
    <row r="853" spans="10:12">
      <c r="J853" s="1"/>
      <c r="K853" s="1"/>
      <c r="L853" s="1"/>
    </row>
    <row r="854" spans="10:12">
      <c r="J854" s="1"/>
      <c r="K854" s="1"/>
      <c r="L854" s="1"/>
    </row>
    <row r="855" spans="10:12">
      <c r="J855" s="1"/>
      <c r="K855" s="1"/>
      <c r="L855" s="1"/>
    </row>
    <row r="856" spans="10:12">
      <c r="J856" s="1"/>
      <c r="K856" s="1"/>
      <c r="L856" s="1"/>
    </row>
    <row r="857" spans="10:12">
      <c r="J857" s="1"/>
      <c r="K857" s="1"/>
      <c r="L857" s="1"/>
    </row>
    <row r="858" spans="10:12">
      <c r="J858" s="1"/>
      <c r="K858" s="1"/>
      <c r="L858" s="1"/>
    </row>
    <row r="859" spans="10:12">
      <c r="J859" s="1"/>
      <c r="K859" s="1"/>
      <c r="L859" s="1"/>
    </row>
    <row r="860" spans="10:12">
      <c r="J860" s="1"/>
      <c r="K860" s="1"/>
      <c r="L860" s="1"/>
    </row>
    <row r="861" spans="10:12">
      <c r="J861" s="1"/>
      <c r="K861" s="1"/>
      <c r="L861" s="1"/>
    </row>
    <row r="862" spans="10:12">
      <c r="J862" s="1"/>
      <c r="K862" s="1"/>
      <c r="L862" s="1"/>
    </row>
    <row r="863" spans="10:12">
      <c r="J863" s="1"/>
      <c r="K863" s="1"/>
      <c r="L863" s="1"/>
    </row>
    <row r="864" spans="10:12">
      <c r="J864" s="1"/>
      <c r="K864" s="1"/>
      <c r="L864" s="1"/>
    </row>
    <row r="865" spans="10:12">
      <c r="J865" s="1"/>
      <c r="K865" s="1"/>
      <c r="L865" s="1"/>
    </row>
    <row r="866" spans="10:12">
      <c r="J866" s="1"/>
      <c r="K866" s="1"/>
      <c r="L866" s="1"/>
    </row>
    <row r="867" spans="10:12">
      <c r="J867" s="1"/>
      <c r="K867" s="1"/>
      <c r="L867" s="1"/>
    </row>
    <row r="868" spans="10:12">
      <c r="J868" s="1"/>
      <c r="K868" s="1"/>
      <c r="L868" s="1"/>
    </row>
    <row r="869" spans="10:12">
      <c r="J869" s="1"/>
      <c r="K869" s="1"/>
      <c r="L869" s="1"/>
    </row>
    <row r="870" spans="10:12">
      <c r="J870" s="1"/>
      <c r="K870" s="1"/>
      <c r="L870" s="1"/>
    </row>
    <row r="871" spans="10:12">
      <c r="J871" s="1"/>
      <c r="K871" s="1"/>
      <c r="L871" s="1"/>
    </row>
    <row r="872" spans="10:12">
      <c r="J872" s="1"/>
      <c r="K872" s="1"/>
      <c r="L872" s="1"/>
    </row>
    <row r="873" spans="10:12">
      <c r="J873" s="1"/>
      <c r="K873" s="1"/>
      <c r="L873" s="1"/>
    </row>
    <row r="874" spans="10:12">
      <c r="J874" s="1"/>
      <c r="K874" s="1"/>
      <c r="L874" s="1"/>
    </row>
    <row r="875" spans="10:12">
      <c r="J875" s="1"/>
      <c r="K875" s="1"/>
      <c r="L875" s="1"/>
    </row>
    <row r="876" spans="10:12">
      <c r="J876" s="1"/>
      <c r="K876" s="1"/>
      <c r="L876" s="1"/>
    </row>
    <row r="877" spans="10:12">
      <c r="J877" s="1"/>
      <c r="K877" s="1"/>
      <c r="L877" s="1"/>
    </row>
    <row r="878" spans="10:12">
      <c r="J878" s="1"/>
      <c r="K878" s="1"/>
      <c r="L878" s="1"/>
    </row>
    <row r="879" spans="10:12">
      <c r="J879" s="1"/>
      <c r="K879" s="1"/>
      <c r="L879" s="1"/>
    </row>
    <row r="880" spans="10:12">
      <c r="J880" s="1"/>
      <c r="K880" s="1"/>
      <c r="L880" s="1"/>
    </row>
    <row r="881" spans="10:12">
      <c r="J881" s="1"/>
      <c r="K881" s="1"/>
      <c r="L881" s="1"/>
    </row>
    <row r="882" spans="10:12">
      <c r="J882" s="1"/>
      <c r="K882" s="1"/>
      <c r="L882" s="1"/>
    </row>
    <row r="883" spans="10:12">
      <c r="J883" s="1"/>
      <c r="K883" s="1"/>
      <c r="L883" s="1"/>
    </row>
    <row r="884" spans="10:12">
      <c r="J884" s="1"/>
      <c r="K884" s="1"/>
      <c r="L884" s="1"/>
    </row>
    <row r="885" spans="10:12">
      <c r="J885" s="1"/>
      <c r="K885" s="1"/>
      <c r="L885" s="1"/>
    </row>
    <row r="886" spans="10:12">
      <c r="J886" s="1"/>
      <c r="K886" s="1"/>
      <c r="L886" s="1"/>
    </row>
    <row r="887" spans="10:12">
      <c r="J887" s="1"/>
      <c r="K887" s="1"/>
      <c r="L887" s="1"/>
    </row>
    <row r="888" spans="10:12">
      <c r="J888" s="1"/>
      <c r="K888" s="1"/>
      <c r="L888" s="1"/>
    </row>
    <row r="889" spans="10:12">
      <c r="J889" s="1"/>
      <c r="K889" s="1"/>
      <c r="L889" s="1"/>
    </row>
    <row r="890" spans="10:12">
      <c r="J890" s="1"/>
      <c r="K890" s="1"/>
      <c r="L890" s="1"/>
    </row>
    <row r="891" spans="10:12">
      <c r="J891" s="1"/>
      <c r="K891" s="1"/>
      <c r="L891" s="1"/>
    </row>
    <row r="892" spans="10:12">
      <c r="J892" s="1"/>
      <c r="K892" s="1"/>
      <c r="L892" s="1"/>
    </row>
    <row r="893" spans="10:12">
      <c r="J893" s="1"/>
      <c r="K893" s="1"/>
      <c r="L893" s="1"/>
    </row>
    <row r="894" spans="10:12">
      <c r="J894" s="1"/>
      <c r="K894" s="1"/>
      <c r="L894" s="1"/>
    </row>
    <row r="895" spans="10:12">
      <c r="J895" s="1"/>
      <c r="K895" s="1"/>
      <c r="L895" s="1"/>
    </row>
    <row r="896" spans="10:12">
      <c r="J896" s="1"/>
      <c r="K896" s="1"/>
      <c r="L896" s="1"/>
    </row>
    <row r="897" spans="10:12">
      <c r="J897" s="1"/>
      <c r="K897" s="1"/>
      <c r="L897" s="1"/>
    </row>
    <row r="898" spans="10:12">
      <c r="J898" s="1"/>
      <c r="K898" s="1"/>
      <c r="L898" s="1"/>
    </row>
    <row r="899" spans="10:12">
      <c r="J899" s="1"/>
      <c r="K899" s="1"/>
      <c r="L899" s="1"/>
    </row>
    <row r="900" spans="10:12">
      <c r="J900" s="1"/>
      <c r="K900" s="1"/>
      <c r="L900" s="1"/>
    </row>
    <row r="901" spans="10:12">
      <c r="J901" s="1"/>
      <c r="K901" s="1"/>
      <c r="L901" s="1"/>
    </row>
    <row r="902" spans="10:12">
      <c r="J902" s="1"/>
      <c r="K902" s="1"/>
      <c r="L902" s="1"/>
    </row>
    <row r="903" spans="10:12">
      <c r="J903" s="1"/>
      <c r="K903" s="1"/>
      <c r="L903" s="1"/>
    </row>
    <row r="904" spans="10:12">
      <c r="J904" s="1"/>
      <c r="K904" s="1"/>
      <c r="L904" s="1"/>
    </row>
    <row r="905" spans="10:12">
      <c r="J905" s="1"/>
      <c r="K905" s="1"/>
      <c r="L905" s="1"/>
    </row>
    <row r="906" spans="10:12">
      <c r="J906" s="1"/>
      <c r="K906" s="1"/>
      <c r="L906" s="1"/>
    </row>
    <row r="907" spans="10:12">
      <c r="J907" s="1"/>
      <c r="K907" s="1"/>
      <c r="L907" s="1"/>
    </row>
    <row r="908" spans="10:12">
      <c r="J908" s="1"/>
      <c r="K908" s="1"/>
      <c r="L908" s="1"/>
    </row>
    <row r="909" spans="10:12">
      <c r="J909" s="1"/>
      <c r="K909" s="1"/>
      <c r="L909" s="1"/>
    </row>
    <row r="910" spans="10:12">
      <c r="J910" s="1"/>
      <c r="K910" s="1"/>
      <c r="L910" s="1"/>
    </row>
    <row r="911" spans="10:12">
      <c r="J911" s="1"/>
      <c r="K911" s="1"/>
      <c r="L911" s="1"/>
    </row>
    <row r="912" spans="10:12">
      <c r="J912" s="1"/>
      <c r="K912" s="1"/>
      <c r="L912" s="1"/>
    </row>
    <row r="913" spans="10:12">
      <c r="J913" s="1"/>
      <c r="K913" s="1"/>
      <c r="L913" s="1"/>
    </row>
    <row r="914" spans="10:12">
      <c r="J914" s="1"/>
      <c r="K914" s="1"/>
      <c r="L914" s="1"/>
    </row>
    <row r="915" spans="10:12">
      <c r="J915" s="1"/>
      <c r="K915" s="1"/>
      <c r="L915" s="1"/>
    </row>
    <row r="916" spans="10:12">
      <c r="J916" s="1"/>
      <c r="K916" s="1"/>
      <c r="L916" s="1"/>
    </row>
    <row r="917" spans="10:12">
      <c r="J917" s="1"/>
      <c r="K917" s="1"/>
      <c r="L917" s="1"/>
    </row>
    <row r="918" spans="10:12">
      <c r="J918" s="1"/>
      <c r="K918" s="1"/>
      <c r="L918" s="1"/>
    </row>
    <row r="919" spans="10:12">
      <c r="J919" s="1"/>
      <c r="K919" s="1"/>
      <c r="L919" s="1"/>
    </row>
    <row r="920" spans="10:12">
      <c r="J920" s="1"/>
      <c r="K920" s="1"/>
      <c r="L920" s="1"/>
    </row>
    <row r="921" spans="10:12">
      <c r="J921" s="1"/>
      <c r="K921" s="1"/>
      <c r="L921" s="1"/>
    </row>
    <row r="922" spans="10:12">
      <c r="J922" s="1"/>
      <c r="K922" s="1"/>
      <c r="L922" s="1"/>
    </row>
    <row r="923" spans="10:12">
      <c r="J923" s="1"/>
      <c r="K923" s="1"/>
      <c r="L923" s="1"/>
    </row>
    <row r="924" spans="10:12">
      <c r="J924" s="1"/>
      <c r="K924" s="1"/>
      <c r="L924" s="1"/>
    </row>
    <row r="925" spans="10:12">
      <c r="J925" s="1"/>
      <c r="K925" s="1"/>
      <c r="L925" s="1"/>
    </row>
    <row r="926" spans="10:12">
      <c r="J926" s="1"/>
      <c r="K926" s="1"/>
      <c r="L926" s="1"/>
    </row>
    <row r="927" spans="10:12">
      <c r="J927" s="1"/>
      <c r="K927" s="1"/>
      <c r="L927" s="1"/>
    </row>
    <row r="928" spans="10:12">
      <c r="J928" s="1"/>
      <c r="K928" s="1"/>
      <c r="L928" s="1"/>
    </row>
    <row r="929" spans="10:12">
      <c r="J929" s="1"/>
      <c r="K929" s="1"/>
      <c r="L929" s="1"/>
    </row>
    <row r="930" spans="10:12">
      <c r="J930" s="1"/>
      <c r="K930" s="1"/>
      <c r="L930" s="1"/>
    </row>
    <row r="931" spans="10:12">
      <c r="J931" s="1"/>
      <c r="K931" s="1"/>
      <c r="L931" s="1"/>
    </row>
    <row r="932" spans="10:12">
      <c r="J932" s="1"/>
      <c r="K932" s="1"/>
      <c r="L932" s="1"/>
    </row>
    <row r="933" spans="10:12">
      <c r="J933" s="1"/>
      <c r="K933" s="1"/>
      <c r="L933" s="1"/>
    </row>
    <row r="934" spans="10:12">
      <c r="J934" s="1"/>
      <c r="K934" s="1"/>
      <c r="L934" s="1"/>
    </row>
    <row r="935" spans="10:12">
      <c r="J935" s="1"/>
      <c r="K935" s="1"/>
      <c r="L935" s="1"/>
    </row>
    <row r="936" spans="10:12">
      <c r="J936" s="1"/>
      <c r="K936" s="1"/>
      <c r="L936" s="1"/>
    </row>
    <row r="937" spans="10:12">
      <c r="J937" s="1"/>
      <c r="K937" s="1"/>
      <c r="L937" s="1"/>
    </row>
    <row r="938" spans="10:12">
      <c r="J938" s="1"/>
      <c r="K938" s="1"/>
      <c r="L938" s="1"/>
    </row>
    <row r="939" spans="10:12">
      <c r="J939" s="1"/>
      <c r="K939" s="1"/>
      <c r="L939" s="1"/>
    </row>
    <row r="940" spans="10:12">
      <c r="J940" s="1"/>
      <c r="K940" s="1"/>
      <c r="L940" s="1"/>
    </row>
    <row r="941" spans="10:12">
      <c r="J941" s="1"/>
      <c r="K941" s="1"/>
      <c r="L941" s="1"/>
    </row>
    <row r="942" spans="10:12">
      <c r="J942" s="1"/>
      <c r="K942" s="1"/>
      <c r="L942" s="1"/>
    </row>
    <row r="943" spans="10:12">
      <c r="J943" s="1"/>
      <c r="K943" s="1"/>
      <c r="L943" s="1"/>
    </row>
    <row r="944" spans="10:12">
      <c r="J944" s="1"/>
      <c r="K944" s="1"/>
      <c r="L944" s="1"/>
    </row>
    <row r="945" spans="10:12">
      <c r="J945" s="1"/>
      <c r="K945" s="1"/>
      <c r="L945" s="1"/>
    </row>
    <row r="946" spans="10:12">
      <c r="J946" s="1"/>
      <c r="K946" s="1"/>
      <c r="L946" s="1"/>
    </row>
    <row r="947" spans="10:12">
      <c r="J947" s="1"/>
      <c r="K947" s="1"/>
      <c r="L947" s="1"/>
    </row>
    <row r="948" spans="10:12">
      <c r="J948" s="1"/>
      <c r="K948" s="1"/>
      <c r="L948" s="1"/>
    </row>
    <row r="949" spans="10:12">
      <c r="J949" s="1"/>
      <c r="K949" s="1"/>
      <c r="L949" s="1"/>
    </row>
    <row r="950" spans="10:12">
      <c r="J950" s="1"/>
      <c r="K950" s="1"/>
      <c r="L950" s="1"/>
    </row>
    <row r="951" spans="10:12">
      <c r="J951" s="1"/>
      <c r="K951" s="1"/>
      <c r="L951" s="1"/>
    </row>
    <row r="952" spans="10:12">
      <c r="J952" s="1"/>
      <c r="K952" s="1"/>
      <c r="L952" s="1"/>
    </row>
    <row r="953" spans="10:12">
      <c r="J953" s="1"/>
      <c r="K953" s="1"/>
      <c r="L953" s="1"/>
    </row>
    <row r="954" spans="10:12">
      <c r="J954" s="1"/>
      <c r="K954" s="1"/>
      <c r="L954" s="1"/>
    </row>
    <row r="955" spans="10:12">
      <c r="J955" s="1"/>
      <c r="K955" s="1"/>
      <c r="L955" s="1"/>
    </row>
    <row r="956" spans="10:12">
      <c r="J956" s="1"/>
      <c r="K956" s="1"/>
      <c r="L956" s="1"/>
    </row>
    <row r="957" spans="10:12">
      <c r="J957" s="1"/>
      <c r="K957" s="1"/>
      <c r="L957" s="1"/>
    </row>
    <row r="958" spans="10:12">
      <c r="J958" s="1"/>
      <c r="K958" s="1"/>
      <c r="L958" s="1"/>
    </row>
    <row r="959" spans="10:12">
      <c r="J959" s="1"/>
      <c r="K959" s="1"/>
      <c r="L959" s="1"/>
    </row>
    <row r="960" spans="10:12">
      <c r="J960" s="1"/>
      <c r="K960" s="1"/>
      <c r="L960" s="1"/>
    </row>
    <row r="961" spans="10:12">
      <c r="J961" s="1"/>
      <c r="K961" s="1"/>
      <c r="L961" s="1"/>
    </row>
    <row r="962" spans="10:12">
      <c r="J962" s="1"/>
      <c r="K962" s="1"/>
      <c r="L962" s="1"/>
    </row>
    <row r="963" spans="10:12">
      <c r="J963" s="1"/>
      <c r="K963" s="1"/>
      <c r="L963" s="1"/>
    </row>
    <row r="964" spans="10:12">
      <c r="J964" s="1"/>
      <c r="K964" s="1"/>
      <c r="L964" s="1"/>
    </row>
    <row r="965" spans="10:12">
      <c r="J965" s="1"/>
      <c r="K965" s="1"/>
      <c r="L965" s="1"/>
    </row>
    <row r="966" spans="10:12">
      <c r="J966" s="1"/>
      <c r="K966" s="1"/>
      <c r="L966" s="1"/>
    </row>
    <row r="967" spans="10:12">
      <c r="J967" s="1"/>
      <c r="K967" s="1"/>
      <c r="L967" s="1"/>
    </row>
    <row r="968" spans="10:12">
      <c r="J968" s="1"/>
      <c r="K968" s="1"/>
      <c r="L968" s="1"/>
    </row>
    <row r="969" spans="10:12">
      <c r="J969" s="1"/>
      <c r="K969" s="1"/>
      <c r="L969" s="1"/>
    </row>
    <row r="970" spans="10:12">
      <c r="J970" s="1"/>
      <c r="K970" s="1"/>
      <c r="L970" s="1"/>
    </row>
    <row r="971" spans="10:12">
      <c r="J971" s="1"/>
      <c r="K971" s="1"/>
      <c r="L971" s="1"/>
    </row>
    <row r="972" spans="10:12">
      <c r="J972" s="1"/>
      <c r="K972" s="1"/>
      <c r="L972" s="1"/>
    </row>
    <row r="973" spans="10:12">
      <c r="J973" s="1"/>
      <c r="K973" s="1"/>
      <c r="L973" s="1"/>
    </row>
    <row r="974" spans="10:12">
      <c r="J974" s="1"/>
      <c r="K974" s="1"/>
      <c r="L974" s="1"/>
    </row>
    <row r="975" spans="10:12">
      <c r="J975" s="1"/>
      <c r="K975" s="1"/>
      <c r="L975" s="1"/>
    </row>
    <row r="976" spans="10:12">
      <c r="J976" s="1"/>
      <c r="K976" s="1"/>
      <c r="L976" s="1"/>
    </row>
    <row r="977" spans="10:12">
      <c r="J977" s="1"/>
      <c r="K977" s="1"/>
      <c r="L977" s="1"/>
    </row>
    <row r="978" spans="10:12">
      <c r="J978" s="1"/>
      <c r="K978" s="1"/>
      <c r="L978" s="1"/>
    </row>
    <row r="979" spans="10:12">
      <c r="J979" s="1"/>
      <c r="K979" s="1"/>
      <c r="L979" s="1"/>
    </row>
    <row r="980" spans="10:12">
      <c r="J980" s="1"/>
      <c r="K980" s="1"/>
      <c r="L980" s="1"/>
    </row>
    <row r="981" spans="10:12">
      <c r="J981" s="1"/>
      <c r="K981" s="1"/>
      <c r="L981" s="1"/>
    </row>
    <row r="982" spans="10:12">
      <c r="J982" s="1"/>
      <c r="K982" s="1"/>
      <c r="L982" s="1"/>
    </row>
    <row r="983" spans="10:12">
      <c r="J983" s="1"/>
      <c r="K983" s="1"/>
      <c r="L983" s="1"/>
    </row>
    <row r="984" spans="10:12">
      <c r="J984" s="1"/>
      <c r="K984" s="1"/>
      <c r="L984" s="1"/>
    </row>
    <row r="985" spans="10:12">
      <c r="J985" s="1"/>
      <c r="K985" s="1"/>
      <c r="L985" s="1"/>
    </row>
    <row r="986" spans="10:12">
      <c r="J986" s="1"/>
      <c r="K986" s="1"/>
      <c r="L986" s="1"/>
    </row>
    <row r="987" spans="10:12">
      <c r="J987" s="1"/>
      <c r="K987" s="1"/>
      <c r="L987" s="1"/>
    </row>
    <row r="988" spans="10:12">
      <c r="J988" s="1"/>
      <c r="K988" s="1"/>
      <c r="L988" s="1"/>
    </row>
    <row r="989" spans="10:12">
      <c r="J989" s="1"/>
      <c r="K989" s="1"/>
      <c r="L989" s="1"/>
    </row>
    <row r="990" spans="10:12">
      <c r="J990" s="1"/>
      <c r="K990" s="1"/>
      <c r="L990" s="1"/>
    </row>
    <row r="991" spans="10:12">
      <c r="J991" s="1"/>
      <c r="K991" s="1"/>
      <c r="L991" s="1"/>
    </row>
    <row r="992" spans="10:12">
      <c r="J992" s="1"/>
      <c r="K992" s="1"/>
      <c r="L992" s="1"/>
    </row>
    <row r="993" spans="10:12">
      <c r="J993" s="1"/>
      <c r="K993" s="1"/>
      <c r="L993" s="1"/>
    </row>
    <row r="994" spans="10:12">
      <c r="J994" s="1"/>
      <c r="K994" s="1"/>
      <c r="L994" s="1"/>
    </row>
    <row r="995" spans="10:12">
      <c r="J995" s="1"/>
      <c r="K995" s="1"/>
      <c r="L995" s="1"/>
    </row>
    <row r="996" spans="10:12">
      <c r="J996" s="1"/>
      <c r="K996" s="1"/>
      <c r="L996" s="1"/>
    </row>
    <row r="997" spans="10:12">
      <c r="J997" s="1"/>
      <c r="K997" s="1"/>
      <c r="L997" s="1"/>
    </row>
    <row r="998" spans="10:12">
      <c r="J998" s="1"/>
      <c r="K998" s="1"/>
      <c r="L998" s="1"/>
    </row>
    <row r="999" spans="10:12">
      <c r="J999" s="1"/>
      <c r="K999" s="1"/>
      <c r="L999" s="1"/>
    </row>
    <row r="1000" spans="10:12">
      <c r="J1000" s="1"/>
      <c r="K1000" s="1"/>
      <c r="L1000" s="1"/>
    </row>
    <row r="1001" spans="10:12">
      <c r="J1001" s="1"/>
      <c r="K1001" s="1"/>
      <c r="L1001" s="1"/>
    </row>
    <row r="1002" spans="10:12">
      <c r="J1002" s="1"/>
      <c r="K1002" s="1"/>
      <c r="L1002" s="1"/>
    </row>
    <row r="1003" spans="10:12">
      <c r="J1003" s="1"/>
      <c r="K1003" s="1"/>
      <c r="L1003" s="1"/>
    </row>
    <row r="1004" spans="10:12">
      <c r="J1004" s="1"/>
      <c r="K1004" s="1"/>
      <c r="L1004" s="1"/>
    </row>
    <row r="1005" spans="10:12">
      <c r="J1005" s="1"/>
      <c r="K1005" s="1"/>
      <c r="L1005" s="1"/>
    </row>
    <row r="1006" spans="10:12">
      <c r="J1006" s="1"/>
      <c r="K1006" s="1"/>
      <c r="L1006" s="1"/>
    </row>
    <row r="1007" spans="10:12">
      <c r="J1007" s="1"/>
      <c r="K1007" s="1"/>
      <c r="L1007" s="1"/>
    </row>
    <row r="1008" spans="10:12">
      <c r="J1008" s="1"/>
      <c r="K1008" s="1"/>
      <c r="L1008" s="1"/>
    </row>
    <row r="1009" spans="10:12">
      <c r="J1009" s="1"/>
      <c r="K1009" s="1"/>
      <c r="L1009" s="1"/>
    </row>
    <row r="1010" spans="10:12">
      <c r="J1010" s="1"/>
      <c r="K1010" s="1"/>
      <c r="L1010" s="1"/>
    </row>
    <row r="1011" spans="10:12">
      <c r="J1011" s="1"/>
      <c r="K1011" s="1"/>
      <c r="L1011" s="1"/>
    </row>
    <row r="1012" spans="10:12">
      <c r="J1012" s="1"/>
      <c r="K1012" s="1"/>
      <c r="L1012" s="1"/>
    </row>
    <row r="1013" spans="10:12">
      <c r="J1013" s="1"/>
      <c r="K1013" s="1"/>
      <c r="L1013" s="1"/>
    </row>
    <row r="1014" spans="10:12">
      <c r="J1014" s="1"/>
      <c r="K1014" s="1"/>
      <c r="L1014" s="1"/>
    </row>
    <row r="1015" spans="10:12">
      <c r="J1015" s="1"/>
      <c r="K1015" s="1"/>
      <c r="L1015" s="1"/>
    </row>
    <row r="1016" spans="10:12">
      <c r="J1016" s="1"/>
      <c r="K1016" s="1"/>
      <c r="L1016" s="1"/>
    </row>
    <row r="1017" spans="10:12">
      <c r="J1017" s="1"/>
      <c r="K1017" s="1"/>
      <c r="L1017" s="1"/>
    </row>
    <row r="1018" spans="10:12">
      <c r="J1018" s="1"/>
      <c r="K1018" s="1"/>
      <c r="L1018" s="1"/>
    </row>
    <row r="1019" spans="10:12">
      <c r="J1019" s="1"/>
      <c r="K1019" s="1"/>
      <c r="L1019" s="1"/>
    </row>
    <row r="1020" spans="10:12">
      <c r="J1020" s="1"/>
      <c r="K1020" s="1"/>
      <c r="L1020" s="1"/>
    </row>
    <row r="1021" spans="10:12">
      <c r="J1021" s="1"/>
      <c r="K1021" s="1"/>
      <c r="L1021" s="1"/>
    </row>
    <row r="1022" spans="10:12">
      <c r="J1022" s="1"/>
      <c r="K1022" s="1"/>
      <c r="L1022" s="1"/>
    </row>
    <row r="1023" spans="10:12">
      <c r="J1023" s="1"/>
      <c r="K1023" s="1"/>
      <c r="L1023" s="1"/>
    </row>
    <row r="1024" spans="10:12">
      <c r="J1024" s="1"/>
      <c r="K1024" s="1"/>
      <c r="L1024" s="1"/>
    </row>
    <row r="1025" spans="10:12">
      <c r="J1025" s="1"/>
      <c r="K1025" s="1"/>
      <c r="L1025" s="1"/>
    </row>
    <row r="1026" spans="10:12">
      <c r="J1026" s="1"/>
      <c r="K1026" s="1"/>
      <c r="L1026" s="1"/>
    </row>
    <row r="1027" spans="10:12">
      <c r="J1027" s="1"/>
      <c r="K1027" s="1"/>
      <c r="L1027" s="1"/>
    </row>
    <row r="1028" spans="10:12">
      <c r="J1028" s="1"/>
      <c r="K1028" s="1"/>
      <c r="L1028" s="1"/>
    </row>
    <row r="1029" spans="10:12">
      <c r="J1029" s="1"/>
      <c r="K1029" s="1"/>
      <c r="L1029" s="1"/>
    </row>
    <row r="1030" spans="10:12">
      <c r="J1030" s="1"/>
      <c r="K1030" s="1"/>
      <c r="L1030" s="1"/>
    </row>
    <row r="1031" spans="10:12">
      <c r="J1031" s="1"/>
      <c r="K1031" s="1"/>
      <c r="L1031" s="1"/>
    </row>
    <row r="1032" spans="10:12">
      <c r="J1032" s="1"/>
      <c r="K1032" s="1"/>
      <c r="L1032" s="1"/>
    </row>
    <row r="1033" spans="10:12">
      <c r="J1033" s="1"/>
      <c r="K1033" s="1"/>
      <c r="L1033" s="1"/>
    </row>
    <row r="1034" spans="10:12">
      <c r="J1034" s="1"/>
      <c r="K1034" s="1"/>
      <c r="L1034" s="1"/>
    </row>
    <row r="1035" spans="10:12">
      <c r="J1035" s="1"/>
      <c r="K1035" s="1"/>
      <c r="L1035" s="1"/>
    </row>
    <row r="1036" spans="10:12">
      <c r="J1036" s="1"/>
      <c r="K1036" s="1"/>
      <c r="L1036" s="1"/>
    </row>
    <row r="1037" spans="10:12">
      <c r="J1037" s="1"/>
      <c r="K1037" s="1"/>
      <c r="L1037" s="1"/>
    </row>
    <row r="1038" spans="10:12">
      <c r="J1038" s="1"/>
      <c r="K1038" s="1"/>
      <c r="L1038" s="1"/>
    </row>
    <row r="1039" spans="10:12">
      <c r="J1039" s="1"/>
      <c r="K1039" s="1"/>
      <c r="L1039" s="1"/>
    </row>
    <row r="1040" spans="10:12">
      <c r="J1040" s="1"/>
      <c r="K1040" s="1"/>
      <c r="L1040" s="1"/>
    </row>
    <row r="1041" spans="10:12">
      <c r="J1041" s="1"/>
      <c r="K1041" s="1"/>
      <c r="L1041" s="1"/>
    </row>
    <row r="1042" spans="10:12">
      <c r="J1042" s="1"/>
      <c r="K1042" s="1"/>
      <c r="L1042" s="1"/>
    </row>
    <row r="1043" spans="10:12">
      <c r="J1043" s="1"/>
      <c r="K1043" s="1"/>
      <c r="L1043" s="1"/>
    </row>
    <row r="1044" spans="10:12">
      <c r="J1044" s="1"/>
      <c r="K1044" s="1"/>
      <c r="L1044" s="1"/>
    </row>
    <row r="1045" spans="10:12">
      <c r="J1045" s="1"/>
      <c r="K1045" s="1"/>
      <c r="L1045" s="1"/>
    </row>
    <row r="1046" spans="10:12">
      <c r="J1046" s="1"/>
      <c r="K1046" s="1"/>
      <c r="L1046" s="1"/>
    </row>
    <row r="1047" spans="10:12">
      <c r="J1047" s="1"/>
      <c r="K1047" s="1"/>
      <c r="L1047" s="1"/>
    </row>
    <row r="1048" spans="10:12">
      <c r="J1048" s="1"/>
      <c r="K1048" s="1"/>
      <c r="L1048" s="1"/>
    </row>
    <row r="1049" spans="10:12">
      <c r="J1049" s="1"/>
      <c r="K1049" s="1"/>
      <c r="L1049" s="1"/>
    </row>
    <row r="1050" spans="10:12">
      <c r="J1050" s="1"/>
      <c r="K1050" s="1"/>
      <c r="L1050" s="1"/>
    </row>
    <row r="1051" spans="10:12">
      <c r="J1051" s="1"/>
      <c r="K1051" s="1"/>
      <c r="L1051" s="1"/>
    </row>
    <row r="1052" spans="10:12">
      <c r="J1052" s="1"/>
      <c r="K1052" s="1"/>
      <c r="L1052" s="1"/>
    </row>
    <row r="1053" spans="10:12">
      <c r="J1053" s="1"/>
      <c r="K1053" s="1"/>
      <c r="L1053" s="1"/>
    </row>
    <row r="1054" spans="10:12">
      <c r="J1054" s="1"/>
      <c r="K1054" s="1"/>
      <c r="L1054" s="1"/>
    </row>
    <row r="1055" spans="10:12">
      <c r="J1055" s="1"/>
      <c r="K1055" s="1"/>
      <c r="L1055" s="1"/>
    </row>
    <row r="1056" spans="10:12">
      <c r="J1056" s="1"/>
      <c r="K1056" s="1"/>
      <c r="L1056" s="1"/>
    </row>
    <row r="1057" spans="10:12">
      <c r="J1057" s="1"/>
      <c r="K1057" s="1"/>
      <c r="L1057" s="1"/>
    </row>
    <row r="1058" spans="10:12">
      <c r="J1058" s="1"/>
      <c r="K1058" s="1"/>
      <c r="L1058" s="1"/>
    </row>
    <row r="1059" spans="10:12">
      <c r="J1059" s="1"/>
      <c r="K1059" s="1"/>
      <c r="L1059" s="1"/>
    </row>
    <row r="1060" spans="10:12">
      <c r="J1060" s="1"/>
      <c r="K1060" s="1"/>
      <c r="L1060" s="1"/>
    </row>
    <row r="1061" spans="10:12">
      <c r="J1061" s="1"/>
      <c r="K1061" s="1"/>
      <c r="L1061" s="1"/>
    </row>
    <row r="1062" spans="10:12">
      <c r="J1062" s="1"/>
      <c r="K1062" s="1"/>
      <c r="L1062" s="1"/>
    </row>
    <row r="1063" spans="10:12">
      <c r="J1063" s="1"/>
      <c r="K1063" s="1"/>
      <c r="L1063" s="1"/>
    </row>
    <row r="1064" spans="10:12">
      <c r="J1064" s="1"/>
      <c r="K1064" s="1"/>
      <c r="L1064" s="1"/>
    </row>
    <row r="1065" spans="10:12">
      <c r="J1065" s="1"/>
      <c r="K1065" s="1"/>
      <c r="L1065" s="1"/>
    </row>
    <row r="1066" spans="10:12">
      <c r="J1066" s="1"/>
      <c r="K1066" s="1"/>
      <c r="L1066" s="1"/>
    </row>
    <row r="1067" spans="10:12">
      <c r="J1067" s="1"/>
      <c r="K1067" s="1"/>
      <c r="L1067" s="1"/>
    </row>
    <row r="1068" spans="10:12">
      <c r="J1068" s="1"/>
      <c r="K1068" s="1"/>
      <c r="L1068" s="1"/>
    </row>
    <row r="1069" spans="10:12">
      <c r="J1069" s="1"/>
      <c r="K1069" s="1"/>
      <c r="L1069" s="1"/>
    </row>
    <row r="1070" spans="10:12">
      <c r="J1070" s="1"/>
      <c r="K1070" s="1"/>
      <c r="L1070" s="1"/>
    </row>
    <row r="1071" spans="10:12">
      <c r="J1071" s="1"/>
      <c r="K1071" s="1"/>
      <c r="L1071" s="1"/>
    </row>
    <row r="1072" spans="10:12">
      <c r="J1072" s="1"/>
      <c r="K1072" s="1"/>
      <c r="L1072" s="1"/>
    </row>
    <row r="1073" spans="10:12">
      <c r="J1073" s="1"/>
      <c r="K1073" s="1"/>
      <c r="L1073" s="1"/>
    </row>
    <row r="1074" spans="10:12">
      <c r="J1074" s="1"/>
      <c r="K1074" s="1"/>
      <c r="L1074" s="1"/>
    </row>
    <row r="1075" spans="10:12">
      <c r="J1075" s="1"/>
      <c r="K1075" s="1"/>
      <c r="L1075" s="1"/>
    </row>
  </sheetData>
  <mergeCells count="207">
    <mergeCell ref="D202:E202"/>
    <mergeCell ref="D209:E209"/>
    <mergeCell ref="D210:E210"/>
    <mergeCell ref="D203:E203"/>
    <mergeCell ref="D204:E204"/>
    <mergeCell ref="D205:E205"/>
    <mergeCell ref="D206:E206"/>
    <mergeCell ref="D207:E207"/>
    <mergeCell ref="D208:E208"/>
    <mergeCell ref="D193:E193"/>
    <mergeCell ref="D194:E194"/>
    <mergeCell ref="D195:E195"/>
    <mergeCell ref="D196:E196"/>
    <mergeCell ref="D197:E197"/>
    <mergeCell ref="D198:E198"/>
    <mergeCell ref="D199:E199"/>
    <mergeCell ref="D200:E200"/>
    <mergeCell ref="D201:E201"/>
    <mergeCell ref="D184:E184"/>
    <mergeCell ref="D185:E185"/>
    <mergeCell ref="D186:E186"/>
    <mergeCell ref="D187:E187"/>
    <mergeCell ref="D188:E188"/>
    <mergeCell ref="D189:E189"/>
    <mergeCell ref="D190:E190"/>
    <mergeCell ref="D191:E191"/>
    <mergeCell ref="D192:E192"/>
    <mergeCell ref="D175:E175"/>
    <mergeCell ref="D176:E176"/>
    <mergeCell ref="D177:E177"/>
    <mergeCell ref="D178:E178"/>
    <mergeCell ref="D179:E179"/>
    <mergeCell ref="D180:E180"/>
    <mergeCell ref="D181:E181"/>
    <mergeCell ref="D182:E182"/>
    <mergeCell ref="D183:E183"/>
    <mergeCell ref="D166:E166"/>
    <mergeCell ref="D167:E167"/>
    <mergeCell ref="D168:E168"/>
    <mergeCell ref="D169:E169"/>
    <mergeCell ref="D170:E170"/>
    <mergeCell ref="D171:E171"/>
    <mergeCell ref="D172:E172"/>
    <mergeCell ref="D173:E173"/>
    <mergeCell ref="D174:E174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12:E112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03:E103"/>
    <mergeCell ref="D104:E104"/>
    <mergeCell ref="D105:E105"/>
    <mergeCell ref="D106:E106"/>
    <mergeCell ref="D107:E107"/>
    <mergeCell ref="D108:E108"/>
    <mergeCell ref="D109:E109"/>
    <mergeCell ref="D110:E110"/>
    <mergeCell ref="D111:E111"/>
    <mergeCell ref="D94:E94"/>
    <mergeCell ref="D95:E95"/>
    <mergeCell ref="D96:E96"/>
    <mergeCell ref="D97:E97"/>
    <mergeCell ref="D98:E98"/>
    <mergeCell ref="D99:E99"/>
    <mergeCell ref="D100:E100"/>
    <mergeCell ref="D101:E101"/>
    <mergeCell ref="D102:E102"/>
    <mergeCell ref="D85:E85"/>
    <mergeCell ref="D86:E86"/>
    <mergeCell ref="D87:E87"/>
    <mergeCell ref="D88:E88"/>
    <mergeCell ref="D89:E89"/>
    <mergeCell ref="D90:E90"/>
    <mergeCell ref="D91:E91"/>
    <mergeCell ref="D92:E92"/>
    <mergeCell ref="D93:E93"/>
    <mergeCell ref="D76:E76"/>
    <mergeCell ref="D77:E77"/>
    <mergeCell ref="D78:E78"/>
    <mergeCell ref="D79:E79"/>
    <mergeCell ref="D80:E80"/>
    <mergeCell ref="D81:E81"/>
    <mergeCell ref="D82:E82"/>
    <mergeCell ref="D83:E83"/>
    <mergeCell ref="D84:E84"/>
    <mergeCell ref="D67:E67"/>
    <mergeCell ref="D68:E68"/>
    <mergeCell ref="D69:E69"/>
    <mergeCell ref="D70:E70"/>
    <mergeCell ref="D71:E71"/>
    <mergeCell ref="D72:E72"/>
    <mergeCell ref="D73:E73"/>
    <mergeCell ref="D74:E74"/>
    <mergeCell ref="D75:E75"/>
    <mergeCell ref="D58:E58"/>
    <mergeCell ref="D59:E59"/>
    <mergeCell ref="D60:E60"/>
    <mergeCell ref="D61:E61"/>
    <mergeCell ref="D62:E62"/>
    <mergeCell ref="D63:E63"/>
    <mergeCell ref="D64:E64"/>
    <mergeCell ref="D65:E65"/>
    <mergeCell ref="D66:E66"/>
    <mergeCell ref="D49:E49"/>
    <mergeCell ref="D50:E50"/>
    <mergeCell ref="D51:E51"/>
    <mergeCell ref="D52:E52"/>
    <mergeCell ref="D53:E53"/>
    <mergeCell ref="D54:E54"/>
    <mergeCell ref="D55:E55"/>
    <mergeCell ref="D56:E56"/>
    <mergeCell ref="D57:E57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R1:S1"/>
    <mergeCell ref="G9:G10"/>
    <mergeCell ref="H9:H10"/>
    <mergeCell ref="D9:E9"/>
    <mergeCell ref="M9:M10"/>
    <mergeCell ref="O9:O10"/>
    <mergeCell ref="D10:E10"/>
    <mergeCell ref="D11:E11"/>
    <mergeCell ref="D12:E12"/>
  </mergeCells>
  <phoneticPr fontId="0" type="noConversion"/>
  <conditionalFormatting sqref="B11:D11 B12:C210 F11:F210">
    <cfRule type="expression" dxfId="199" priority="210" stopIfTrue="1">
      <formula>$F11&lt;=0</formula>
    </cfRule>
  </conditionalFormatting>
  <conditionalFormatting sqref="D12">
    <cfRule type="expression" dxfId="198" priority="209" stopIfTrue="1">
      <formula>$F12&lt;=0</formula>
    </cfRule>
  </conditionalFormatting>
  <conditionalFormatting sqref="D13">
    <cfRule type="expression" dxfId="197" priority="208" stopIfTrue="1">
      <formula>$F13&lt;=0</formula>
    </cfRule>
  </conditionalFormatting>
  <conditionalFormatting sqref="D14">
    <cfRule type="expression" dxfId="196" priority="207" stopIfTrue="1">
      <formula>$F14&lt;=0</formula>
    </cfRule>
  </conditionalFormatting>
  <conditionalFormatting sqref="D15">
    <cfRule type="expression" dxfId="195" priority="206" stopIfTrue="1">
      <formula>$F15&lt;=0</formula>
    </cfRule>
  </conditionalFormatting>
  <conditionalFormatting sqref="D16">
    <cfRule type="expression" dxfId="194" priority="205" stopIfTrue="1">
      <formula>$F16&lt;=0</formula>
    </cfRule>
  </conditionalFormatting>
  <conditionalFormatting sqref="D17">
    <cfRule type="expression" dxfId="193" priority="204" stopIfTrue="1">
      <formula>$F17&lt;=0</formula>
    </cfRule>
  </conditionalFormatting>
  <conditionalFormatting sqref="D18">
    <cfRule type="expression" dxfId="192" priority="203" stopIfTrue="1">
      <formula>$F18&lt;=0</formula>
    </cfRule>
  </conditionalFormatting>
  <conditionalFormatting sqref="D19">
    <cfRule type="expression" dxfId="191" priority="202" stopIfTrue="1">
      <formula>$F19&lt;=0</formula>
    </cfRule>
  </conditionalFormatting>
  <conditionalFormatting sqref="D20">
    <cfRule type="expression" dxfId="190" priority="201" stopIfTrue="1">
      <formula>$F20&lt;=0</formula>
    </cfRule>
  </conditionalFormatting>
  <conditionalFormatting sqref="D21">
    <cfRule type="expression" dxfId="189" priority="190" stopIfTrue="1">
      <formula>$F21&lt;=0</formula>
    </cfRule>
  </conditionalFormatting>
  <conditionalFormatting sqref="D22">
    <cfRule type="expression" dxfId="188" priority="189" stopIfTrue="1">
      <formula>$F22&lt;=0</formula>
    </cfRule>
  </conditionalFormatting>
  <conditionalFormatting sqref="D23">
    <cfRule type="expression" dxfId="187" priority="188" stopIfTrue="1">
      <formula>$F23&lt;=0</formula>
    </cfRule>
  </conditionalFormatting>
  <conditionalFormatting sqref="D24">
    <cfRule type="expression" dxfId="186" priority="187" stopIfTrue="1">
      <formula>$F24&lt;=0</formula>
    </cfRule>
  </conditionalFormatting>
  <conditionalFormatting sqref="D25">
    <cfRule type="expression" dxfId="185" priority="186" stopIfTrue="1">
      <formula>$F25&lt;=0</formula>
    </cfRule>
  </conditionalFormatting>
  <conditionalFormatting sqref="D26">
    <cfRule type="expression" dxfId="184" priority="185" stopIfTrue="1">
      <formula>$F26&lt;=0</formula>
    </cfRule>
  </conditionalFormatting>
  <conditionalFormatting sqref="D27">
    <cfRule type="expression" dxfId="183" priority="184" stopIfTrue="1">
      <formula>$F27&lt;=0</formula>
    </cfRule>
  </conditionalFormatting>
  <conditionalFormatting sqref="D28">
    <cfRule type="expression" dxfId="182" priority="183" stopIfTrue="1">
      <formula>$F28&lt;=0</formula>
    </cfRule>
  </conditionalFormatting>
  <conditionalFormatting sqref="D29">
    <cfRule type="expression" dxfId="181" priority="182" stopIfTrue="1">
      <formula>$F29&lt;=0</formula>
    </cfRule>
  </conditionalFormatting>
  <conditionalFormatting sqref="D30">
    <cfRule type="expression" dxfId="180" priority="181" stopIfTrue="1">
      <formula>$F30&lt;=0</formula>
    </cfRule>
  </conditionalFormatting>
  <conditionalFormatting sqref="D31">
    <cfRule type="expression" dxfId="179" priority="180" stopIfTrue="1">
      <formula>$F31&lt;=0</formula>
    </cfRule>
  </conditionalFormatting>
  <conditionalFormatting sqref="D32">
    <cfRule type="expression" dxfId="178" priority="179" stopIfTrue="1">
      <formula>$F32&lt;=0</formula>
    </cfRule>
  </conditionalFormatting>
  <conditionalFormatting sqref="D33">
    <cfRule type="expression" dxfId="177" priority="178" stopIfTrue="1">
      <formula>$F33&lt;=0</formula>
    </cfRule>
  </conditionalFormatting>
  <conditionalFormatting sqref="D34">
    <cfRule type="expression" dxfId="176" priority="177" stopIfTrue="1">
      <formula>$F34&lt;=0</formula>
    </cfRule>
  </conditionalFormatting>
  <conditionalFormatting sqref="D35">
    <cfRule type="expression" dxfId="175" priority="176" stopIfTrue="1">
      <formula>$F35&lt;=0</formula>
    </cfRule>
  </conditionalFormatting>
  <conditionalFormatting sqref="D36">
    <cfRule type="expression" dxfId="174" priority="175" stopIfTrue="1">
      <formula>$F36&lt;=0</formula>
    </cfRule>
  </conditionalFormatting>
  <conditionalFormatting sqref="D37">
    <cfRule type="expression" dxfId="173" priority="174" stopIfTrue="1">
      <formula>$F37&lt;=0</formula>
    </cfRule>
  </conditionalFormatting>
  <conditionalFormatting sqref="D38">
    <cfRule type="expression" dxfId="172" priority="173" stopIfTrue="1">
      <formula>$F38&lt;=0</formula>
    </cfRule>
  </conditionalFormatting>
  <conditionalFormatting sqref="D39">
    <cfRule type="expression" dxfId="171" priority="172" stopIfTrue="1">
      <formula>$F39&lt;=0</formula>
    </cfRule>
  </conditionalFormatting>
  <conditionalFormatting sqref="D40">
    <cfRule type="expression" dxfId="170" priority="171" stopIfTrue="1">
      <formula>$F40&lt;=0</formula>
    </cfRule>
  </conditionalFormatting>
  <conditionalFormatting sqref="D41">
    <cfRule type="expression" dxfId="169" priority="170" stopIfTrue="1">
      <formula>$F41&lt;=0</formula>
    </cfRule>
  </conditionalFormatting>
  <conditionalFormatting sqref="D42">
    <cfRule type="expression" dxfId="168" priority="169" stopIfTrue="1">
      <formula>$F42&lt;=0</formula>
    </cfRule>
  </conditionalFormatting>
  <conditionalFormatting sqref="D43">
    <cfRule type="expression" dxfId="167" priority="168" stopIfTrue="1">
      <formula>$F43&lt;=0</formula>
    </cfRule>
  </conditionalFormatting>
  <conditionalFormatting sqref="D44">
    <cfRule type="expression" dxfId="166" priority="167" stopIfTrue="1">
      <formula>$F44&lt;=0</formula>
    </cfRule>
  </conditionalFormatting>
  <conditionalFormatting sqref="D45">
    <cfRule type="expression" dxfId="165" priority="166" stopIfTrue="1">
      <formula>$F45&lt;=0</formula>
    </cfRule>
  </conditionalFormatting>
  <conditionalFormatting sqref="D46">
    <cfRule type="expression" dxfId="164" priority="165" stopIfTrue="1">
      <formula>$F46&lt;=0</formula>
    </cfRule>
  </conditionalFormatting>
  <conditionalFormatting sqref="D47">
    <cfRule type="expression" dxfId="163" priority="164" stopIfTrue="1">
      <formula>$F47&lt;=0</formula>
    </cfRule>
  </conditionalFormatting>
  <conditionalFormatting sqref="D48">
    <cfRule type="expression" dxfId="162" priority="163" stopIfTrue="1">
      <formula>$F48&lt;=0</formula>
    </cfRule>
  </conditionalFormatting>
  <conditionalFormatting sqref="D49">
    <cfRule type="expression" dxfId="161" priority="162" stopIfTrue="1">
      <formula>$F49&lt;=0</formula>
    </cfRule>
  </conditionalFormatting>
  <conditionalFormatting sqref="D50">
    <cfRule type="expression" dxfId="160" priority="161" stopIfTrue="1">
      <formula>$F50&lt;=0</formula>
    </cfRule>
  </conditionalFormatting>
  <conditionalFormatting sqref="D51">
    <cfRule type="expression" dxfId="159" priority="160" stopIfTrue="1">
      <formula>$F51&lt;=0</formula>
    </cfRule>
  </conditionalFormatting>
  <conditionalFormatting sqref="D52">
    <cfRule type="expression" dxfId="158" priority="159" stopIfTrue="1">
      <formula>$F52&lt;=0</formula>
    </cfRule>
  </conditionalFormatting>
  <conditionalFormatting sqref="D53">
    <cfRule type="expression" dxfId="157" priority="158" stopIfTrue="1">
      <formula>$F53&lt;=0</formula>
    </cfRule>
  </conditionalFormatting>
  <conditionalFormatting sqref="D54">
    <cfRule type="expression" dxfId="156" priority="157" stopIfTrue="1">
      <formula>$F54&lt;=0</formula>
    </cfRule>
  </conditionalFormatting>
  <conditionalFormatting sqref="D55">
    <cfRule type="expression" dxfId="155" priority="156" stopIfTrue="1">
      <formula>$F55&lt;=0</formula>
    </cfRule>
  </conditionalFormatting>
  <conditionalFormatting sqref="D56">
    <cfRule type="expression" dxfId="154" priority="155" stopIfTrue="1">
      <formula>$F56&lt;=0</formula>
    </cfRule>
  </conditionalFormatting>
  <conditionalFormatting sqref="D57">
    <cfRule type="expression" dxfId="153" priority="154" stopIfTrue="1">
      <formula>$F57&lt;=0</formula>
    </cfRule>
  </conditionalFormatting>
  <conditionalFormatting sqref="D58">
    <cfRule type="expression" dxfId="152" priority="153" stopIfTrue="1">
      <formula>$F58&lt;=0</formula>
    </cfRule>
  </conditionalFormatting>
  <conditionalFormatting sqref="D59">
    <cfRule type="expression" dxfId="151" priority="152" stopIfTrue="1">
      <formula>$F59&lt;=0</formula>
    </cfRule>
  </conditionalFormatting>
  <conditionalFormatting sqref="D60">
    <cfRule type="expression" dxfId="150" priority="151" stopIfTrue="1">
      <formula>$F60&lt;=0</formula>
    </cfRule>
  </conditionalFormatting>
  <conditionalFormatting sqref="D61">
    <cfRule type="expression" dxfId="149" priority="150" stopIfTrue="1">
      <formula>$F61&lt;=0</formula>
    </cfRule>
  </conditionalFormatting>
  <conditionalFormatting sqref="D62">
    <cfRule type="expression" dxfId="148" priority="149" stopIfTrue="1">
      <formula>$F62&lt;=0</formula>
    </cfRule>
  </conditionalFormatting>
  <conditionalFormatting sqref="D63">
    <cfRule type="expression" dxfId="147" priority="148" stopIfTrue="1">
      <formula>$F63&lt;=0</formula>
    </cfRule>
  </conditionalFormatting>
  <conditionalFormatting sqref="D64">
    <cfRule type="expression" dxfId="146" priority="147" stopIfTrue="1">
      <formula>$F64&lt;=0</formula>
    </cfRule>
  </conditionalFormatting>
  <conditionalFormatting sqref="D65">
    <cfRule type="expression" dxfId="145" priority="146" stopIfTrue="1">
      <formula>$F65&lt;=0</formula>
    </cfRule>
  </conditionalFormatting>
  <conditionalFormatting sqref="D66">
    <cfRule type="expression" dxfId="144" priority="145" stopIfTrue="1">
      <formula>$F66&lt;=0</formula>
    </cfRule>
  </conditionalFormatting>
  <conditionalFormatting sqref="D67">
    <cfRule type="expression" dxfId="143" priority="144" stopIfTrue="1">
      <formula>$F67&lt;=0</formula>
    </cfRule>
  </conditionalFormatting>
  <conditionalFormatting sqref="D68">
    <cfRule type="expression" dxfId="142" priority="143" stopIfTrue="1">
      <formula>$F68&lt;=0</formula>
    </cfRule>
  </conditionalFormatting>
  <conditionalFormatting sqref="D69">
    <cfRule type="expression" dxfId="141" priority="142" stopIfTrue="1">
      <formula>$F69&lt;=0</formula>
    </cfRule>
  </conditionalFormatting>
  <conditionalFormatting sqref="D70">
    <cfRule type="expression" dxfId="140" priority="141" stopIfTrue="1">
      <formula>$F70&lt;=0</formula>
    </cfRule>
  </conditionalFormatting>
  <conditionalFormatting sqref="D71">
    <cfRule type="expression" dxfId="139" priority="140" stopIfTrue="1">
      <formula>$F71&lt;=0</formula>
    </cfRule>
  </conditionalFormatting>
  <conditionalFormatting sqref="D72">
    <cfRule type="expression" dxfId="138" priority="139" stopIfTrue="1">
      <formula>$F72&lt;=0</formula>
    </cfRule>
  </conditionalFormatting>
  <conditionalFormatting sqref="D73">
    <cfRule type="expression" dxfId="137" priority="138" stopIfTrue="1">
      <formula>$F73&lt;=0</formula>
    </cfRule>
  </conditionalFormatting>
  <conditionalFormatting sqref="D74">
    <cfRule type="expression" dxfId="136" priority="137" stopIfTrue="1">
      <formula>$F74&lt;=0</formula>
    </cfRule>
  </conditionalFormatting>
  <conditionalFormatting sqref="D75">
    <cfRule type="expression" dxfId="135" priority="136" stopIfTrue="1">
      <formula>$F75&lt;=0</formula>
    </cfRule>
  </conditionalFormatting>
  <conditionalFormatting sqref="D76">
    <cfRule type="expression" dxfId="134" priority="135" stopIfTrue="1">
      <formula>$F76&lt;=0</formula>
    </cfRule>
  </conditionalFormatting>
  <conditionalFormatting sqref="D77">
    <cfRule type="expression" dxfId="133" priority="134" stopIfTrue="1">
      <formula>$F77&lt;=0</formula>
    </cfRule>
  </conditionalFormatting>
  <conditionalFormatting sqref="D78">
    <cfRule type="expression" dxfId="132" priority="133" stopIfTrue="1">
      <formula>$F78&lt;=0</formula>
    </cfRule>
  </conditionalFormatting>
  <conditionalFormatting sqref="D79">
    <cfRule type="expression" dxfId="131" priority="132" stopIfTrue="1">
      <formula>$F79&lt;=0</formula>
    </cfRule>
  </conditionalFormatting>
  <conditionalFormatting sqref="D80">
    <cfRule type="expression" dxfId="130" priority="131" stopIfTrue="1">
      <formula>$F80&lt;=0</formula>
    </cfRule>
  </conditionalFormatting>
  <conditionalFormatting sqref="D81">
    <cfRule type="expression" dxfId="129" priority="130" stopIfTrue="1">
      <formula>$F81&lt;=0</formula>
    </cfRule>
  </conditionalFormatting>
  <conditionalFormatting sqref="D82">
    <cfRule type="expression" dxfId="128" priority="129" stopIfTrue="1">
      <formula>$F82&lt;=0</formula>
    </cfRule>
  </conditionalFormatting>
  <conditionalFormatting sqref="D83">
    <cfRule type="expression" dxfId="127" priority="128" stopIfTrue="1">
      <formula>$F83&lt;=0</formula>
    </cfRule>
  </conditionalFormatting>
  <conditionalFormatting sqref="D84">
    <cfRule type="expression" dxfId="126" priority="127" stopIfTrue="1">
      <formula>$F84&lt;=0</formula>
    </cfRule>
  </conditionalFormatting>
  <conditionalFormatting sqref="D85">
    <cfRule type="expression" dxfId="125" priority="126" stopIfTrue="1">
      <formula>$F85&lt;=0</formula>
    </cfRule>
  </conditionalFormatting>
  <conditionalFormatting sqref="D86">
    <cfRule type="expression" dxfId="124" priority="125" stopIfTrue="1">
      <formula>$F86&lt;=0</formula>
    </cfRule>
  </conditionalFormatting>
  <conditionalFormatting sqref="D87">
    <cfRule type="expression" dxfId="123" priority="124" stopIfTrue="1">
      <formula>$F87&lt;=0</formula>
    </cfRule>
  </conditionalFormatting>
  <conditionalFormatting sqref="D88">
    <cfRule type="expression" dxfId="122" priority="123" stopIfTrue="1">
      <formula>$F88&lt;=0</formula>
    </cfRule>
  </conditionalFormatting>
  <conditionalFormatting sqref="D89">
    <cfRule type="expression" dxfId="121" priority="122" stopIfTrue="1">
      <formula>$F89&lt;=0</formula>
    </cfRule>
  </conditionalFormatting>
  <conditionalFormatting sqref="D90">
    <cfRule type="expression" dxfId="120" priority="121" stopIfTrue="1">
      <formula>$F90&lt;=0</formula>
    </cfRule>
  </conditionalFormatting>
  <conditionalFormatting sqref="D91">
    <cfRule type="expression" dxfId="119" priority="120" stopIfTrue="1">
      <formula>$F91&lt;=0</formula>
    </cfRule>
  </conditionalFormatting>
  <conditionalFormatting sqref="D92">
    <cfRule type="expression" dxfId="118" priority="119" stopIfTrue="1">
      <formula>$F92&lt;=0</formula>
    </cfRule>
  </conditionalFormatting>
  <conditionalFormatting sqref="D93">
    <cfRule type="expression" dxfId="117" priority="118" stopIfTrue="1">
      <formula>$F93&lt;=0</formula>
    </cfRule>
  </conditionalFormatting>
  <conditionalFormatting sqref="D94">
    <cfRule type="expression" dxfId="116" priority="117" stopIfTrue="1">
      <formula>$F94&lt;=0</formula>
    </cfRule>
  </conditionalFormatting>
  <conditionalFormatting sqref="D95">
    <cfRule type="expression" dxfId="115" priority="116" stopIfTrue="1">
      <formula>$F95&lt;=0</formula>
    </cfRule>
  </conditionalFormatting>
  <conditionalFormatting sqref="D96">
    <cfRule type="expression" dxfId="114" priority="115" stopIfTrue="1">
      <formula>$F96&lt;=0</formula>
    </cfRule>
  </conditionalFormatting>
  <conditionalFormatting sqref="D97">
    <cfRule type="expression" dxfId="113" priority="114" stopIfTrue="1">
      <formula>$F97&lt;=0</formula>
    </cfRule>
  </conditionalFormatting>
  <conditionalFormatting sqref="D98">
    <cfRule type="expression" dxfId="112" priority="113" stopIfTrue="1">
      <formula>$F98&lt;=0</formula>
    </cfRule>
  </conditionalFormatting>
  <conditionalFormatting sqref="D99">
    <cfRule type="expression" dxfId="111" priority="112" stopIfTrue="1">
      <formula>$F99&lt;=0</formula>
    </cfRule>
  </conditionalFormatting>
  <conditionalFormatting sqref="D100">
    <cfRule type="expression" dxfId="110" priority="111" stopIfTrue="1">
      <formula>$F100&lt;=0</formula>
    </cfRule>
  </conditionalFormatting>
  <conditionalFormatting sqref="D101">
    <cfRule type="expression" dxfId="109" priority="110" stopIfTrue="1">
      <formula>$F101&lt;=0</formula>
    </cfRule>
  </conditionalFormatting>
  <conditionalFormatting sqref="D102">
    <cfRule type="expression" dxfId="108" priority="109" stopIfTrue="1">
      <formula>$F102&lt;=0</formula>
    </cfRule>
  </conditionalFormatting>
  <conditionalFormatting sqref="D103">
    <cfRule type="expression" dxfId="107" priority="108" stopIfTrue="1">
      <formula>$F103&lt;=0</formula>
    </cfRule>
  </conditionalFormatting>
  <conditionalFormatting sqref="D104">
    <cfRule type="expression" dxfId="106" priority="107" stopIfTrue="1">
      <formula>$F104&lt;=0</formula>
    </cfRule>
  </conditionalFormatting>
  <conditionalFormatting sqref="D105">
    <cfRule type="expression" dxfId="105" priority="106" stopIfTrue="1">
      <formula>$F105&lt;=0</formula>
    </cfRule>
  </conditionalFormatting>
  <conditionalFormatting sqref="D106">
    <cfRule type="expression" dxfId="104" priority="105" stopIfTrue="1">
      <formula>$F106&lt;=0</formula>
    </cfRule>
  </conditionalFormatting>
  <conditionalFormatting sqref="D107">
    <cfRule type="expression" dxfId="103" priority="104" stopIfTrue="1">
      <formula>$F107&lt;=0</formula>
    </cfRule>
  </conditionalFormatting>
  <conditionalFormatting sqref="D108">
    <cfRule type="expression" dxfId="102" priority="103" stopIfTrue="1">
      <formula>$F108&lt;=0</formula>
    </cfRule>
  </conditionalFormatting>
  <conditionalFormatting sqref="D109">
    <cfRule type="expression" dxfId="101" priority="102" stopIfTrue="1">
      <formula>$F109&lt;=0</formula>
    </cfRule>
  </conditionalFormatting>
  <conditionalFormatting sqref="D110">
    <cfRule type="expression" dxfId="100" priority="101" stopIfTrue="1">
      <formula>$F110&lt;=0</formula>
    </cfRule>
  </conditionalFormatting>
  <conditionalFormatting sqref="D111">
    <cfRule type="expression" dxfId="99" priority="100" stopIfTrue="1">
      <formula>$F111&lt;=0</formula>
    </cfRule>
  </conditionalFormatting>
  <conditionalFormatting sqref="D112">
    <cfRule type="expression" dxfId="98" priority="99" stopIfTrue="1">
      <formula>$F112&lt;=0</formula>
    </cfRule>
  </conditionalFormatting>
  <conditionalFormatting sqref="D113">
    <cfRule type="expression" dxfId="97" priority="98" stopIfTrue="1">
      <formula>$F113&lt;=0</formula>
    </cfRule>
  </conditionalFormatting>
  <conditionalFormatting sqref="D114">
    <cfRule type="expression" dxfId="96" priority="97" stopIfTrue="1">
      <formula>$F114&lt;=0</formula>
    </cfRule>
  </conditionalFormatting>
  <conditionalFormatting sqref="D115">
    <cfRule type="expression" dxfId="95" priority="96" stopIfTrue="1">
      <formula>$F115&lt;=0</formula>
    </cfRule>
  </conditionalFormatting>
  <conditionalFormatting sqref="D116">
    <cfRule type="expression" dxfId="94" priority="95" stopIfTrue="1">
      <formula>$F116&lt;=0</formula>
    </cfRule>
  </conditionalFormatting>
  <conditionalFormatting sqref="D117">
    <cfRule type="expression" dxfId="93" priority="94" stopIfTrue="1">
      <formula>$F117&lt;=0</formula>
    </cfRule>
  </conditionalFormatting>
  <conditionalFormatting sqref="D118">
    <cfRule type="expression" dxfId="92" priority="93" stopIfTrue="1">
      <formula>$F118&lt;=0</formula>
    </cfRule>
  </conditionalFormatting>
  <conditionalFormatting sqref="D119">
    <cfRule type="expression" dxfId="91" priority="92" stopIfTrue="1">
      <formula>$F119&lt;=0</formula>
    </cfRule>
  </conditionalFormatting>
  <conditionalFormatting sqref="D120">
    <cfRule type="expression" dxfId="90" priority="91" stopIfTrue="1">
      <formula>$F120&lt;=0</formula>
    </cfRule>
  </conditionalFormatting>
  <conditionalFormatting sqref="D121">
    <cfRule type="expression" dxfId="89" priority="90" stopIfTrue="1">
      <formula>$F121&lt;=0</formula>
    </cfRule>
  </conditionalFormatting>
  <conditionalFormatting sqref="D122">
    <cfRule type="expression" dxfId="88" priority="89" stopIfTrue="1">
      <formula>$F122&lt;=0</formula>
    </cfRule>
  </conditionalFormatting>
  <conditionalFormatting sqref="D123">
    <cfRule type="expression" dxfId="87" priority="88" stopIfTrue="1">
      <formula>$F123&lt;=0</formula>
    </cfRule>
  </conditionalFormatting>
  <conditionalFormatting sqref="D124">
    <cfRule type="expression" dxfId="86" priority="87" stopIfTrue="1">
      <formula>$F124&lt;=0</formula>
    </cfRule>
  </conditionalFormatting>
  <conditionalFormatting sqref="D125">
    <cfRule type="expression" dxfId="85" priority="86" stopIfTrue="1">
      <formula>$F125&lt;=0</formula>
    </cfRule>
  </conditionalFormatting>
  <conditionalFormatting sqref="D126">
    <cfRule type="expression" dxfId="84" priority="85" stopIfTrue="1">
      <formula>$F126&lt;=0</formula>
    </cfRule>
  </conditionalFormatting>
  <conditionalFormatting sqref="D127">
    <cfRule type="expression" dxfId="83" priority="84" stopIfTrue="1">
      <formula>$F127&lt;=0</formula>
    </cfRule>
  </conditionalFormatting>
  <conditionalFormatting sqref="D128">
    <cfRule type="expression" dxfId="82" priority="83" stopIfTrue="1">
      <formula>$F128&lt;=0</formula>
    </cfRule>
  </conditionalFormatting>
  <conditionalFormatting sqref="D129">
    <cfRule type="expression" dxfId="81" priority="82" stopIfTrue="1">
      <formula>$F129&lt;=0</formula>
    </cfRule>
  </conditionalFormatting>
  <conditionalFormatting sqref="D130">
    <cfRule type="expression" dxfId="80" priority="81" stopIfTrue="1">
      <formula>$F130&lt;=0</formula>
    </cfRule>
  </conditionalFormatting>
  <conditionalFormatting sqref="D131">
    <cfRule type="expression" dxfId="79" priority="80" stopIfTrue="1">
      <formula>$F131&lt;=0</formula>
    </cfRule>
  </conditionalFormatting>
  <conditionalFormatting sqref="D132">
    <cfRule type="expression" dxfId="78" priority="79" stopIfTrue="1">
      <formula>$F132&lt;=0</formula>
    </cfRule>
  </conditionalFormatting>
  <conditionalFormatting sqref="D133">
    <cfRule type="expression" dxfId="77" priority="78" stopIfTrue="1">
      <formula>$F133&lt;=0</formula>
    </cfRule>
  </conditionalFormatting>
  <conditionalFormatting sqref="D134">
    <cfRule type="expression" dxfId="76" priority="77" stopIfTrue="1">
      <formula>$F134&lt;=0</formula>
    </cfRule>
  </conditionalFormatting>
  <conditionalFormatting sqref="D135">
    <cfRule type="expression" dxfId="75" priority="76" stopIfTrue="1">
      <formula>$F135&lt;=0</formula>
    </cfRule>
  </conditionalFormatting>
  <conditionalFormatting sqref="D136">
    <cfRule type="expression" dxfId="74" priority="75" stopIfTrue="1">
      <formula>$F136&lt;=0</formula>
    </cfRule>
  </conditionalFormatting>
  <conditionalFormatting sqref="D137">
    <cfRule type="expression" dxfId="73" priority="74" stopIfTrue="1">
      <formula>$F137&lt;=0</formula>
    </cfRule>
  </conditionalFormatting>
  <conditionalFormatting sqref="D138">
    <cfRule type="expression" dxfId="72" priority="73" stopIfTrue="1">
      <formula>$F138&lt;=0</formula>
    </cfRule>
  </conditionalFormatting>
  <conditionalFormatting sqref="D139">
    <cfRule type="expression" dxfId="71" priority="72" stopIfTrue="1">
      <formula>$F139&lt;=0</formula>
    </cfRule>
  </conditionalFormatting>
  <conditionalFormatting sqref="D140">
    <cfRule type="expression" dxfId="70" priority="71" stopIfTrue="1">
      <formula>$F140&lt;=0</formula>
    </cfRule>
  </conditionalFormatting>
  <conditionalFormatting sqref="D141">
    <cfRule type="expression" dxfId="69" priority="70" stopIfTrue="1">
      <formula>$F141&lt;=0</formula>
    </cfRule>
  </conditionalFormatting>
  <conditionalFormatting sqref="D142">
    <cfRule type="expression" dxfId="68" priority="69" stopIfTrue="1">
      <formula>$F142&lt;=0</formula>
    </cfRule>
  </conditionalFormatting>
  <conditionalFormatting sqref="D143">
    <cfRule type="expression" dxfId="67" priority="68" stopIfTrue="1">
      <formula>$F143&lt;=0</formula>
    </cfRule>
  </conditionalFormatting>
  <conditionalFormatting sqref="D144">
    <cfRule type="expression" dxfId="66" priority="67" stopIfTrue="1">
      <formula>$F144&lt;=0</formula>
    </cfRule>
  </conditionalFormatting>
  <conditionalFormatting sqref="D145">
    <cfRule type="expression" dxfId="65" priority="66" stopIfTrue="1">
      <formula>$F145&lt;=0</formula>
    </cfRule>
  </conditionalFormatting>
  <conditionalFormatting sqref="D146">
    <cfRule type="expression" dxfId="64" priority="65" stopIfTrue="1">
      <formula>$F146&lt;=0</formula>
    </cfRule>
  </conditionalFormatting>
  <conditionalFormatting sqref="D147">
    <cfRule type="expression" dxfId="63" priority="64" stopIfTrue="1">
      <formula>$F147&lt;=0</formula>
    </cfRule>
  </conditionalFormatting>
  <conditionalFormatting sqref="D148">
    <cfRule type="expression" dxfId="62" priority="63" stopIfTrue="1">
      <formula>$F148&lt;=0</formula>
    </cfRule>
  </conditionalFormatting>
  <conditionalFormatting sqref="D149">
    <cfRule type="expression" dxfId="61" priority="62" stopIfTrue="1">
      <formula>$F149&lt;=0</formula>
    </cfRule>
  </conditionalFormatting>
  <conditionalFormatting sqref="D150">
    <cfRule type="expression" dxfId="60" priority="61" stopIfTrue="1">
      <formula>$F150&lt;=0</formula>
    </cfRule>
  </conditionalFormatting>
  <conditionalFormatting sqref="D151">
    <cfRule type="expression" dxfId="59" priority="60" stopIfTrue="1">
      <formula>$F151&lt;=0</formula>
    </cfRule>
  </conditionalFormatting>
  <conditionalFormatting sqref="D152">
    <cfRule type="expression" dxfId="58" priority="59" stopIfTrue="1">
      <formula>$F152&lt;=0</formula>
    </cfRule>
  </conditionalFormatting>
  <conditionalFormatting sqref="D153">
    <cfRule type="expression" dxfId="57" priority="58" stopIfTrue="1">
      <formula>$F153&lt;=0</formula>
    </cfRule>
  </conditionalFormatting>
  <conditionalFormatting sqref="D154">
    <cfRule type="expression" dxfId="56" priority="57" stopIfTrue="1">
      <formula>$F154&lt;=0</formula>
    </cfRule>
  </conditionalFormatting>
  <conditionalFormatting sqref="D155">
    <cfRule type="expression" dxfId="55" priority="56" stopIfTrue="1">
      <formula>$F155&lt;=0</formula>
    </cfRule>
  </conditionalFormatting>
  <conditionalFormatting sqref="D156">
    <cfRule type="expression" dxfId="54" priority="55" stopIfTrue="1">
      <formula>$F156&lt;=0</formula>
    </cfRule>
  </conditionalFormatting>
  <conditionalFormatting sqref="D157">
    <cfRule type="expression" dxfId="53" priority="54" stopIfTrue="1">
      <formula>$F157&lt;=0</formula>
    </cfRule>
  </conditionalFormatting>
  <conditionalFormatting sqref="D158">
    <cfRule type="expression" dxfId="52" priority="53" stopIfTrue="1">
      <formula>$F158&lt;=0</formula>
    </cfRule>
  </conditionalFormatting>
  <conditionalFormatting sqref="D159">
    <cfRule type="expression" dxfId="51" priority="52" stopIfTrue="1">
      <formula>$F159&lt;=0</formula>
    </cfRule>
  </conditionalFormatting>
  <conditionalFormatting sqref="D160">
    <cfRule type="expression" dxfId="50" priority="51" stopIfTrue="1">
      <formula>$F160&lt;=0</formula>
    </cfRule>
  </conditionalFormatting>
  <conditionalFormatting sqref="D161">
    <cfRule type="expression" dxfId="49" priority="50" stopIfTrue="1">
      <formula>$F161&lt;=0</formula>
    </cfRule>
  </conditionalFormatting>
  <conditionalFormatting sqref="D162">
    <cfRule type="expression" dxfId="48" priority="49" stopIfTrue="1">
      <formula>$F162&lt;=0</formula>
    </cfRule>
  </conditionalFormatting>
  <conditionalFormatting sqref="D163">
    <cfRule type="expression" dxfId="47" priority="48" stopIfTrue="1">
      <formula>$F163&lt;=0</formula>
    </cfRule>
  </conditionalFormatting>
  <conditionalFormatting sqref="D164">
    <cfRule type="expression" dxfId="46" priority="47" stopIfTrue="1">
      <formula>$F164&lt;=0</formula>
    </cfRule>
  </conditionalFormatting>
  <conditionalFormatting sqref="D165">
    <cfRule type="expression" dxfId="45" priority="46" stopIfTrue="1">
      <formula>$F165&lt;=0</formula>
    </cfRule>
  </conditionalFormatting>
  <conditionalFormatting sqref="D166">
    <cfRule type="expression" dxfId="44" priority="45" stopIfTrue="1">
      <formula>$F166&lt;=0</formula>
    </cfRule>
  </conditionalFormatting>
  <conditionalFormatting sqref="D167">
    <cfRule type="expression" dxfId="43" priority="44" stopIfTrue="1">
      <formula>$F167&lt;=0</formula>
    </cfRule>
  </conditionalFormatting>
  <conditionalFormatting sqref="D168">
    <cfRule type="expression" dxfId="42" priority="43" stopIfTrue="1">
      <formula>$F168&lt;=0</formula>
    </cfRule>
  </conditionalFormatting>
  <conditionalFormatting sqref="D169">
    <cfRule type="expression" dxfId="41" priority="42" stopIfTrue="1">
      <formula>$F169&lt;=0</formula>
    </cfRule>
  </conditionalFormatting>
  <conditionalFormatting sqref="D170">
    <cfRule type="expression" dxfId="40" priority="41" stopIfTrue="1">
      <formula>$F170&lt;=0</formula>
    </cfRule>
  </conditionalFormatting>
  <conditionalFormatting sqref="D171">
    <cfRule type="expression" dxfId="39" priority="40" stopIfTrue="1">
      <formula>$F171&lt;=0</formula>
    </cfRule>
  </conditionalFormatting>
  <conditionalFormatting sqref="D172">
    <cfRule type="expression" dxfId="38" priority="39" stopIfTrue="1">
      <formula>$F172&lt;=0</formula>
    </cfRule>
  </conditionalFormatting>
  <conditionalFormatting sqref="D173">
    <cfRule type="expression" dxfId="37" priority="38" stopIfTrue="1">
      <formula>$F173&lt;=0</formula>
    </cfRule>
  </conditionalFormatting>
  <conditionalFormatting sqref="D174">
    <cfRule type="expression" dxfId="36" priority="37" stopIfTrue="1">
      <formula>$F174&lt;=0</formula>
    </cfRule>
  </conditionalFormatting>
  <conditionalFormatting sqref="D175">
    <cfRule type="expression" dxfId="35" priority="36" stopIfTrue="1">
      <formula>$F175&lt;=0</formula>
    </cfRule>
  </conditionalFormatting>
  <conditionalFormatting sqref="D176">
    <cfRule type="expression" dxfId="34" priority="35" stopIfTrue="1">
      <formula>$F176&lt;=0</formula>
    </cfRule>
  </conditionalFormatting>
  <conditionalFormatting sqref="D177">
    <cfRule type="expression" dxfId="33" priority="34" stopIfTrue="1">
      <formula>$F177&lt;=0</formula>
    </cfRule>
  </conditionalFormatting>
  <conditionalFormatting sqref="D178">
    <cfRule type="expression" dxfId="32" priority="33" stopIfTrue="1">
      <formula>$F178&lt;=0</formula>
    </cfRule>
  </conditionalFormatting>
  <conditionalFormatting sqref="D179">
    <cfRule type="expression" dxfId="31" priority="32" stopIfTrue="1">
      <formula>$F179&lt;=0</formula>
    </cfRule>
  </conditionalFormatting>
  <conditionalFormatting sqref="D180">
    <cfRule type="expression" dxfId="30" priority="31" stopIfTrue="1">
      <formula>$F180&lt;=0</formula>
    </cfRule>
  </conditionalFormatting>
  <conditionalFormatting sqref="D181">
    <cfRule type="expression" dxfId="29" priority="30" stopIfTrue="1">
      <formula>$F181&lt;=0</formula>
    </cfRule>
  </conditionalFormatting>
  <conditionalFormatting sqref="D182">
    <cfRule type="expression" dxfId="28" priority="29" stopIfTrue="1">
      <formula>$F182&lt;=0</formula>
    </cfRule>
  </conditionalFormatting>
  <conditionalFormatting sqref="D183">
    <cfRule type="expression" dxfId="27" priority="28" stopIfTrue="1">
      <formula>$F183&lt;=0</formula>
    </cfRule>
  </conditionalFormatting>
  <conditionalFormatting sqref="D184">
    <cfRule type="expression" dxfId="26" priority="27" stopIfTrue="1">
      <formula>$F184&lt;=0</formula>
    </cfRule>
  </conditionalFormatting>
  <conditionalFormatting sqref="D185">
    <cfRule type="expression" dxfId="25" priority="26" stopIfTrue="1">
      <formula>$F185&lt;=0</formula>
    </cfRule>
  </conditionalFormatting>
  <conditionalFormatting sqref="D186">
    <cfRule type="expression" dxfId="24" priority="25" stopIfTrue="1">
      <formula>$F186&lt;=0</formula>
    </cfRule>
  </conditionalFormatting>
  <conditionalFormatting sqref="D187">
    <cfRule type="expression" dxfId="23" priority="24" stopIfTrue="1">
      <formula>$F187&lt;=0</formula>
    </cfRule>
  </conditionalFormatting>
  <conditionalFormatting sqref="D188">
    <cfRule type="expression" dxfId="22" priority="23" stopIfTrue="1">
      <formula>$F188&lt;=0</formula>
    </cfRule>
  </conditionalFormatting>
  <conditionalFormatting sqref="D189">
    <cfRule type="expression" dxfId="21" priority="22" stopIfTrue="1">
      <formula>$F189&lt;=0</formula>
    </cfRule>
  </conditionalFormatting>
  <conditionalFormatting sqref="D190">
    <cfRule type="expression" dxfId="20" priority="21" stopIfTrue="1">
      <formula>$F190&lt;=0</formula>
    </cfRule>
  </conditionalFormatting>
  <conditionalFormatting sqref="D191">
    <cfRule type="expression" dxfId="19" priority="20" stopIfTrue="1">
      <formula>$F191&lt;=0</formula>
    </cfRule>
  </conditionalFormatting>
  <conditionalFormatting sqref="D192">
    <cfRule type="expression" dxfId="18" priority="19" stopIfTrue="1">
      <formula>$F192&lt;=0</formula>
    </cfRule>
  </conditionalFormatting>
  <conditionalFormatting sqref="D193">
    <cfRule type="expression" dxfId="17" priority="18" stopIfTrue="1">
      <formula>$F193&lt;=0</formula>
    </cfRule>
  </conditionalFormatting>
  <conditionalFormatting sqref="D194">
    <cfRule type="expression" dxfId="16" priority="17" stopIfTrue="1">
      <formula>$F194&lt;=0</formula>
    </cfRule>
  </conditionalFormatting>
  <conditionalFormatting sqref="D195">
    <cfRule type="expression" dxfId="15" priority="16" stopIfTrue="1">
      <formula>$F195&lt;=0</formula>
    </cfRule>
  </conditionalFormatting>
  <conditionalFormatting sqref="D196">
    <cfRule type="expression" dxfId="14" priority="15" stopIfTrue="1">
      <formula>$F196&lt;=0</formula>
    </cfRule>
  </conditionalFormatting>
  <conditionalFormatting sqref="D197">
    <cfRule type="expression" dxfId="13" priority="14" stopIfTrue="1">
      <formula>$F197&lt;=0</formula>
    </cfRule>
  </conditionalFormatting>
  <conditionalFormatting sqref="D198">
    <cfRule type="expression" dxfId="12" priority="13" stopIfTrue="1">
      <formula>$F198&lt;=0</formula>
    </cfRule>
  </conditionalFormatting>
  <conditionalFormatting sqref="D199">
    <cfRule type="expression" dxfId="11" priority="12" stopIfTrue="1">
      <formula>$F199&lt;=0</formula>
    </cfRule>
  </conditionalFormatting>
  <conditionalFormatting sqref="D200">
    <cfRule type="expression" dxfId="10" priority="11" stopIfTrue="1">
      <formula>$F200&lt;=0</formula>
    </cfRule>
  </conditionalFormatting>
  <conditionalFormatting sqref="D201">
    <cfRule type="expression" dxfId="9" priority="10" stopIfTrue="1">
      <formula>$F201&lt;=0</formula>
    </cfRule>
  </conditionalFormatting>
  <conditionalFormatting sqref="D202">
    <cfRule type="expression" dxfId="8" priority="9" stopIfTrue="1">
      <formula>$F202&lt;=0</formula>
    </cfRule>
  </conditionalFormatting>
  <conditionalFormatting sqref="D203">
    <cfRule type="expression" dxfId="7" priority="8" stopIfTrue="1">
      <formula>$F203&lt;=0</formula>
    </cfRule>
  </conditionalFormatting>
  <conditionalFormatting sqref="D204">
    <cfRule type="expression" dxfId="6" priority="7" stopIfTrue="1">
      <formula>$F204&lt;=0</formula>
    </cfRule>
  </conditionalFormatting>
  <conditionalFormatting sqref="D205">
    <cfRule type="expression" dxfId="5" priority="6" stopIfTrue="1">
      <formula>$F205&lt;=0</formula>
    </cfRule>
  </conditionalFormatting>
  <conditionalFormatting sqref="D206">
    <cfRule type="expression" dxfId="4" priority="5" stopIfTrue="1">
      <formula>$F206&lt;=0</formula>
    </cfRule>
  </conditionalFormatting>
  <conditionalFormatting sqref="D207">
    <cfRule type="expression" dxfId="3" priority="4" stopIfTrue="1">
      <formula>$F207&lt;=0</formula>
    </cfRule>
  </conditionalFormatting>
  <conditionalFormatting sqref="D208">
    <cfRule type="expression" dxfId="2" priority="3" stopIfTrue="1">
      <formula>$F208&lt;=0</formula>
    </cfRule>
  </conditionalFormatting>
  <conditionalFormatting sqref="D209">
    <cfRule type="expression" dxfId="1" priority="2" stopIfTrue="1">
      <formula>$F209&lt;=0</formula>
    </cfRule>
  </conditionalFormatting>
  <conditionalFormatting sqref="D210">
    <cfRule type="expression" dxfId="0" priority="1" stopIfTrue="1">
      <formula>$F210&lt;=0</formula>
    </cfRule>
  </conditionalFormatting>
  <dataValidations count="1">
    <dataValidation type="list" showInputMessage="1" showErrorMessage="1" sqref="H11:H210" xr:uid="{00000000-0002-0000-0600-000000000000}">
      <formula1>$S$2:$S$6</formula1>
    </dataValidation>
  </dataValidations>
  <pageMargins left="0.78740157499999996" right="0.78740157499999996" top="0.984251969" bottom="0.984251969" header="0.49212598499999999" footer="0.49212598499999999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A1:BR53"/>
  <sheetViews>
    <sheetView topLeftCell="A4" zoomScaleNormal="100" workbookViewId="0">
      <selection activeCell="B13" sqref="B13"/>
    </sheetView>
  </sheetViews>
  <sheetFormatPr defaultColWidth="9.09765625" defaultRowHeight="12.5"/>
  <cols>
    <col min="1" max="1" width="36.69921875" style="7" customWidth="1"/>
    <col min="2" max="2" width="24.8984375" style="49" customWidth="1"/>
    <col min="3" max="3" width="14.69921875" style="49" customWidth="1"/>
    <col min="4" max="4" width="22" style="7" customWidth="1"/>
    <col min="5" max="5" width="25" style="7" customWidth="1"/>
    <col min="6" max="6" width="13.296875" style="49" customWidth="1"/>
    <col min="7" max="16384" width="9.09765625" style="1"/>
  </cols>
  <sheetData>
    <row r="1" spans="1:70" ht="15.5">
      <c r="A1" s="234" t="s">
        <v>152</v>
      </c>
      <c r="B1" s="235"/>
      <c r="C1" s="235"/>
      <c r="D1" s="143"/>
      <c r="E1" s="145"/>
      <c r="F1" s="96"/>
    </row>
    <row r="2" spans="1:70" s="15" customFormat="1" ht="14">
      <c r="A2" s="174" t="s">
        <v>0</v>
      </c>
      <c r="B2" s="81" t="str">
        <f>Abertura!B6</f>
        <v>Projeto Realização do Churrasco da Turma</v>
      </c>
      <c r="C2" s="236"/>
      <c r="D2" s="175">
        <f>Abertura!B9</f>
        <v>45277</v>
      </c>
      <c r="E2" s="119" t="s">
        <v>77</v>
      </c>
      <c r="F2" s="237"/>
    </row>
    <row r="3" spans="1:70" s="15" customFormat="1" ht="14">
      <c r="A3" s="174" t="s">
        <v>14</v>
      </c>
      <c r="B3" s="81" t="str">
        <f>Abertura!B7</f>
        <v>Turma MBA GP18</v>
      </c>
      <c r="C3" s="236"/>
      <c r="D3" s="94" t="s">
        <v>55</v>
      </c>
      <c r="E3" s="238">
        <f>Sensib</f>
        <v>1</v>
      </c>
      <c r="F3" s="238"/>
    </row>
    <row r="4" spans="1:70" s="15" customFormat="1" ht="14">
      <c r="A4" s="178" t="s">
        <v>15</v>
      </c>
      <c r="B4" s="179" t="str">
        <f>Abertura!B8</f>
        <v>Vicente</v>
      </c>
      <c r="C4" s="239"/>
      <c r="D4" s="180" t="s">
        <v>56</v>
      </c>
      <c r="E4" s="240">
        <f>SensibO</f>
        <v>1</v>
      </c>
      <c r="F4" s="240"/>
    </row>
    <row r="5" spans="1:70" s="15" customFormat="1" ht="14">
      <c r="A5" s="452" t="s">
        <v>178</v>
      </c>
      <c r="B5" s="453"/>
      <c r="C5" s="453"/>
      <c r="D5" s="454"/>
      <c r="E5" s="450" t="s">
        <v>177</v>
      </c>
      <c r="F5" s="451"/>
    </row>
    <row r="6" spans="1:70" s="41" customFormat="1" ht="13">
      <c r="A6" s="182" t="str">
        <f>Abertura!$B$12</f>
        <v>Análise por Custos</v>
      </c>
      <c r="B6" s="241" t="s">
        <v>57</v>
      </c>
      <c r="C6" s="242" t="s">
        <v>69</v>
      </c>
      <c r="D6" s="146" t="s">
        <v>19</v>
      </c>
      <c r="E6" s="243" t="s">
        <v>70</v>
      </c>
      <c r="F6" s="242" t="s">
        <v>69</v>
      </c>
    </row>
    <row r="7" spans="1:70" s="42" customFormat="1" ht="14">
      <c r="A7" s="191" t="s">
        <v>41</v>
      </c>
      <c r="B7" s="244">
        <f>Abertura!B13</f>
        <v>7000</v>
      </c>
      <c r="C7" s="245">
        <v>1</v>
      </c>
      <c r="D7" s="246" t="s">
        <v>157</v>
      </c>
      <c r="E7" s="352">
        <f>'VME-Pré'!B7</f>
        <v>7000</v>
      </c>
      <c r="F7" s="353">
        <f>'VME-Pré'!C7</f>
        <v>1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</row>
    <row r="8" spans="1:70" s="42" customFormat="1" ht="14">
      <c r="A8" s="191" t="s">
        <v>153</v>
      </c>
      <c r="B8" s="244">
        <f>'Resposta-Ameacas'!I6 * Abertura!N12</f>
        <v>1750</v>
      </c>
      <c r="C8" s="245"/>
      <c r="D8" s="448" t="s">
        <v>169</v>
      </c>
      <c r="E8" s="354"/>
      <c r="F8" s="353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</row>
    <row r="9" spans="1:70" s="42" customFormat="1" ht="14">
      <c r="A9" s="191" t="s">
        <v>154</v>
      </c>
      <c r="B9" s="244">
        <f>'Resposta-Oport'!I6 * Abertura!N12</f>
        <v>0</v>
      </c>
      <c r="C9" s="245"/>
      <c r="D9" s="449"/>
      <c r="E9" s="354"/>
      <c r="F9" s="353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</row>
    <row r="10" spans="1:70" s="42" customFormat="1" ht="14">
      <c r="A10" s="191" t="s">
        <v>42</v>
      </c>
      <c r="B10" s="192">
        <f>B7+B8+B9</f>
        <v>8750</v>
      </c>
      <c r="C10" s="193">
        <f>B10/B7-1</f>
        <v>0.25</v>
      </c>
      <c r="D10" s="246" t="s">
        <v>168</v>
      </c>
      <c r="E10" s="354"/>
      <c r="F10" s="35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</row>
    <row r="11" spans="1:70" s="42" customFormat="1" ht="14">
      <c r="A11" s="191" t="s">
        <v>21</v>
      </c>
      <c r="B11" s="192">
        <f>Ameacas!I6 * Abertura!N12</f>
        <v>3797.5</v>
      </c>
      <c r="C11" s="193">
        <f>B11/B10</f>
        <v>0.434</v>
      </c>
      <c r="D11" s="246" t="s">
        <v>170</v>
      </c>
      <c r="E11" s="352">
        <f>'VME-Pré'!B8</f>
        <v>13545</v>
      </c>
      <c r="F11" s="353">
        <f>'VME-Pré'!C8</f>
        <v>1.9350000000000001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</row>
    <row r="12" spans="1:70" s="42" customFormat="1" ht="14">
      <c r="A12" s="191" t="s">
        <v>22</v>
      </c>
      <c r="B12" s="192">
        <f>-Oportunidades!I6*Abertura!N12</f>
        <v>-2750</v>
      </c>
      <c r="C12" s="193">
        <f>B12/B10</f>
        <v>-0.31428571428571428</v>
      </c>
      <c r="D12" s="246" t="s">
        <v>171</v>
      </c>
      <c r="E12" s="352">
        <f>'VME-Pré'!B9</f>
        <v>-2750</v>
      </c>
      <c r="F12" s="353">
        <f>'VME-Pré'!C9</f>
        <v>-0.39285714285714285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</row>
    <row r="13" spans="1:70" s="15" customFormat="1" ht="14">
      <c r="A13" s="358" t="s">
        <v>139</v>
      </c>
      <c r="B13" s="359">
        <f>SUM(B10:B12)</f>
        <v>9797.5</v>
      </c>
      <c r="C13" s="360">
        <f>B13/B7-1</f>
        <v>0.39964285714285719</v>
      </c>
      <c r="D13" s="322"/>
      <c r="E13" s="352">
        <f>'VME-Pré'!B10</f>
        <v>17795</v>
      </c>
      <c r="F13" s="356">
        <f>'VME-Pré'!C10</f>
        <v>1.5421428571428573</v>
      </c>
    </row>
    <row r="14" spans="1:70" s="15" customFormat="1" ht="14">
      <c r="A14" s="191" t="s">
        <v>140</v>
      </c>
      <c r="B14" s="192">
        <f>B10-(B19*Abertura!N12)</f>
        <v>5250</v>
      </c>
      <c r="C14" s="193">
        <f>B14/B7-1</f>
        <v>-0.25</v>
      </c>
      <c r="D14" s="323"/>
      <c r="E14" s="352">
        <f>'VME-Pré'!B11</f>
        <v>3500</v>
      </c>
      <c r="F14" s="356">
        <f>'VME-Pré'!C11</f>
        <v>-0.5</v>
      </c>
    </row>
    <row r="15" spans="1:70" s="15" customFormat="1" ht="14">
      <c r="A15" s="191" t="s">
        <v>141</v>
      </c>
      <c r="B15" s="192">
        <f>B10+(B18*Abertura!N12)</f>
        <v>24500</v>
      </c>
      <c r="C15" s="193">
        <f>B15/B7-1</f>
        <v>2.5</v>
      </c>
      <c r="D15" s="323"/>
      <c r="E15" s="352">
        <f>'VME-Pré'!B12</f>
        <v>37450</v>
      </c>
      <c r="F15" s="356">
        <f>'VME-Pré'!C12</f>
        <v>4.3499999999999996</v>
      </c>
    </row>
    <row r="16" spans="1:70" s="15" customFormat="1" ht="14">
      <c r="A16" s="37"/>
      <c r="B16" s="43"/>
      <c r="C16" s="44" t="s">
        <v>11</v>
      </c>
      <c r="D16" s="45"/>
      <c r="E16" s="46"/>
      <c r="F16" s="47"/>
    </row>
    <row r="17" spans="1:6" s="9" customFormat="1" ht="13">
      <c r="A17" s="247" t="s">
        <v>155</v>
      </c>
      <c r="B17" s="247" t="s">
        <v>73</v>
      </c>
      <c r="C17" s="48"/>
      <c r="D17" s="48"/>
      <c r="E17" s="48"/>
      <c r="F17" s="48"/>
    </row>
    <row r="18" spans="1:6" s="9" customFormat="1" ht="14">
      <c r="A18" s="361" t="s">
        <v>60</v>
      </c>
      <c r="B18" s="362">
        <f>Ameacas!H6</f>
        <v>15750</v>
      </c>
      <c r="C18" s="357" t="s">
        <v>175</v>
      </c>
      <c r="D18" s="48"/>
      <c r="E18" s="48"/>
      <c r="F18" s="48"/>
    </row>
    <row r="19" spans="1:6" s="9" customFormat="1" ht="14">
      <c r="A19" s="361" t="s">
        <v>59</v>
      </c>
      <c r="B19" s="362">
        <f>Oportunidades!H6</f>
        <v>3500</v>
      </c>
      <c r="C19" s="357" t="s">
        <v>176</v>
      </c>
      <c r="D19" s="48"/>
      <c r="E19" s="48"/>
      <c r="F19" s="48"/>
    </row>
    <row r="21" spans="1:6" ht="14">
      <c r="A21" s="187" t="s">
        <v>182</v>
      </c>
      <c r="B21" s="359">
        <f>('Resposta-Ameacas'!N6+'Resposta-Oport'!N6)*Abertura!N12</f>
        <v>0</v>
      </c>
      <c r="C21" s="360">
        <f>B21/B10</f>
        <v>0</v>
      </c>
      <c r="D21" s="455" t="s">
        <v>71</v>
      </c>
      <c r="E21" s="456"/>
      <c r="F21" s="457"/>
    </row>
    <row r="23" spans="1:6" ht="14">
      <c r="A23" s="187" t="s">
        <v>52</v>
      </c>
      <c r="B23" s="252">
        <v>0</v>
      </c>
      <c r="C23" s="360">
        <f>B23/B10</f>
        <v>0</v>
      </c>
      <c r="D23" s="455" t="s">
        <v>72</v>
      </c>
      <c r="E23" s="456"/>
      <c r="F23" s="457"/>
    </row>
    <row r="24" spans="1:6" ht="14">
      <c r="A24" s="37"/>
      <c r="B24" s="359">
        <f>B23*Abertura!N12</f>
        <v>0</v>
      </c>
      <c r="C24" s="47"/>
      <c r="D24" s="58"/>
      <c r="E24" s="46"/>
      <c r="F24" s="47"/>
    </row>
    <row r="26" spans="1:6" ht="14">
      <c r="A26" s="187" t="s">
        <v>53</v>
      </c>
      <c r="B26" s="359">
        <f>B21+B24</f>
        <v>0</v>
      </c>
      <c r="C26" s="360">
        <f>B26/B10</f>
        <v>0</v>
      </c>
      <c r="D26" s="455" t="s">
        <v>179</v>
      </c>
      <c r="E26" s="456"/>
      <c r="F26" s="457"/>
    </row>
    <row r="27" spans="1:6" ht="14">
      <c r="A27" s="37"/>
      <c r="B27" s="43"/>
      <c r="C27" s="47"/>
      <c r="D27" s="50"/>
      <c r="E27" s="46"/>
      <c r="F27" s="47"/>
    </row>
    <row r="28" spans="1:6" ht="14">
      <c r="A28" s="324" t="s">
        <v>68</v>
      </c>
      <c r="B28" s="241" t="s">
        <v>57</v>
      </c>
      <c r="C28" s="242" t="s">
        <v>69</v>
      </c>
      <c r="D28" s="50"/>
      <c r="E28" s="46"/>
      <c r="F28" s="47"/>
    </row>
    <row r="29" spans="1:6" s="15" customFormat="1" ht="14">
      <c r="A29" s="358" t="s">
        <v>139</v>
      </c>
      <c r="B29" s="363">
        <f>B13+B26</f>
        <v>9797.5</v>
      </c>
      <c r="C29" s="360">
        <f>B29/B7-1</f>
        <v>0.39964285714285719</v>
      </c>
      <c r="D29" s="458" t="s">
        <v>180</v>
      </c>
      <c r="E29" s="456"/>
      <c r="F29" s="457"/>
    </row>
    <row r="30" spans="1:6" s="15" customFormat="1" ht="14">
      <c r="A30" s="191" t="s">
        <v>140</v>
      </c>
      <c r="B30" s="192">
        <f>B14+B26</f>
        <v>5250</v>
      </c>
      <c r="C30" s="193">
        <f>B30/B7-1</f>
        <v>-0.25</v>
      </c>
      <c r="D30" s="439" t="s">
        <v>181</v>
      </c>
      <c r="E30" s="440"/>
      <c r="F30" s="441"/>
    </row>
    <row r="31" spans="1:6" s="15" customFormat="1" ht="14">
      <c r="A31" s="191" t="s">
        <v>141</v>
      </c>
      <c r="B31" s="192">
        <f>B15+B26</f>
        <v>24500</v>
      </c>
      <c r="C31" s="193">
        <f>B31/B7-1</f>
        <v>2.5</v>
      </c>
      <c r="D31" s="442"/>
      <c r="E31" s="443"/>
      <c r="F31" s="444"/>
    </row>
    <row r="32" spans="1:6" ht="14">
      <c r="A32" s="51"/>
      <c r="B32" s="43"/>
      <c r="C32" s="47"/>
      <c r="D32" s="50"/>
      <c r="E32" s="46"/>
      <c r="F32" s="47"/>
    </row>
    <row r="33" spans="1:6" ht="14">
      <c r="A33" s="249" t="s">
        <v>156</v>
      </c>
      <c r="B33" s="188"/>
      <c r="C33" s="250"/>
      <c r="D33" s="251"/>
      <c r="E33" s="248"/>
      <c r="F33" s="250"/>
    </row>
    <row r="34" spans="1:6" ht="11.5">
      <c r="A34" s="445"/>
      <c r="B34" s="445"/>
      <c r="C34" s="445"/>
      <c r="D34" s="445"/>
      <c r="E34" s="445"/>
      <c r="F34" s="445"/>
    </row>
    <row r="35" spans="1:6" ht="11.5">
      <c r="A35" s="446"/>
      <c r="B35" s="447"/>
      <c r="C35" s="447"/>
      <c r="D35" s="446"/>
      <c r="E35" s="446"/>
      <c r="F35" s="447"/>
    </row>
    <row r="36" spans="1:6" ht="11.5">
      <c r="A36" s="446"/>
      <c r="B36" s="447"/>
      <c r="C36" s="447"/>
      <c r="D36" s="446"/>
      <c r="E36" s="446"/>
      <c r="F36" s="447"/>
    </row>
    <row r="37" spans="1:6" ht="11.5">
      <c r="A37" s="446"/>
      <c r="B37" s="447"/>
      <c r="C37" s="447"/>
      <c r="D37" s="446"/>
      <c r="E37" s="446"/>
      <c r="F37" s="447"/>
    </row>
    <row r="38" spans="1:6" ht="11.5">
      <c r="A38" s="446"/>
      <c r="B38" s="447"/>
      <c r="C38" s="447"/>
      <c r="D38" s="446"/>
      <c r="E38" s="446"/>
      <c r="F38" s="447"/>
    </row>
    <row r="39" spans="1:6" ht="11.5">
      <c r="A39" s="446"/>
      <c r="B39" s="447"/>
      <c r="C39" s="447"/>
      <c r="D39" s="446"/>
      <c r="E39" s="446"/>
      <c r="F39" s="447"/>
    </row>
    <row r="40" spans="1:6" ht="11.5">
      <c r="A40" s="446"/>
      <c r="B40" s="447"/>
      <c r="C40" s="447"/>
      <c r="D40" s="446"/>
      <c r="E40" s="446"/>
      <c r="F40" s="447"/>
    </row>
    <row r="41" spans="1:6" ht="11.5">
      <c r="A41" s="446"/>
      <c r="B41" s="447"/>
      <c r="C41" s="447"/>
      <c r="D41" s="446"/>
      <c r="E41" s="446"/>
      <c r="F41" s="447"/>
    </row>
    <row r="42" spans="1:6" ht="11.5">
      <c r="A42" s="446"/>
      <c r="B42" s="447"/>
      <c r="C42" s="447"/>
      <c r="D42" s="446"/>
      <c r="E42" s="446"/>
      <c r="F42" s="447"/>
    </row>
    <row r="43" spans="1:6" ht="11.5">
      <c r="A43" s="446"/>
      <c r="B43" s="447"/>
      <c r="C43" s="447"/>
      <c r="D43" s="446"/>
      <c r="E43" s="446"/>
      <c r="F43" s="447"/>
    </row>
    <row r="44" spans="1:6" ht="11.5">
      <c r="A44" s="446"/>
      <c r="B44" s="447"/>
      <c r="C44" s="447"/>
      <c r="D44" s="446"/>
      <c r="E44" s="446"/>
      <c r="F44" s="447"/>
    </row>
    <row r="45" spans="1:6" ht="11.5">
      <c r="A45" s="446"/>
      <c r="B45" s="447"/>
      <c r="C45" s="447"/>
      <c r="D45" s="446"/>
      <c r="E45" s="446"/>
      <c r="F45" s="447"/>
    </row>
    <row r="46" spans="1:6" ht="11.5">
      <c r="A46" s="446"/>
      <c r="B46" s="447"/>
      <c r="C46" s="447"/>
      <c r="D46" s="446"/>
      <c r="E46" s="446"/>
      <c r="F46" s="447"/>
    </row>
    <row r="47" spans="1:6" ht="11.5">
      <c r="A47" s="446"/>
      <c r="B47" s="447"/>
      <c r="C47" s="447"/>
      <c r="D47" s="446"/>
      <c r="E47" s="446"/>
      <c r="F47" s="447"/>
    </row>
    <row r="48" spans="1:6" ht="11.5">
      <c r="A48" s="446"/>
      <c r="B48" s="447"/>
      <c r="C48" s="447"/>
      <c r="D48" s="446"/>
      <c r="E48" s="446"/>
      <c r="F48" s="447"/>
    </row>
    <row r="49" spans="1:6" ht="11.5">
      <c r="A49" s="446"/>
      <c r="B49" s="447"/>
      <c r="C49" s="447"/>
      <c r="D49" s="446"/>
      <c r="E49" s="446"/>
      <c r="F49" s="447"/>
    </row>
    <row r="50" spans="1:6" ht="11.5">
      <c r="A50" s="446"/>
      <c r="B50" s="447"/>
      <c r="C50" s="447"/>
      <c r="D50" s="446"/>
      <c r="E50" s="446"/>
      <c r="F50" s="447"/>
    </row>
    <row r="51" spans="1:6" ht="11.5">
      <c r="A51" s="446"/>
      <c r="B51" s="447"/>
      <c r="C51" s="447"/>
      <c r="D51" s="446"/>
      <c r="E51" s="446"/>
      <c r="F51" s="447"/>
    </row>
    <row r="52" spans="1:6" ht="11.5">
      <c r="A52" s="446"/>
      <c r="B52" s="447"/>
      <c r="C52" s="447"/>
      <c r="D52" s="446"/>
      <c r="E52" s="446"/>
      <c r="F52" s="447"/>
    </row>
    <row r="53" spans="1:6" ht="11.5">
      <c r="A53" s="446"/>
      <c r="B53" s="447"/>
      <c r="C53" s="447"/>
      <c r="D53" s="446"/>
      <c r="E53" s="446"/>
      <c r="F53" s="447"/>
    </row>
  </sheetData>
  <mergeCells count="9">
    <mergeCell ref="D30:F31"/>
    <mergeCell ref="A34:F53"/>
    <mergeCell ref="D8:D9"/>
    <mergeCell ref="E5:F5"/>
    <mergeCell ref="A5:D5"/>
    <mergeCell ref="D21:F21"/>
    <mergeCell ref="D23:F23"/>
    <mergeCell ref="D26:F26"/>
    <mergeCell ref="D29:F29"/>
  </mergeCells>
  <phoneticPr fontId="0" type="noConversion"/>
  <pageMargins left="0.78740157499999996" right="0.78740157499999996" top="0.984251969" bottom="0.984251969" header="0.49212598499999999" footer="0.49212598499999999"/>
  <pageSetup paperSize="9" orientation="landscape" horizontalDpi="360" verticalDpi="36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9">
    <tabColor rgb="FFFF0000"/>
  </sheetPr>
  <dimension ref="A1:CH213"/>
  <sheetViews>
    <sheetView zoomScale="90" workbookViewId="0">
      <pane ySplit="8" topLeftCell="A9" activePane="bottomLeft" state="frozen"/>
      <selection pane="bottomLeft" activeCell="D8" sqref="D8:E8"/>
    </sheetView>
  </sheetViews>
  <sheetFormatPr defaultColWidth="9.09765625" defaultRowHeight="12.5"/>
  <cols>
    <col min="1" max="1" width="6.09765625" style="55" customWidth="1"/>
    <col min="2" max="2" width="11.296875" style="64" customWidth="1"/>
    <col min="3" max="3" width="12.8984375" style="7" customWidth="1"/>
    <col min="4" max="4" width="34.3984375" style="6" customWidth="1"/>
    <col min="5" max="5" width="25.09765625" style="6" customWidth="1"/>
    <col min="6" max="6" width="11.296875" style="7" customWidth="1"/>
    <col min="7" max="7" width="16.09765625" style="7" customWidth="1"/>
    <col min="8" max="8" width="17.296875" style="7" customWidth="1"/>
    <col min="9" max="9" width="16.69921875" style="9" customWidth="1"/>
    <col min="10" max="10" width="8.3984375" style="9" customWidth="1"/>
    <col min="11" max="16384" width="9.09765625" style="1"/>
  </cols>
  <sheetData>
    <row r="1" spans="1:10" ht="15.5">
      <c r="A1" s="253" t="s">
        <v>158</v>
      </c>
      <c r="B1" s="142"/>
      <c r="C1" s="143"/>
      <c r="D1" s="144"/>
      <c r="E1" s="144"/>
      <c r="F1" s="143"/>
      <c r="G1" s="146" t="s">
        <v>11</v>
      </c>
      <c r="H1" s="146"/>
      <c r="I1" s="96"/>
      <c r="J1" s="150"/>
    </row>
    <row r="2" spans="1:10" ht="13">
      <c r="A2" s="254"/>
      <c r="B2" s="99"/>
      <c r="C2" s="147" t="s">
        <v>0</v>
      </c>
      <c r="D2" s="96" t="str">
        <f>Abertura!B6</f>
        <v>Projeto Realização do Churrasco da Turma</v>
      </c>
      <c r="E2" s="96"/>
      <c r="F2" s="94" t="s">
        <v>11</v>
      </c>
      <c r="G2" s="89"/>
      <c r="H2" s="90"/>
      <c r="I2" s="89">
        <f>Abertura!B9</f>
        <v>45277</v>
      </c>
      <c r="J2" s="97"/>
    </row>
    <row r="3" spans="1:10" ht="13">
      <c r="A3" s="254"/>
      <c r="B3" s="99"/>
      <c r="C3" s="147" t="s">
        <v>14</v>
      </c>
      <c r="D3" s="96" t="str">
        <f>Abertura!B7</f>
        <v>Turma MBA GP18</v>
      </c>
      <c r="E3" s="96"/>
      <c r="F3" s="90"/>
      <c r="G3" s="90"/>
      <c r="H3" s="90"/>
      <c r="I3" s="96"/>
      <c r="J3" s="96"/>
    </row>
    <row r="4" spans="1:10" ht="13">
      <c r="A4" s="255"/>
      <c r="B4" s="104"/>
      <c r="C4" s="105" t="s">
        <v>15</v>
      </c>
      <c r="D4" s="105" t="str">
        <f>Abertura!B8</f>
        <v>Vicente</v>
      </c>
      <c r="E4" s="105"/>
      <c r="F4" s="106"/>
      <c r="G4" s="106"/>
      <c r="H4" s="106"/>
      <c r="I4" s="107"/>
      <c r="J4" s="107"/>
    </row>
    <row r="5" spans="1:10" ht="13">
      <c r="A5" s="52"/>
      <c r="B5" s="68"/>
      <c r="C5" s="5"/>
      <c r="H5" s="8"/>
      <c r="I5" s="8"/>
    </row>
    <row r="6" spans="1:10" s="53" customFormat="1" ht="13.5" thickBot="1">
      <c r="A6" s="256" t="s">
        <v>74</v>
      </c>
      <c r="B6" s="153"/>
      <c r="C6" s="154"/>
      <c r="D6" s="155"/>
      <c r="E6" s="155"/>
      <c r="F6" s="152" t="s">
        <v>11</v>
      </c>
      <c r="G6" s="257" t="s">
        <v>11</v>
      </c>
      <c r="H6" s="156">
        <f>SUM(H9:H208)</f>
        <v>15750</v>
      </c>
      <c r="I6" s="156">
        <f>SUM(I9:I208)</f>
        <v>3797.5</v>
      </c>
      <c r="J6" s="159"/>
    </row>
    <row r="7" spans="1:10" ht="13">
      <c r="A7" s="258" t="s">
        <v>1</v>
      </c>
      <c r="B7" s="117" t="s">
        <v>32</v>
      </c>
      <c r="C7" s="120" t="s">
        <v>2</v>
      </c>
      <c r="D7" s="118" t="s">
        <v>16</v>
      </c>
      <c r="E7" s="118"/>
      <c r="F7" s="119" t="s">
        <v>6</v>
      </c>
      <c r="G7" s="120" t="s">
        <v>3</v>
      </c>
      <c r="H7" s="120" t="s">
        <v>3</v>
      </c>
      <c r="I7" s="119" t="s">
        <v>8</v>
      </c>
      <c r="J7" s="120" t="s">
        <v>4</v>
      </c>
    </row>
    <row r="8" spans="1:10" ht="13">
      <c r="A8" s="259"/>
      <c r="B8" s="122" t="s">
        <v>33</v>
      </c>
      <c r="C8" s="123"/>
      <c r="D8" s="460" t="s">
        <v>195</v>
      </c>
      <c r="E8" s="461"/>
      <c r="F8" s="125" t="s">
        <v>7</v>
      </c>
      <c r="G8" s="158" t="s">
        <v>26</v>
      </c>
      <c r="H8" s="158" t="s">
        <v>25</v>
      </c>
      <c r="I8" s="125" t="s">
        <v>9</v>
      </c>
      <c r="J8" s="120" t="s">
        <v>5</v>
      </c>
    </row>
    <row r="9" spans="1:10" ht="38.25" customHeight="1">
      <c r="A9" s="126">
        <f>'Ameacas-Pré'!A8</f>
        <v>1</v>
      </c>
      <c r="B9" s="127">
        <f>'Ameacas-Pré'!B8</f>
        <v>0</v>
      </c>
      <c r="C9" s="128" t="str">
        <f>'Ameacas-Pré'!C8</f>
        <v>Externo</v>
      </c>
      <c r="D9" s="459" t="str">
        <f>'Ameacas-Pré'!D8</f>
        <v>Dificuldade de acesso ao local - Temporal não esperado no período, ocasionando no cancelamento do churrasco</v>
      </c>
      <c r="E9" s="418"/>
      <c r="F9" s="129">
        <f>'Resposta-Ameacas'!J11</f>
        <v>0</v>
      </c>
      <c r="G9" s="132" t="str">
        <f>'Resposta-Ameacas'!K11</f>
        <v>0</v>
      </c>
      <c r="H9" s="133" t="str">
        <f>G9</f>
        <v>0</v>
      </c>
      <c r="I9" s="133">
        <f>F9*H9</f>
        <v>0</v>
      </c>
      <c r="J9" s="260">
        <f>'Ameacas-Pré'!Q8</f>
        <v>2</v>
      </c>
    </row>
    <row r="10" spans="1:10" ht="65.650000000000006" customHeight="1">
      <c r="A10" s="126">
        <f>'Ameacas-Pré'!A9</f>
        <v>2</v>
      </c>
      <c r="B10" s="127">
        <f>'Ameacas-Pré'!B9</f>
        <v>0</v>
      </c>
      <c r="C10" s="128" t="str">
        <f>'Ameacas-Pré'!C9</f>
        <v>Externo</v>
      </c>
      <c r="D10" s="459" t="str">
        <f>'Ameacas-Pré'!D9</f>
        <v>Aumento do custo do churrasco - Aumento do valor do churrasqueiro, ocasionando baixa adesão</v>
      </c>
      <c r="E10" s="418"/>
      <c r="F10" s="129">
        <f>'Resposta-Ameacas'!J12</f>
        <v>0</v>
      </c>
      <c r="G10" s="132" t="str">
        <f>'Resposta-Ameacas'!K12</f>
        <v>0</v>
      </c>
      <c r="H10" s="133" t="str">
        <f t="shared" ref="H10:H73" si="0">G10</f>
        <v>0</v>
      </c>
      <c r="I10" s="133">
        <f>F10*H10</f>
        <v>0</v>
      </c>
      <c r="J10" s="260">
        <f>'Ameacas-Pré'!Q9</f>
        <v>4</v>
      </c>
    </row>
    <row r="11" spans="1:10" ht="54" customHeight="1">
      <c r="A11" s="126">
        <f>'Ameacas-Pré'!A10</f>
        <v>3</v>
      </c>
      <c r="B11" s="127">
        <f>'Ameacas-Pré'!B10</f>
        <v>0</v>
      </c>
      <c r="C11" s="128" t="str">
        <f>'Ameacas-Pré'!C10</f>
        <v>Técnico</v>
      </c>
      <c r="D11" s="459" t="str">
        <f>'Ameacas-Pré'!D10</f>
        <v>Reclamações - Comida insuficiente, ocasionando na insatisfação dos participantes</v>
      </c>
      <c r="E11" s="418"/>
      <c r="F11" s="129">
        <f>'Resposta-Ameacas'!J13</f>
        <v>0.1</v>
      </c>
      <c r="G11" s="132">
        <f>'Resposta-Ameacas'!K13</f>
        <v>700</v>
      </c>
      <c r="H11" s="133">
        <f t="shared" si="0"/>
        <v>700</v>
      </c>
      <c r="I11" s="133">
        <f>F11*H11</f>
        <v>70</v>
      </c>
      <c r="J11" s="260">
        <f>'Ameacas-Pré'!Q10</f>
        <v>7</v>
      </c>
    </row>
    <row r="12" spans="1:10" ht="13">
      <c r="A12" s="126">
        <f>'Ameacas-Pré'!A11</f>
        <v>4</v>
      </c>
      <c r="B12" s="127">
        <f>'Ameacas-Pré'!B11</f>
        <v>0</v>
      </c>
      <c r="C12" s="128" t="str">
        <f>'Ameacas-Pré'!C11</f>
        <v>Técnico</v>
      </c>
      <c r="D12" s="459" t="str">
        <f>'Ameacas-Pré'!D11</f>
        <v>Reclamações - Playlist inadequada, gerando insatisfação dos participantes</v>
      </c>
      <c r="E12" s="418"/>
      <c r="F12" s="129">
        <f>'Resposta-Ameacas'!J14</f>
        <v>0.45</v>
      </c>
      <c r="G12" s="132">
        <f>'Resposta-Ameacas'!K14</f>
        <v>350</v>
      </c>
      <c r="H12" s="133">
        <f t="shared" si="0"/>
        <v>350</v>
      </c>
      <c r="I12" s="133">
        <f t="shared" ref="I12:I75" si="1">F12*H12</f>
        <v>157.5</v>
      </c>
      <c r="J12" s="260">
        <f>'Ameacas-Pré'!Q11</f>
        <v>6</v>
      </c>
    </row>
    <row r="13" spans="1:10" ht="25">
      <c r="A13" s="126">
        <f>'Ameacas-Pré'!A12</f>
        <v>5</v>
      </c>
      <c r="B13" s="127">
        <f>'Ameacas-Pré'!B12</f>
        <v>0</v>
      </c>
      <c r="C13" s="128" t="str">
        <f>'Ameacas-Pré'!C12</f>
        <v>Organizacional</v>
      </c>
      <c r="D13" s="459" t="str">
        <f>'Ameacas-Pré'!D12</f>
        <v>Inadimplência - Má indole, resultando em prejuízo</v>
      </c>
      <c r="E13" s="418"/>
      <c r="F13" s="129">
        <f>'Resposta-Ameacas'!J15</f>
        <v>0</v>
      </c>
      <c r="G13" s="132" t="str">
        <f>'Resposta-Ameacas'!K15</f>
        <v>0</v>
      </c>
      <c r="H13" s="133" t="str">
        <f t="shared" si="0"/>
        <v>0</v>
      </c>
      <c r="I13" s="133">
        <f t="shared" si="1"/>
        <v>0</v>
      </c>
      <c r="J13" s="260">
        <f>'Ameacas-Pré'!Q12</f>
        <v>4</v>
      </c>
    </row>
    <row r="14" spans="1:10" ht="25">
      <c r="A14" s="126">
        <f>'Ameacas-Pré'!A13</f>
        <v>6</v>
      </c>
      <c r="B14" s="127">
        <f>'Ameacas-Pré'!B13</f>
        <v>0</v>
      </c>
      <c r="C14" s="128" t="str">
        <f>'Ameacas-Pré'!C13</f>
        <v>Organizacional</v>
      </c>
      <c r="D14" s="459" t="str">
        <f>'Ameacas-Pré'!D13</f>
        <v>Baixa adesão ao churrasco, pois concorre com outros eventos e, consequentemente, resultando no cancelamento do churrasco</v>
      </c>
      <c r="E14" s="418"/>
      <c r="F14" s="129">
        <f>'Resposta-Ameacas'!J16</f>
        <v>0.15</v>
      </c>
      <c r="G14" s="132">
        <f>'Resposta-Ameacas'!K16</f>
        <v>7000</v>
      </c>
      <c r="H14" s="133">
        <f t="shared" si="0"/>
        <v>7000</v>
      </c>
      <c r="I14" s="133">
        <f t="shared" si="1"/>
        <v>1050</v>
      </c>
      <c r="J14" s="260">
        <f>'Ameacas-Pré'!Q13</f>
        <v>2</v>
      </c>
    </row>
    <row r="15" spans="1:10" ht="25">
      <c r="A15" s="126">
        <f>'Ameacas-Pré'!A14</f>
        <v>7</v>
      </c>
      <c r="B15" s="127">
        <f>'Ameacas-Pré'!B14</f>
        <v>0</v>
      </c>
      <c r="C15" s="128" t="str">
        <f>'Ameacas-Pré'!C14</f>
        <v>Organizacional</v>
      </c>
      <c r="D15" s="459" t="str">
        <f>'Ameacas-Pré'!D14</f>
        <v>Baixa adesão - devido ao conflito com data e horário, resultando no cancelamento do churrasco</v>
      </c>
      <c r="E15" s="418"/>
      <c r="F15" s="129">
        <f>'Resposta-Ameacas'!J17</f>
        <v>0.35</v>
      </c>
      <c r="G15" s="132">
        <f>'Resposta-Ameacas'!K17</f>
        <v>7000</v>
      </c>
      <c r="H15" s="133">
        <f t="shared" si="0"/>
        <v>7000</v>
      </c>
      <c r="I15" s="133">
        <f t="shared" si="1"/>
        <v>2450</v>
      </c>
      <c r="J15" s="260">
        <f>'Ameacas-Pré'!Q14</f>
        <v>1</v>
      </c>
    </row>
    <row r="16" spans="1:10" ht="13">
      <c r="A16" s="126">
        <f>'Ameacas-Pré'!A15</f>
        <v>8</v>
      </c>
      <c r="B16" s="127">
        <f>'Ameacas-Pré'!B15</f>
        <v>0</v>
      </c>
      <c r="C16" s="128" t="str">
        <f>'Ameacas-Pré'!C15</f>
        <v>Técnico</v>
      </c>
      <c r="D16" s="459" t="str">
        <f>'Ameacas-Pré'!D15</f>
        <v>Churrasqueiro ruim - Churrasqueiro sem habilidade, ocasionando insatisfação dos convidados</v>
      </c>
      <c r="E16" s="418"/>
      <c r="F16" s="129">
        <f>'Resposta-Ameacas'!J18</f>
        <v>0.3</v>
      </c>
      <c r="G16" s="132">
        <f>'Resposta-Ameacas'!K18</f>
        <v>0</v>
      </c>
      <c r="H16" s="133">
        <f t="shared" si="0"/>
        <v>0</v>
      </c>
      <c r="I16" s="133">
        <f t="shared" si="1"/>
        <v>0</v>
      </c>
      <c r="J16" s="260" t="str">
        <f>'Ameacas-Pré'!Q15</f>
        <v/>
      </c>
    </row>
    <row r="17" spans="1:10" ht="13">
      <c r="A17" s="126">
        <f>'Ameacas-Pré'!A16</f>
        <v>9</v>
      </c>
      <c r="B17" s="127">
        <f>'Ameacas-Pré'!B16</f>
        <v>0</v>
      </c>
      <c r="C17" s="128" t="str">
        <f>'Ameacas-Pré'!C16</f>
        <v>Técnico</v>
      </c>
      <c r="D17" s="459" t="str">
        <f>'Ameacas-Pré'!D16</f>
        <v>Churrasqueiro não compareceu - Sofreu acidente, logo o churrasco irá atrasar</v>
      </c>
      <c r="E17" s="418"/>
      <c r="F17" s="129">
        <f>'Resposta-Ameacas'!J19</f>
        <v>0.1</v>
      </c>
      <c r="G17" s="132">
        <f>'Resposta-Ameacas'!K19</f>
        <v>0</v>
      </c>
      <c r="H17" s="133">
        <f t="shared" si="0"/>
        <v>0</v>
      </c>
      <c r="I17" s="133">
        <f t="shared" si="1"/>
        <v>0</v>
      </c>
      <c r="J17" s="260" t="str">
        <f>'Ameacas-Pré'!Q16</f>
        <v/>
      </c>
    </row>
    <row r="18" spans="1:10" ht="13">
      <c r="A18" s="126">
        <f>'Ameacas-Pré'!A17</f>
        <v>10</v>
      </c>
      <c r="B18" s="127">
        <f>'Ameacas-Pré'!B17</f>
        <v>0</v>
      </c>
      <c r="C18" s="128" t="str">
        <f>'Ameacas-Pré'!C17</f>
        <v>Técnico</v>
      </c>
      <c r="D18" s="459" t="str">
        <f>'Ameacas-Pré'!D17</f>
        <v>Bebida quente - Pois a geladeira quebrou, logo gera instatisfação nos convidados</v>
      </c>
      <c r="E18" s="418"/>
      <c r="F18" s="129">
        <f>'Resposta-Ameacas'!J20</f>
        <v>0</v>
      </c>
      <c r="G18" s="132" t="str">
        <f>'Resposta-Ameacas'!K20</f>
        <v>0</v>
      </c>
      <c r="H18" s="133" t="str">
        <f t="shared" si="0"/>
        <v>0</v>
      </c>
      <c r="I18" s="133">
        <f t="shared" si="1"/>
        <v>0</v>
      </c>
      <c r="J18" s="260">
        <f>'Ameacas-Pré'!Q17</f>
        <v>7</v>
      </c>
    </row>
    <row r="19" spans="1:10" ht="13">
      <c r="A19" s="126">
        <f>'Ameacas-Pré'!A18</f>
        <v>11</v>
      </c>
      <c r="B19" s="127">
        <f>'Ameacas-Pré'!B18</f>
        <v>0</v>
      </c>
      <c r="C19" s="128" t="str">
        <f>'Ameacas-Pré'!C18</f>
        <v>Técnico</v>
      </c>
      <c r="D19" s="459" t="str">
        <f>'Ameacas-Pré'!D18</f>
        <v>Reclamações - Bebida insuficiente, ocasionando na insatisfação dos participantes</v>
      </c>
      <c r="E19" s="418"/>
      <c r="F19" s="129">
        <f>'Resposta-Ameacas'!J21</f>
        <v>0.1</v>
      </c>
      <c r="G19" s="132">
        <f>'Resposta-Ameacas'!K21</f>
        <v>700</v>
      </c>
      <c r="H19" s="133">
        <f t="shared" si="0"/>
        <v>700</v>
      </c>
      <c r="I19" s="133">
        <f t="shared" si="1"/>
        <v>70</v>
      </c>
      <c r="J19" s="260">
        <f>'Ameacas-Pré'!Q18</f>
        <v>7</v>
      </c>
    </row>
    <row r="20" spans="1:10" ht="13">
      <c r="A20" s="126">
        <f>'Ameacas-Pré'!A19</f>
        <v>12</v>
      </c>
      <c r="B20" s="127">
        <f>'Ameacas-Pré'!B19</f>
        <v>0</v>
      </c>
      <c r="C20" s="128">
        <f>'Ameacas-Pré'!C19</f>
        <v>0</v>
      </c>
      <c r="D20" s="459">
        <f>'Ameacas-Pré'!D19</f>
        <v>0</v>
      </c>
      <c r="E20" s="418"/>
      <c r="F20" s="129">
        <f>'Resposta-Ameacas'!J22</f>
        <v>0</v>
      </c>
      <c r="G20" s="132" t="str">
        <f>'Resposta-Ameacas'!K22</f>
        <v>0</v>
      </c>
      <c r="H20" s="133" t="str">
        <f t="shared" si="0"/>
        <v>0</v>
      </c>
      <c r="I20" s="133">
        <f t="shared" si="1"/>
        <v>0</v>
      </c>
      <c r="J20" s="260" t="str">
        <f>'Ameacas-Pré'!Q19</f>
        <v/>
      </c>
    </row>
    <row r="21" spans="1:10" ht="13">
      <c r="A21" s="126">
        <f>'Ameacas-Pré'!A20</f>
        <v>13</v>
      </c>
      <c r="B21" s="127">
        <f>'Ameacas-Pré'!B20</f>
        <v>0</v>
      </c>
      <c r="C21" s="128">
        <f>'Ameacas-Pré'!C20</f>
        <v>0</v>
      </c>
      <c r="D21" s="459">
        <f>'Ameacas-Pré'!D20</f>
        <v>0</v>
      </c>
      <c r="E21" s="418"/>
      <c r="F21" s="129">
        <f>'Resposta-Ameacas'!J23</f>
        <v>0</v>
      </c>
      <c r="G21" s="132" t="str">
        <f>'Resposta-Ameacas'!K23</f>
        <v>0</v>
      </c>
      <c r="H21" s="133" t="str">
        <f t="shared" si="0"/>
        <v>0</v>
      </c>
      <c r="I21" s="133">
        <f t="shared" si="1"/>
        <v>0</v>
      </c>
      <c r="J21" s="260" t="str">
        <f>'Ameacas-Pré'!Q20</f>
        <v/>
      </c>
    </row>
    <row r="22" spans="1:10" ht="13">
      <c r="A22" s="126">
        <f>'Ameacas-Pré'!A21</f>
        <v>14</v>
      </c>
      <c r="B22" s="127">
        <f>'Ameacas-Pré'!B21</f>
        <v>0</v>
      </c>
      <c r="C22" s="128">
        <f>'Ameacas-Pré'!C21</f>
        <v>0</v>
      </c>
      <c r="D22" s="459">
        <f>'Ameacas-Pré'!D21</f>
        <v>0</v>
      </c>
      <c r="E22" s="418"/>
      <c r="F22" s="129">
        <f>'Resposta-Ameacas'!J24</f>
        <v>0</v>
      </c>
      <c r="G22" s="132" t="str">
        <f>'Resposta-Ameacas'!K24</f>
        <v>0</v>
      </c>
      <c r="H22" s="133" t="str">
        <f t="shared" si="0"/>
        <v>0</v>
      </c>
      <c r="I22" s="133">
        <f t="shared" si="1"/>
        <v>0</v>
      </c>
      <c r="J22" s="260" t="str">
        <f>'Ameacas-Pré'!Q21</f>
        <v/>
      </c>
    </row>
    <row r="23" spans="1:10" ht="13">
      <c r="A23" s="126">
        <f>'Ameacas-Pré'!A22</f>
        <v>15</v>
      </c>
      <c r="B23" s="127">
        <f>'Ameacas-Pré'!B22</f>
        <v>0</v>
      </c>
      <c r="C23" s="128">
        <f>'Ameacas-Pré'!C22</f>
        <v>0</v>
      </c>
      <c r="D23" s="459">
        <f>'Ameacas-Pré'!D22</f>
        <v>0</v>
      </c>
      <c r="E23" s="418"/>
      <c r="F23" s="129">
        <f>'Resposta-Ameacas'!J25</f>
        <v>0</v>
      </c>
      <c r="G23" s="132" t="str">
        <f>'Resposta-Ameacas'!K25</f>
        <v>0</v>
      </c>
      <c r="H23" s="133" t="str">
        <f t="shared" si="0"/>
        <v>0</v>
      </c>
      <c r="I23" s="133">
        <f t="shared" si="1"/>
        <v>0</v>
      </c>
      <c r="J23" s="260" t="str">
        <f>'Ameacas-Pré'!Q22</f>
        <v/>
      </c>
    </row>
    <row r="24" spans="1:10" ht="13">
      <c r="A24" s="126">
        <f>'Ameacas-Pré'!A23</f>
        <v>16</v>
      </c>
      <c r="B24" s="127">
        <f>'Ameacas-Pré'!B23</f>
        <v>0</v>
      </c>
      <c r="C24" s="128">
        <f>'Ameacas-Pré'!C23</f>
        <v>0</v>
      </c>
      <c r="D24" s="459">
        <f>'Ameacas-Pré'!D23</f>
        <v>0</v>
      </c>
      <c r="E24" s="418"/>
      <c r="F24" s="129">
        <f>'Resposta-Ameacas'!J26</f>
        <v>0</v>
      </c>
      <c r="G24" s="132" t="str">
        <f>'Resposta-Ameacas'!K26</f>
        <v>0</v>
      </c>
      <c r="H24" s="133" t="str">
        <f t="shared" si="0"/>
        <v>0</v>
      </c>
      <c r="I24" s="133">
        <f t="shared" si="1"/>
        <v>0</v>
      </c>
      <c r="J24" s="260" t="str">
        <f>'Ameacas-Pré'!Q23</f>
        <v/>
      </c>
    </row>
    <row r="25" spans="1:10" ht="13">
      <c r="A25" s="126">
        <f>'Ameacas-Pré'!A24</f>
        <v>17</v>
      </c>
      <c r="B25" s="127">
        <f>'Ameacas-Pré'!B24</f>
        <v>0</v>
      </c>
      <c r="C25" s="128">
        <f>'Ameacas-Pré'!C24</f>
        <v>0</v>
      </c>
      <c r="D25" s="459">
        <f>'Ameacas-Pré'!D24</f>
        <v>0</v>
      </c>
      <c r="E25" s="418"/>
      <c r="F25" s="129">
        <f>'Resposta-Ameacas'!J27</f>
        <v>0</v>
      </c>
      <c r="G25" s="132" t="str">
        <f>'Resposta-Ameacas'!K27</f>
        <v>0</v>
      </c>
      <c r="H25" s="133" t="str">
        <f t="shared" si="0"/>
        <v>0</v>
      </c>
      <c r="I25" s="133">
        <f t="shared" si="1"/>
        <v>0</v>
      </c>
      <c r="J25" s="260" t="str">
        <f>'Ameacas-Pré'!Q24</f>
        <v/>
      </c>
    </row>
    <row r="26" spans="1:10" ht="13">
      <c r="A26" s="126">
        <f>'Ameacas-Pré'!A25</f>
        <v>18</v>
      </c>
      <c r="B26" s="127">
        <f>'Ameacas-Pré'!B25</f>
        <v>0</v>
      </c>
      <c r="C26" s="128">
        <f>'Ameacas-Pré'!C25</f>
        <v>0</v>
      </c>
      <c r="D26" s="459">
        <f>'Ameacas-Pré'!D25</f>
        <v>0</v>
      </c>
      <c r="E26" s="418"/>
      <c r="F26" s="129">
        <f>'Resposta-Ameacas'!J28</f>
        <v>0</v>
      </c>
      <c r="G26" s="132" t="str">
        <f>'Resposta-Ameacas'!K28</f>
        <v>0</v>
      </c>
      <c r="H26" s="133" t="str">
        <f t="shared" si="0"/>
        <v>0</v>
      </c>
      <c r="I26" s="133">
        <f t="shared" si="1"/>
        <v>0</v>
      </c>
      <c r="J26" s="260" t="str">
        <f>'Ameacas-Pré'!Q25</f>
        <v/>
      </c>
    </row>
    <row r="27" spans="1:10" ht="13">
      <c r="A27" s="126">
        <f>'Ameacas-Pré'!A26</f>
        <v>19</v>
      </c>
      <c r="B27" s="127">
        <f>'Ameacas-Pré'!B26</f>
        <v>0</v>
      </c>
      <c r="C27" s="128">
        <f>'Ameacas-Pré'!C26</f>
        <v>0</v>
      </c>
      <c r="D27" s="459">
        <f>'Ameacas-Pré'!D26</f>
        <v>0</v>
      </c>
      <c r="E27" s="418"/>
      <c r="F27" s="129">
        <f>'Resposta-Ameacas'!J29</f>
        <v>0</v>
      </c>
      <c r="G27" s="132" t="str">
        <f>'Resposta-Ameacas'!K29</f>
        <v>0</v>
      </c>
      <c r="H27" s="133" t="str">
        <f t="shared" si="0"/>
        <v>0</v>
      </c>
      <c r="I27" s="133">
        <f t="shared" si="1"/>
        <v>0</v>
      </c>
      <c r="J27" s="260" t="str">
        <f>'Ameacas-Pré'!Q26</f>
        <v/>
      </c>
    </row>
    <row r="28" spans="1:10" ht="13">
      <c r="A28" s="126">
        <f>'Ameacas-Pré'!A27</f>
        <v>20</v>
      </c>
      <c r="B28" s="127">
        <f>'Ameacas-Pré'!B27</f>
        <v>0</v>
      </c>
      <c r="C28" s="128">
        <f>'Ameacas-Pré'!C27</f>
        <v>0</v>
      </c>
      <c r="D28" s="459">
        <f>'Ameacas-Pré'!D27</f>
        <v>0</v>
      </c>
      <c r="E28" s="418"/>
      <c r="F28" s="129">
        <f>'Resposta-Ameacas'!J30</f>
        <v>0</v>
      </c>
      <c r="G28" s="132" t="str">
        <f>'Resposta-Ameacas'!K30</f>
        <v>0</v>
      </c>
      <c r="H28" s="133" t="str">
        <f t="shared" si="0"/>
        <v>0</v>
      </c>
      <c r="I28" s="133">
        <f t="shared" si="1"/>
        <v>0</v>
      </c>
      <c r="J28" s="260" t="str">
        <f>'Ameacas-Pré'!Q27</f>
        <v/>
      </c>
    </row>
    <row r="29" spans="1:10" ht="13">
      <c r="A29" s="126">
        <f>'Ameacas-Pré'!A28</f>
        <v>21</v>
      </c>
      <c r="B29" s="127">
        <f>'Ameacas-Pré'!B28</f>
        <v>0</v>
      </c>
      <c r="C29" s="128">
        <f>'Ameacas-Pré'!C28</f>
        <v>0</v>
      </c>
      <c r="D29" s="459">
        <f>'Ameacas-Pré'!D28</f>
        <v>0</v>
      </c>
      <c r="E29" s="418"/>
      <c r="F29" s="129">
        <f>'Resposta-Ameacas'!J31</f>
        <v>0</v>
      </c>
      <c r="G29" s="132" t="str">
        <f>'Resposta-Ameacas'!K31</f>
        <v>0</v>
      </c>
      <c r="H29" s="133" t="str">
        <f t="shared" si="0"/>
        <v>0</v>
      </c>
      <c r="I29" s="133">
        <f t="shared" si="1"/>
        <v>0</v>
      </c>
      <c r="J29" s="260" t="str">
        <f>'Ameacas-Pré'!Q28</f>
        <v/>
      </c>
    </row>
    <row r="30" spans="1:10" ht="13">
      <c r="A30" s="126">
        <f>'Ameacas-Pré'!A29</f>
        <v>22</v>
      </c>
      <c r="B30" s="127">
        <f>'Ameacas-Pré'!B29</f>
        <v>0</v>
      </c>
      <c r="C30" s="128">
        <f>'Ameacas-Pré'!C29</f>
        <v>0</v>
      </c>
      <c r="D30" s="459">
        <f>'Ameacas-Pré'!D29</f>
        <v>0</v>
      </c>
      <c r="E30" s="418"/>
      <c r="F30" s="129">
        <f>'Resposta-Ameacas'!J32</f>
        <v>0</v>
      </c>
      <c r="G30" s="132" t="str">
        <f>'Resposta-Ameacas'!K32</f>
        <v>0</v>
      </c>
      <c r="H30" s="133" t="str">
        <f t="shared" si="0"/>
        <v>0</v>
      </c>
      <c r="I30" s="133">
        <f t="shared" si="1"/>
        <v>0</v>
      </c>
      <c r="J30" s="260" t="str">
        <f>'Ameacas-Pré'!Q29</f>
        <v/>
      </c>
    </row>
    <row r="31" spans="1:10" ht="13">
      <c r="A31" s="126">
        <f>'Ameacas-Pré'!A30</f>
        <v>23</v>
      </c>
      <c r="B31" s="127">
        <f>'Ameacas-Pré'!B30</f>
        <v>0</v>
      </c>
      <c r="C31" s="128">
        <f>'Ameacas-Pré'!C30</f>
        <v>0</v>
      </c>
      <c r="D31" s="459">
        <f>'Ameacas-Pré'!D30</f>
        <v>0</v>
      </c>
      <c r="E31" s="418"/>
      <c r="F31" s="129">
        <f>'Resposta-Ameacas'!J33</f>
        <v>0</v>
      </c>
      <c r="G31" s="132" t="str">
        <f>'Resposta-Ameacas'!K33</f>
        <v>0</v>
      </c>
      <c r="H31" s="133" t="str">
        <f t="shared" si="0"/>
        <v>0</v>
      </c>
      <c r="I31" s="133">
        <f t="shared" si="1"/>
        <v>0</v>
      </c>
      <c r="J31" s="260" t="str">
        <f>'Ameacas-Pré'!Q30</f>
        <v/>
      </c>
    </row>
    <row r="32" spans="1:10" ht="13">
      <c r="A32" s="126">
        <f>'Ameacas-Pré'!A31</f>
        <v>24</v>
      </c>
      <c r="B32" s="127">
        <f>'Ameacas-Pré'!B31</f>
        <v>0</v>
      </c>
      <c r="C32" s="128">
        <f>'Ameacas-Pré'!C31</f>
        <v>0</v>
      </c>
      <c r="D32" s="459">
        <f>'Ameacas-Pré'!D31</f>
        <v>0</v>
      </c>
      <c r="E32" s="418"/>
      <c r="F32" s="129">
        <f>'Resposta-Ameacas'!J34</f>
        <v>0</v>
      </c>
      <c r="G32" s="132" t="str">
        <f>'Resposta-Ameacas'!K34</f>
        <v>0</v>
      </c>
      <c r="H32" s="133" t="str">
        <f t="shared" si="0"/>
        <v>0</v>
      </c>
      <c r="I32" s="133">
        <f t="shared" si="1"/>
        <v>0</v>
      </c>
      <c r="J32" s="260" t="str">
        <f>'Ameacas-Pré'!Q31</f>
        <v/>
      </c>
    </row>
    <row r="33" spans="1:10" ht="13">
      <c r="A33" s="126">
        <f>'Ameacas-Pré'!A32</f>
        <v>25</v>
      </c>
      <c r="B33" s="127">
        <f>'Ameacas-Pré'!B32</f>
        <v>0</v>
      </c>
      <c r="C33" s="128">
        <f>'Ameacas-Pré'!C32</f>
        <v>0</v>
      </c>
      <c r="D33" s="459">
        <f>'Ameacas-Pré'!D32</f>
        <v>0</v>
      </c>
      <c r="E33" s="418"/>
      <c r="F33" s="129">
        <f>'Resposta-Ameacas'!J35</f>
        <v>0</v>
      </c>
      <c r="G33" s="132" t="str">
        <f>'Resposta-Ameacas'!K35</f>
        <v>0</v>
      </c>
      <c r="H33" s="133" t="str">
        <f t="shared" si="0"/>
        <v>0</v>
      </c>
      <c r="I33" s="133">
        <f t="shared" si="1"/>
        <v>0</v>
      </c>
      <c r="J33" s="260" t="str">
        <f>'Ameacas-Pré'!Q32</f>
        <v/>
      </c>
    </row>
    <row r="34" spans="1:10" ht="13">
      <c r="A34" s="126">
        <f>'Ameacas-Pré'!A33</f>
        <v>26</v>
      </c>
      <c r="B34" s="127">
        <f>'Ameacas-Pré'!B33</f>
        <v>0</v>
      </c>
      <c r="C34" s="128">
        <f>'Ameacas-Pré'!C33</f>
        <v>0</v>
      </c>
      <c r="D34" s="459">
        <f>'Ameacas-Pré'!D33</f>
        <v>0</v>
      </c>
      <c r="E34" s="418"/>
      <c r="F34" s="129">
        <f>'Resposta-Ameacas'!J36</f>
        <v>0</v>
      </c>
      <c r="G34" s="132" t="str">
        <f>'Resposta-Ameacas'!K36</f>
        <v>0</v>
      </c>
      <c r="H34" s="133" t="str">
        <f t="shared" si="0"/>
        <v>0</v>
      </c>
      <c r="I34" s="133">
        <f t="shared" si="1"/>
        <v>0</v>
      </c>
      <c r="J34" s="260" t="str">
        <f>'Ameacas-Pré'!Q33</f>
        <v/>
      </c>
    </row>
    <row r="35" spans="1:10" ht="13">
      <c r="A35" s="126">
        <f>'Ameacas-Pré'!A34</f>
        <v>27</v>
      </c>
      <c r="B35" s="127">
        <f>'Ameacas-Pré'!B34</f>
        <v>0</v>
      </c>
      <c r="C35" s="128">
        <f>'Ameacas-Pré'!C34</f>
        <v>0</v>
      </c>
      <c r="D35" s="459">
        <f>'Ameacas-Pré'!D34</f>
        <v>0</v>
      </c>
      <c r="E35" s="418"/>
      <c r="F35" s="129">
        <f>'Resposta-Ameacas'!J37</f>
        <v>0</v>
      </c>
      <c r="G35" s="132" t="str">
        <f>'Resposta-Ameacas'!K37</f>
        <v>0</v>
      </c>
      <c r="H35" s="133" t="str">
        <f t="shared" si="0"/>
        <v>0</v>
      </c>
      <c r="I35" s="133">
        <f t="shared" si="1"/>
        <v>0</v>
      </c>
      <c r="J35" s="260" t="str">
        <f>'Ameacas-Pré'!Q34</f>
        <v/>
      </c>
    </row>
    <row r="36" spans="1:10" ht="13">
      <c r="A36" s="126">
        <f>'Ameacas-Pré'!A35</f>
        <v>28</v>
      </c>
      <c r="B36" s="127">
        <f>'Ameacas-Pré'!B35</f>
        <v>0</v>
      </c>
      <c r="C36" s="128">
        <f>'Ameacas-Pré'!C35</f>
        <v>0</v>
      </c>
      <c r="D36" s="459">
        <f>'Ameacas-Pré'!D35</f>
        <v>0</v>
      </c>
      <c r="E36" s="418"/>
      <c r="F36" s="129">
        <f>'Resposta-Ameacas'!J38</f>
        <v>0</v>
      </c>
      <c r="G36" s="132" t="str">
        <f>'Resposta-Ameacas'!K38</f>
        <v>0</v>
      </c>
      <c r="H36" s="133" t="str">
        <f t="shared" si="0"/>
        <v>0</v>
      </c>
      <c r="I36" s="133">
        <f t="shared" si="1"/>
        <v>0</v>
      </c>
      <c r="J36" s="260" t="str">
        <f>'Ameacas-Pré'!Q35</f>
        <v/>
      </c>
    </row>
    <row r="37" spans="1:10" ht="13">
      <c r="A37" s="126">
        <f>'Ameacas-Pré'!A36</f>
        <v>29</v>
      </c>
      <c r="B37" s="127">
        <f>'Ameacas-Pré'!B36</f>
        <v>0</v>
      </c>
      <c r="C37" s="128">
        <f>'Ameacas-Pré'!C36</f>
        <v>0</v>
      </c>
      <c r="D37" s="459">
        <f>'Ameacas-Pré'!D36</f>
        <v>0</v>
      </c>
      <c r="E37" s="418"/>
      <c r="F37" s="129">
        <f>'Resposta-Ameacas'!J39</f>
        <v>0</v>
      </c>
      <c r="G37" s="132" t="str">
        <f>'Resposta-Ameacas'!K39</f>
        <v>0</v>
      </c>
      <c r="H37" s="133" t="str">
        <f t="shared" si="0"/>
        <v>0</v>
      </c>
      <c r="I37" s="133">
        <f t="shared" si="1"/>
        <v>0</v>
      </c>
      <c r="J37" s="260" t="str">
        <f>'Ameacas-Pré'!Q36</f>
        <v/>
      </c>
    </row>
    <row r="38" spans="1:10" ht="13">
      <c r="A38" s="126">
        <f>'Ameacas-Pré'!A37</f>
        <v>30</v>
      </c>
      <c r="B38" s="127">
        <f>'Ameacas-Pré'!B37</f>
        <v>0</v>
      </c>
      <c r="C38" s="128">
        <f>'Ameacas-Pré'!C37</f>
        <v>0</v>
      </c>
      <c r="D38" s="459">
        <f>'Ameacas-Pré'!D37</f>
        <v>0</v>
      </c>
      <c r="E38" s="418"/>
      <c r="F38" s="129">
        <f>'Resposta-Ameacas'!J40</f>
        <v>0</v>
      </c>
      <c r="G38" s="132" t="str">
        <f>'Resposta-Ameacas'!K40</f>
        <v>0</v>
      </c>
      <c r="H38" s="133" t="str">
        <f t="shared" si="0"/>
        <v>0</v>
      </c>
      <c r="I38" s="133">
        <f t="shared" si="1"/>
        <v>0</v>
      </c>
      <c r="J38" s="260" t="str">
        <f>'Ameacas-Pré'!Q37</f>
        <v/>
      </c>
    </row>
    <row r="39" spans="1:10" ht="13">
      <c r="A39" s="126">
        <f>'Ameacas-Pré'!A38</f>
        <v>31</v>
      </c>
      <c r="B39" s="127">
        <f>'Ameacas-Pré'!B38</f>
        <v>0</v>
      </c>
      <c r="C39" s="128">
        <f>'Ameacas-Pré'!C38</f>
        <v>0</v>
      </c>
      <c r="D39" s="459">
        <f>'Ameacas-Pré'!D38</f>
        <v>0</v>
      </c>
      <c r="E39" s="418"/>
      <c r="F39" s="129">
        <f>'Resposta-Ameacas'!J41</f>
        <v>0</v>
      </c>
      <c r="G39" s="132" t="str">
        <f>'Resposta-Ameacas'!K41</f>
        <v>0</v>
      </c>
      <c r="H39" s="133" t="str">
        <f t="shared" si="0"/>
        <v>0</v>
      </c>
      <c r="I39" s="133">
        <f t="shared" si="1"/>
        <v>0</v>
      </c>
      <c r="J39" s="260" t="str">
        <f>'Ameacas-Pré'!Q38</f>
        <v/>
      </c>
    </row>
    <row r="40" spans="1:10" ht="13">
      <c r="A40" s="126">
        <f>'Ameacas-Pré'!A39</f>
        <v>32</v>
      </c>
      <c r="B40" s="127">
        <f>'Ameacas-Pré'!B39</f>
        <v>0</v>
      </c>
      <c r="C40" s="128">
        <f>'Ameacas-Pré'!C39</f>
        <v>0</v>
      </c>
      <c r="D40" s="459">
        <f>'Ameacas-Pré'!D39</f>
        <v>0</v>
      </c>
      <c r="E40" s="418"/>
      <c r="F40" s="129">
        <f>'Resposta-Ameacas'!J42</f>
        <v>0</v>
      </c>
      <c r="G40" s="132" t="str">
        <f>'Resposta-Ameacas'!K42</f>
        <v>0</v>
      </c>
      <c r="H40" s="133" t="str">
        <f t="shared" si="0"/>
        <v>0</v>
      </c>
      <c r="I40" s="133">
        <f t="shared" si="1"/>
        <v>0</v>
      </c>
      <c r="J40" s="260" t="str">
        <f>'Ameacas-Pré'!Q39</f>
        <v/>
      </c>
    </row>
    <row r="41" spans="1:10" ht="13">
      <c r="A41" s="126">
        <f>'Ameacas-Pré'!A40</f>
        <v>33</v>
      </c>
      <c r="B41" s="127">
        <f>'Ameacas-Pré'!B40</f>
        <v>0</v>
      </c>
      <c r="C41" s="128">
        <f>'Ameacas-Pré'!C40</f>
        <v>0</v>
      </c>
      <c r="D41" s="459">
        <f>'Ameacas-Pré'!D40</f>
        <v>0</v>
      </c>
      <c r="E41" s="418"/>
      <c r="F41" s="129">
        <f>'Resposta-Ameacas'!J43</f>
        <v>0</v>
      </c>
      <c r="G41" s="132" t="str">
        <f>'Resposta-Ameacas'!K43</f>
        <v>0</v>
      </c>
      <c r="H41" s="133" t="str">
        <f t="shared" si="0"/>
        <v>0</v>
      </c>
      <c r="I41" s="133">
        <f t="shared" si="1"/>
        <v>0</v>
      </c>
      <c r="J41" s="260" t="str">
        <f>'Ameacas-Pré'!Q40</f>
        <v/>
      </c>
    </row>
    <row r="42" spans="1:10" ht="13">
      <c r="A42" s="126">
        <f>'Ameacas-Pré'!A41</f>
        <v>34</v>
      </c>
      <c r="B42" s="127">
        <f>'Ameacas-Pré'!B41</f>
        <v>0</v>
      </c>
      <c r="C42" s="128">
        <f>'Ameacas-Pré'!C41</f>
        <v>0</v>
      </c>
      <c r="D42" s="459">
        <f>'Ameacas-Pré'!D41</f>
        <v>0</v>
      </c>
      <c r="E42" s="418"/>
      <c r="F42" s="129">
        <f>'Resposta-Ameacas'!J44</f>
        <v>0</v>
      </c>
      <c r="G42" s="132" t="str">
        <f>'Resposta-Ameacas'!K44</f>
        <v>0</v>
      </c>
      <c r="H42" s="133" t="str">
        <f t="shared" si="0"/>
        <v>0</v>
      </c>
      <c r="I42" s="133">
        <f t="shared" si="1"/>
        <v>0</v>
      </c>
      <c r="J42" s="260" t="str">
        <f>'Ameacas-Pré'!Q41</f>
        <v/>
      </c>
    </row>
    <row r="43" spans="1:10" ht="13">
      <c r="A43" s="126">
        <f>'Ameacas-Pré'!A42</f>
        <v>35</v>
      </c>
      <c r="B43" s="127">
        <f>'Ameacas-Pré'!B42</f>
        <v>0</v>
      </c>
      <c r="C43" s="128">
        <f>'Ameacas-Pré'!C42</f>
        <v>0</v>
      </c>
      <c r="D43" s="459">
        <f>'Ameacas-Pré'!D42</f>
        <v>0</v>
      </c>
      <c r="E43" s="418"/>
      <c r="F43" s="129">
        <f>'Resposta-Ameacas'!J45</f>
        <v>0</v>
      </c>
      <c r="G43" s="132" t="str">
        <f>'Resposta-Ameacas'!K45</f>
        <v>0</v>
      </c>
      <c r="H43" s="133" t="str">
        <f t="shared" si="0"/>
        <v>0</v>
      </c>
      <c r="I43" s="133">
        <f t="shared" si="1"/>
        <v>0</v>
      </c>
      <c r="J43" s="260" t="str">
        <f>'Ameacas-Pré'!Q42</f>
        <v/>
      </c>
    </row>
    <row r="44" spans="1:10" ht="13">
      <c r="A44" s="126">
        <f>'Ameacas-Pré'!A43</f>
        <v>36</v>
      </c>
      <c r="B44" s="127">
        <f>'Ameacas-Pré'!B43</f>
        <v>0</v>
      </c>
      <c r="C44" s="128">
        <f>'Ameacas-Pré'!C43</f>
        <v>0</v>
      </c>
      <c r="D44" s="459">
        <f>'Ameacas-Pré'!D43</f>
        <v>0</v>
      </c>
      <c r="E44" s="418"/>
      <c r="F44" s="129">
        <f>'Resposta-Ameacas'!J46</f>
        <v>0</v>
      </c>
      <c r="G44" s="132" t="str">
        <f>'Resposta-Ameacas'!K46</f>
        <v>0</v>
      </c>
      <c r="H44" s="133" t="str">
        <f t="shared" si="0"/>
        <v>0</v>
      </c>
      <c r="I44" s="133">
        <f t="shared" si="1"/>
        <v>0</v>
      </c>
      <c r="J44" s="260" t="str">
        <f>'Ameacas-Pré'!Q43</f>
        <v/>
      </c>
    </row>
    <row r="45" spans="1:10" ht="13">
      <c r="A45" s="126">
        <f>'Ameacas-Pré'!A44</f>
        <v>37</v>
      </c>
      <c r="B45" s="127">
        <f>'Ameacas-Pré'!B44</f>
        <v>0</v>
      </c>
      <c r="C45" s="128">
        <f>'Ameacas-Pré'!C44</f>
        <v>0</v>
      </c>
      <c r="D45" s="459">
        <f>'Ameacas-Pré'!D44</f>
        <v>0</v>
      </c>
      <c r="E45" s="418"/>
      <c r="F45" s="129">
        <f>'Resposta-Ameacas'!J47</f>
        <v>0</v>
      </c>
      <c r="G45" s="132" t="str">
        <f>'Resposta-Ameacas'!K47</f>
        <v>0</v>
      </c>
      <c r="H45" s="133" t="str">
        <f t="shared" si="0"/>
        <v>0</v>
      </c>
      <c r="I45" s="133">
        <f t="shared" si="1"/>
        <v>0</v>
      </c>
      <c r="J45" s="260" t="str">
        <f>'Ameacas-Pré'!Q44</f>
        <v/>
      </c>
    </row>
    <row r="46" spans="1:10" ht="13">
      <c r="A46" s="126">
        <f>'Ameacas-Pré'!A45</f>
        <v>38</v>
      </c>
      <c r="B46" s="127">
        <f>'Ameacas-Pré'!B45</f>
        <v>0</v>
      </c>
      <c r="C46" s="128">
        <f>'Ameacas-Pré'!C45</f>
        <v>0</v>
      </c>
      <c r="D46" s="459">
        <f>'Ameacas-Pré'!D45</f>
        <v>0</v>
      </c>
      <c r="E46" s="418"/>
      <c r="F46" s="129">
        <f>'Resposta-Ameacas'!J48</f>
        <v>0</v>
      </c>
      <c r="G46" s="132" t="str">
        <f>'Resposta-Ameacas'!K48</f>
        <v>0</v>
      </c>
      <c r="H46" s="133" t="str">
        <f t="shared" si="0"/>
        <v>0</v>
      </c>
      <c r="I46" s="133">
        <f t="shared" si="1"/>
        <v>0</v>
      </c>
      <c r="J46" s="260" t="str">
        <f>'Ameacas-Pré'!Q45</f>
        <v/>
      </c>
    </row>
    <row r="47" spans="1:10" ht="13">
      <c r="A47" s="126">
        <f>'Ameacas-Pré'!A46</f>
        <v>39</v>
      </c>
      <c r="B47" s="127">
        <f>'Ameacas-Pré'!B46</f>
        <v>0</v>
      </c>
      <c r="C47" s="128">
        <f>'Ameacas-Pré'!C46</f>
        <v>0</v>
      </c>
      <c r="D47" s="459">
        <f>'Ameacas-Pré'!D46</f>
        <v>0</v>
      </c>
      <c r="E47" s="418"/>
      <c r="F47" s="129">
        <f>'Resposta-Ameacas'!J49</f>
        <v>0</v>
      </c>
      <c r="G47" s="132" t="str">
        <f>'Resposta-Ameacas'!K49</f>
        <v>0</v>
      </c>
      <c r="H47" s="133" t="str">
        <f t="shared" si="0"/>
        <v>0</v>
      </c>
      <c r="I47" s="133">
        <f t="shared" si="1"/>
        <v>0</v>
      </c>
      <c r="J47" s="260" t="str">
        <f>'Ameacas-Pré'!Q46</f>
        <v/>
      </c>
    </row>
    <row r="48" spans="1:10" ht="13">
      <c r="A48" s="126">
        <f>'Ameacas-Pré'!A47</f>
        <v>40</v>
      </c>
      <c r="B48" s="127">
        <f>'Ameacas-Pré'!B47</f>
        <v>0</v>
      </c>
      <c r="C48" s="128">
        <f>'Ameacas-Pré'!C47</f>
        <v>0</v>
      </c>
      <c r="D48" s="459">
        <f>'Ameacas-Pré'!D47</f>
        <v>0</v>
      </c>
      <c r="E48" s="418"/>
      <c r="F48" s="129">
        <f>'Resposta-Ameacas'!J50</f>
        <v>0</v>
      </c>
      <c r="G48" s="132" t="str">
        <f>'Resposta-Ameacas'!K50</f>
        <v>0</v>
      </c>
      <c r="H48" s="133" t="str">
        <f t="shared" si="0"/>
        <v>0</v>
      </c>
      <c r="I48" s="133">
        <f t="shared" si="1"/>
        <v>0</v>
      </c>
      <c r="J48" s="260" t="str">
        <f>'Ameacas-Pré'!Q47</f>
        <v/>
      </c>
    </row>
    <row r="49" spans="1:10" ht="13">
      <c r="A49" s="126">
        <f>'Ameacas-Pré'!A48</f>
        <v>41</v>
      </c>
      <c r="B49" s="127">
        <f>'Ameacas-Pré'!B48</f>
        <v>0</v>
      </c>
      <c r="C49" s="128">
        <f>'Ameacas-Pré'!C48</f>
        <v>0</v>
      </c>
      <c r="D49" s="459">
        <f>'Ameacas-Pré'!D48</f>
        <v>0</v>
      </c>
      <c r="E49" s="418"/>
      <c r="F49" s="129">
        <f>'Resposta-Ameacas'!J51</f>
        <v>0</v>
      </c>
      <c r="G49" s="132" t="str">
        <f>'Resposta-Ameacas'!K51</f>
        <v>0</v>
      </c>
      <c r="H49" s="133" t="str">
        <f t="shared" si="0"/>
        <v>0</v>
      </c>
      <c r="I49" s="133">
        <f t="shared" si="1"/>
        <v>0</v>
      </c>
      <c r="J49" s="260" t="str">
        <f>'Ameacas-Pré'!Q48</f>
        <v/>
      </c>
    </row>
    <row r="50" spans="1:10" ht="13">
      <c r="A50" s="126">
        <f>'Ameacas-Pré'!A49</f>
        <v>42</v>
      </c>
      <c r="B50" s="127">
        <f>'Ameacas-Pré'!B49</f>
        <v>0</v>
      </c>
      <c r="C50" s="128">
        <f>'Ameacas-Pré'!C49</f>
        <v>0</v>
      </c>
      <c r="D50" s="459">
        <f>'Ameacas-Pré'!D49</f>
        <v>0</v>
      </c>
      <c r="E50" s="418"/>
      <c r="F50" s="129">
        <f>'Resposta-Ameacas'!J52</f>
        <v>0</v>
      </c>
      <c r="G50" s="132" t="str">
        <f>'Resposta-Ameacas'!K52</f>
        <v>0</v>
      </c>
      <c r="H50" s="133" t="str">
        <f t="shared" si="0"/>
        <v>0</v>
      </c>
      <c r="I50" s="133">
        <f t="shared" si="1"/>
        <v>0</v>
      </c>
      <c r="J50" s="260" t="str">
        <f>'Ameacas-Pré'!Q49</f>
        <v/>
      </c>
    </row>
    <row r="51" spans="1:10" ht="13">
      <c r="A51" s="126">
        <f>'Ameacas-Pré'!A50</f>
        <v>43</v>
      </c>
      <c r="B51" s="127">
        <f>'Ameacas-Pré'!B50</f>
        <v>0</v>
      </c>
      <c r="C51" s="128">
        <f>'Ameacas-Pré'!C50</f>
        <v>0</v>
      </c>
      <c r="D51" s="459">
        <f>'Ameacas-Pré'!D50</f>
        <v>0</v>
      </c>
      <c r="E51" s="418"/>
      <c r="F51" s="129">
        <f>'Resposta-Ameacas'!J53</f>
        <v>0</v>
      </c>
      <c r="G51" s="132" t="str">
        <f>'Resposta-Ameacas'!K53</f>
        <v>0</v>
      </c>
      <c r="H51" s="133" t="str">
        <f t="shared" si="0"/>
        <v>0</v>
      </c>
      <c r="I51" s="133">
        <f t="shared" si="1"/>
        <v>0</v>
      </c>
      <c r="J51" s="260" t="str">
        <f>'Ameacas-Pré'!Q50</f>
        <v/>
      </c>
    </row>
    <row r="52" spans="1:10" ht="13">
      <c r="A52" s="126">
        <f>'Ameacas-Pré'!A51</f>
        <v>44</v>
      </c>
      <c r="B52" s="127">
        <f>'Ameacas-Pré'!B51</f>
        <v>0</v>
      </c>
      <c r="C52" s="128">
        <f>'Ameacas-Pré'!C51</f>
        <v>0</v>
      </c>
      <c r="D52" s="459">
        <f>'Ameacas-Pré'!D51</f>
        <v>0</v>
      </c>
      <c r="E52" s="418"/>
      <c r="F52" s="129">
        <f>'Resposta-Ameacas'!J54</f>
        <v>0</v>
      </c>
      <c r="G52" s="132" t="str">
        <f>'Resposta-Ameacas'!K54</f>
        <v>0</v>
      </c>
      <c r="H52" s="133" t="str">
        <f t="shared" si="0"/>
        <v>0</v>
      </c>
      <c r="I52" s="133">
        <f t="shared" si="1"/>
        <v>0</v>
      </c>
      <c r="J52" s="260" t="str">
        <f>'Ameacas-Pré'!Q51</f>
        <v/>
      </c>
    </row>
    <row r="53" spans="1:10" ht="13">
      <c r="A53" s="126">
        <f>'Ameacas-Pré'!A52</f>
        <v>45</v>
      </c>
      <c r="B53" s="127">
        <f>'Ameacas-Pré'!B52</f>
        <v>0</v>
      </c>
      <c r="C53" s="128">
        <f>'Ameacas-Pré'!C52</f>
        <v>0</v>
      </c>
      <c r="D53" s="459">
        <f>'Ameacas-Pré'!D52</f>
        <v>0</v>
      </c>
      <c r="E53" s="418"/>
      <c r="F53" s="129">
        <f>'Resposta-Ameacas'!J55</f>
        <v>0</v>
      </c>
      <c r="G53" s="132" t="str">
        <f>'Resposta-Ameacas'!K55</f>
        <v>0</v>
      </c>
      <c r="H53" s="133" t="str">
        <f t="shared" si="0"/>
        <v>0</v>
      </c>
      <c r="I53" s="133">
        <f t="shared" si="1"/>
        <v>0</v>
      </c>
      <c r="J53" s="260" t="str">
        <f>'Ameacas-Pré'!Q52</f>
        <v/>
      </c>
    </row>
    <row r="54" spans="1:10" ht="13">
      <c r="A54" s="126">
        <f>'Ameacas-Pré'!A53</f>
        <v>46</v>
      </c>
      <c r="B54" s="127">
        <f>'Ameacas-Pré'!B53</f>
        <v>0</v>
      </c>
      <c r="C54" s="128">
        <f>'Ameacas-Pré'!C53</f>
        <v>0</v>
      </c>
      <c r="D54" s="459">
        <f>'Ameacas-Pré'!D53</f>
        <v>0</v>
      </c>
      <c r="E54" s="418"/>
      <c r="F54" s="129">
        <f>'Resposta-Ameacas'!J56</f>
        <v>0</v>
      </c>
      <c r="G54" s="132" t="str">
        <f>'Resposta-Ameacas'!K56</f>
        <v>0</v>
      </c>
      <c r="H54" s="133" t="str">
        <f t="shared" si="0"/>
        <v>0</v>
      </c>
      <c r="I54" s="133">
        <f t="shared" si="1"/>
        <v>0</v>
      </c>
      <c r="J54" s="260" t="str">
        <f>'Ameacas-Pré'!Q53</f>
        <v/>
      </c>
    </row>
    <row r="55" spans="1:10" ht="13">
      <c r="A55" s="126">
        <f>'Ameacas-Pré'!A54</f>
        <v>47</v>
      </c>
      <c r="B55" s="127">
        <f>'Ameacas-Pré'!B54</f>
        <v>0</v>
      </c>
      <c r="C55" s="128">
        <f>'Ameacas-Pré'!C54</f>
        <v>0</v>
      </c>
      <c r="D55" s="459">
        <f>'Ameacas-Pré'!D54</f>
        <v>0</v>
      </c>
      <c r="E55" s="418"/>
      <c r="F55" s="129">
        <f>'Resposta-Ameacas'!J57</f>
        <v>0</v>
      </c>
      <c r="G55" s="132" t="str">
        <f>'Resposta-Ameacas'!K57</f>
        <v>0</v>
      </c>
      <c r="H55" s="133" t="str">
        <f t="shared" si="0"/>
        <v>0</v>
      </c>
      <c r="I55" s="133">
        <f t="shared" si="1"/>
        <v>0</v>
      </c>
      <c r="J55" s="260" t="str">
        <f>'Ameacas-Pré'!Q54</f>
        <v/>
      </c>
    </row>
    <row r="56" spans="1:10" ht="13">
      <c r="A56" s="126">
        <f>'Ameacas-Pré'!A55</f>
        <v>48</v>
      </c>
      <c r="B56" s="127">
        <f>'Ameacas-Pré'!B55</f>
        <v>0</v>
      </c>
      <c r="C56" s="128">
        <f>'Ameacas-Pré'!C55</f>
        <v>0</v>
      </c>
      <c r="D56" s="459">
        <f>'Ameacas-Pré'!D55</f>
        <v>0</v>
      </c>
      <c r="E56" s="418"/>
      <c r="F56" s="129">
        <f>'Resposta-Ameacas'!J58</f>
        <v>0</v>
      </c>
      <c r="G56" s="132" t="str">
        <f>'Resposta-Ameacas'!K58</f>
        <v>0</v>
      </c>
      <c r="H56" s="133" t="str">
        <f t="shared" si="0"/>
        <v>0</v>
      </c>
      <c r="I56" s="133">
        <f t="shared" si="1"/>
        <v>0</v>
      </c>
      <c r="J56" s="260" t="str">
        <f>'Ameacas-Pré'!Q55</f>
        <v/>
      </c>
    </row>
    <row r="57" spans="1:10" ht="13">
      <c r="A57" s="126">
        <f>'Ameacas-Pré'!A56</f>
        <v>49</v>
      </c>
      <c r="B57" s="127">
        <f>'Ameacas-Pré'!B56</f>
        <v>0</v>
      </c>
      <c r="C57" s="128">
        <f>'Ameacas-Pré'!C56</f>
        <v>0</v>
      </c>
      <c r="D57" s="459">
        <f>'Ameacas-Pré'!D56</f>
        <v>0</v>
      </c>
      <c r="E57" s="418"/>
      <c r="F57" s="129">
        <f>'Resposta-Ameacas'!J59</f>
        <v>0</v>
      </c>
      <c r="G57" s="132" t="str">
        <f>'Resposta-Ameacas'!K59</f>
        <v>0</v>
      </c>
      <c r="H57" s="133" t="str">
        <f t="shared" si="0"/>
        <v>0</v>
      </c>
      <c r="I57" s="133">
        <f t="shared" si="1"/>
        <v>0</v>
      </c>
      <c r="J57" s="260" t="str">
        <f>'Ameacas-Pré'!Q56</f>
        <v/>
      </c>
    </row>
    <row r="58" spans="1:10" ht="13">
      <c r="A58" s="126">
        <f>'Ameacas-Pré'!A57</f>
        <v>50</v>
      </c>
      <c r="B58" s="127">
        <f>'Ameacas-Pré'!B57</f>
        <v>0</v>
      </c>
      <c r="C58" s="128">
        <f>'Ameacas-Pré'!C57</f>
        <v>0</v>
      </c>
      <c r="D58" s="459">
        <f>'Ameacas-Pré'!D57</f>
        <v>0</v>
      </c>
      <c r="E58" s="418"/>
      <c r="F58" s="129">
        <f>'Resposta-Ameacas'!J60</f>
        <v>0</v>
      </c>
      <c r="G58" s="132" t="str">
        <f>'Resposta-Ameacas'!K60</f>
        <v>0</v>
      </c>
      <c r="H58" s="133" t="str">
        <f t="shared" si="0"/>
        <v>0</v>
      </c>
      <c r="I58" s="133">
        <f t="shared" si="1"/>
        <v>0</v>
      </c>
      <c r="J58" s="260" t="str">
        <f>'Ameacas-Pré'!Q57</f>
        <v/>
      </c>
    </row>
    <row r="59" spans="1:10" ht="13">
      <c r="A59" s="126">
        <f>'Ameacas-Pré'!A58</f>
        <v>51</v>
      </c>
      <c r="B59" s="127">
        <f>'Ameacas-Pré'!B58</f>
        <v>0</v>
      </c>
      <c r="C59" s="128">
        <f>'Ameacas-Pré'!C58</f>
        <v>0</v>
      </c>
      <c r="D59" s="459">
        <f>'Ameacas-Pré'!D58</f>
        <v>0</v>
      </c>
      <c r="E59" s="418"/>
      <c r="F59" s="129">
        <f>'Resposta-Ameacas'!J61</f>
        <v>0</v>
      </c>
      <c r="G59" s="132" t="str">
        <f>'Resposta-Ameacas'!K61</f>
        <v>0</v>
      </c>
      <c r="H59" s="133" t="str">
        <f t="shared" si="0"/>
        <v>0</v>
      </c>
      <c r="I59" s="133">
        <f t="shared" si="1"/>
        <v>0</v>
      </c>
      <c r="J59" s="260" t="str">
        <f>'Ameacas-Pré'!Q58</f>
        <v/>
      </c>
    </row>
    <row r="60" spans="1:10" ht="13">
      <c r="A60" s="126">
        <f>'Ameacas-Pré'!A59</f>
        <v>52</v>
      </c>
      <c r="B60" s="127">
        <f>'Ameacas-Pré'!B59</f>
        <v>0</v>
      </c>
      <c r="C60" s="128">
        <f>'Ameacas-Pré'!C59</f>
        <v>0</v>
      </c>
      <c r="D60" s="459">
        <f>'Ameacas-Pré'!D59</f>
        <v>0</v>
      </c>
      <c r="E60" s="418"/>
      <c r="F60" s="129">
        <f>'Resposta-Ameacas'!J62</f>
        <v>0</v>
      </c>
      <c r="G60" s="132" t="str">
        <f>'Resposta-Ameacas'!K62</f>
        <v>0</v>
      </c>
      <c r="H60" s="133" t="str">
        <f t="shared" si="0"/>
        <v>0</v>
      </c>
      <c r="I60" s="133">
        <f t="shared" si="1"/>
        <v>0</v>
      </c>
      <c r="J60" s="260" t="str">
        <f>'Ameacas-Pré'!Q59</f>
        <v/>
      </c>
    </row>
    <row r="61" spans="1:10" ht="13">
      <c r="A61" s="126">
        <f>'Ameacas-Pré'!A60</f>
        <v>53</v>
      </c>
      <c r="B61" s="127">
        <f>'Ameacas-Pré'!B60</f>
        <v>0</v>
      </c>
      <c r="C61" s="128">
        <f>'Ameacas-Pré'!C60</f>
        <v>0</v>
      </c>
      <c r="D61" s="459">
        <f>'Ameacas-Pré'!D60</f>
        <v>0</v>
      </c>
      <c r="E61" s="418"/>
      <c r="F61" s="129">
        <f>'Resposta-Ameacas'!J63</f>
        <v>0</v>
      </c>
      <c r="G61" s="132" t="str">
        <f>'Resposta-Ameacas'!K63</f>
        <v>0</v>
      </c>
      <c r="H61" s="133" t="str">
        <f t="shared" si="0"/>
        <v>0</v>
      </c>
      <c r="I61" s="133">
        <f t="shared" si="1"/>
        <v>0</v>
      </c>
      <c r="J61" s="260" t="str">
        <f>'Ameacas-Pré'!Q60</f>
        <v/>
      </c>
    </row>
    <row r="62" spans="1:10" ht="13">
      <c r="A62" s="126">
        <f>'Ameacas-Pré'!A61</f>
        <v>54</v>
      </c>
      <c r="B62" s="127">
        <f>'Ameacas-Pré'!B61</f>
        <v>0</v>
      </c>
      <c r="C62" s="128">
        <f>'Ameacas-Pré'!C61</f>
        <v>0</v>
      </c>
      <c r="D62" s="459">
        <f>'Ameacas-Pré'!D61</f>
        <v>0</v>
      </c>
      <c r="E62" s="418"/>
      <c r="F62" s="129">
        <f>'Resposta-Ameacas'!J64</f>
        <v>0</v>
      </c>
      <c r="G62" s="132" t="str">
        <f>'Resposta-Ameacas'!K64</f>
        <v>0</v>
      </c>
      <c r="H62" s="133" t="str">
        <f t="shared" si="0"/>
        <v>0</v>
      </c>
      <c r="I62" s="133">
        <f t="shared" si="1"/>
        <v>0</v>
      </c>
      <c r="J62" s="260" t="str">
        <f>'Ameacas-Pré'!Q61</f>
        <v/>
      </c>
    </row>
    <row r="63" spans="1:10" ht="13">
      <c r="A63" s="126">
        <f>'Ameacas-Pré'!A62</f>
        <v>55</v>
      </c>
      <c r="B63" s="127">
        <f>'Ameacas-Pré'!B62</f>
        <v>0</v>
      </c>
      <c r="C63" s="128">
        <f>'Ameacas-Pré'!C62</f>
        <v>0</v>
      </c>
      <c r="D63" s="459">
        <f>'Ameacas-Pré'!D62</f>
        <v>0</v>
      </c>
      <c r="E63" s="418"/>
      <c r="F63" s="129">
        <f>'Resposta-Ameacas'!J65</f>
        <v>0</v>
      </c>
      <c r="G63" s="132" t="str">
        <f>'Resposta-Ameacas'!K65</f>
        <v>0</v>
      </c>
      <c r="H63" s="133" t="str">
        <f t="shared" si="0"/>
        <v>0</v>
      </c>
      <c r="I63" s="133">
        <f t="shared" si="1"/>
        <v>0</v>
      </c>
      <c r="J63" s="260" t="str">
        <f>'Ameacas-Pré'!Q62</f>
        <v/>
      </c>
    </row>
    <row r="64" spans="1:10" ht="13">
      <c r="A64" s="126">
        <f>'Ameacas-Pré'!A63</f>
        <v>56</v>
      </c>
      <c r="B64" s="127">
        <f>'Ameacas-Pré'!B63</f>
        <v>0</v>
      </c>
      <c r="C64" s="128">
        <f>'Ameacas-Pré'!C63</f>
        <v>0</v>
      </c>
      <c r="D64" s="459">
        <f>'Ameacas-Pré'!D63</f>
        <v>0</v>
      </c>
      <c r="E64" s="418"/>
      <c r="F64" s="129">
        <f>'Resposta-Ameacas'!J66</f>
        <v>0</v>
      </c>
      <c r="G64" s="132" t="str">
        <f>'Resposta-Ameacas'!K66</f>
        <v>0</v>
      </c>
      <c r="H64" s="133" t="str">
        <f t="shared" si="0"/>
        <v>0</v>
      </c>
      <c r="I64" s="133">
        <f t="shared" si="1"/>
        <v>0</v>
      </c>
      <c r="J64" s="260" t="str">
        <f>'Ameacas-Pré'!Q63</f>
        <v/>
      </c>
    </row>
    <row r="65" spans="1:10" ht="13">
      <c r="A65" s="126">
        <f>'Ameacas-Pré'!A64</f>
        <v>57</v>
      </c>
      <c r="B65" s="127">
        <f>'Ameacas-Pré'!B64</f>
        <v>0</v>
      </c>
      <c r="C65" s="128">
        <f>'Ameacas-Pré'!C64</f>
        <v>0</v>
      </c>
      <c r="D65" s="459">
        <f>'Ameacas-Pré'!D64</f>
        <v>0</v>
      </c>
      <c r="E65" s="418"/>
      <c r="F65" s="129">
        <f>'Resposta-Ameacas'!J67</f>
        <v>0</v>
      </c>
      <c r="G65" s="132" t="str">
        <f>'Resposta-Ameacas'!K67</f>
        <v>0</v>
      </c>
      <c r="H65" s="133" t="str">
        <f t="shared" si="0"/>
        <v>0</v>
      </c>
      <c r="I65" s="133">
        <f t="shared" si="1"/>
        <v>0</v>
      </c>
      <c r="J65" s="260" t="str">
        <f>'Ameacas-Pré'!Q64</f>
        <v/>
      </c>
    </row>
    <row r="66" spans="1:10" ht="13">
      <c r="A66" s="126">
        <f>'Ameacas-Pré'!A65</f>
        <v>58</v>
      </c>
      <c r="B66" s="127">
        <f>'Ameacas-Pré'!B65</f>
        <v>0</v>
      </c>
      <c r="C66" s="128">
        <f>'Ameacas-Pré'!C65</f>
        <v>0</v>
      </c>
      <c r="D66" s="459">
        <f>'Ameacas-Pré'!D65</f>
        <v>0</v>
      </c>
      <c r="E66" s="418"/>
      <c r="F66" s="129">
        <f>'Resposta-Ameacas'!J68</f>
        <v>0</v>
      </c>
      <c r="G66" s="132" t="str">
        <f>'Resposta-Ameacas'!K68</f>
        <v>0</v>
      </c>
      <c r="H66" s="133" t="str">
        <f t="shared" si="0"/>
        <v>0</v>
      </c>
      <c r="I66" s="133">
        <f t="shared" si="1"/>
        <v>0</v>
      </c>
      <c r="J66" s="260" t="str">
        <f>'Ameacas-Pré'!Q65</f>
        <v/>
      </c>
    </row>
    <row r="67" spans="1:10" ht="13">
      <c r="A67" s="126">
        <f>'Ameacas-Pré'!A66</f>
        <v>59</v>
      </c>
      <c r="B67" s="127">
        <f>'Ameacas-Pré'!B66</f>
        <v>0</v>
      </c>
      <c r="C67" s="128">
        <f>'Ameacas-Pré'!C66</f>
        <v>0</v>
      </c>
      <c r="D67" s="459">
        <f>'Ameacas-Pré'!D66</f>
        <v>0</v>
      </c>
      <c r="E67" s="418"/>
      <c r="F67" s="129">
        <f>'Resposta-Ameacas'!J69</f>
        <v>0</v>
      </c>
      <c r="G67" s="132" t="str">
        <f>'Resposta-Ameacas'!K69</f>
        <v>0</v>
      </c>
      <c r="H67" s="133" t="str">
        <f t="shared" si="0"/>
        <v>0</v>
      </c>
      <c r="I67" s="133">
        <f t="shared" si="1"/>
        <v>0</v>
      </c>
      <c r="J67" s="260" t="str">
        <f>'Ameacas-Pré'!Q66</f>
        <v/>
      </c>
    </row>
    <row r="68" spans="1:10" ht="13">
      <c r="A68" s="126">
        <f>'Ameacas-Pré'!A67</f>
        <v>60</v>
      </c>
      <c r="B68" s="127">
        <f>'Ameacas-Pré'!B67</f>
        <v>0</v>
      </c>
      <c r="C68" s="128">
        <f>'Ameacas-Pré'!C67</f>
        <v>0</v>
      </c>
      <c r="D68" s="459">
        <f>'Ameacas-Pré'!D67</f>
        <v>0</v>
      </c>
      <c r="E68" s="418"/>
      <c r="F68" s="129">
        <f>'Resposta-Ameacas'!J70</f>
        <v>0</v>
      </c>
      <c r="G68" s="132" t="str">
        <f>'Resposta-Ameacas'!K70</f>
        <v>0</v>
      </c>
      <c r="H68" s="133" t="str">
        <f t="shared" si="0"/>
        <v>0</v>
      </c>
      <c r="I68" s="133">
        <f t="shared" si="1"/>
        <v>0</v>
      </c>
      <c r="J68" s="260" t="str">
        <f>'Ameacas-Pré'!Q67</f>
        <v/>
      </c>
    </row>
    <row r="69" spans="1:10" ht="13">
      <c r="A69" s="126">
        <f>'Ameacas-Pré'!A68</f>
        <v>61</v>
      </c>
      <c r="B69" s="127">
        <f>'Ameacas-Pré'!B68</f>
        <v>0</v>
      </c>
      <c r="C69" s="128">
        <f>'Ameacas-Pré'!C68</f>
        <v>0</v>
      </c>
      <c r="D69" s="459">
        <f>'Ameacas-Pré'!D68</f>
        <v>0</v>
      </c>
      <c r="E69" s="418"/>
      <c r="F69" s="129">
        <f>'Resposta-Ameacas'!J71</f>
        <v>0</v>
      </c>
      <c r="G69" s="132" t="str">
        <f>'Resposta-Ameacas'!K71</f>
        <v>0</v>
      </c>
      <c r="H69" s="133" t="str">
        <f t="shared" si="0"/>
        <v>0</v>
      </c>
      <c r="I69" s="133">
        <f t="shared" si="1"/>
        <v>0</v>
      </c>
      <c r="J69" s="260" t="str">
        <f>'Ameacas-Pré'!Q68</f>
        <v/>
      </c>
    </row>
    <row r="70" spans="1:10" ht="13">
      <c r="A70" s="126">
        <f>'Ameacas-Pré'!A69</f>
        <v>62</v>
      </c>
      <c r="B70" s="127">
        <f>'Ameacas-Pré'!B69</f>
        <v>0</v>
      </c>
      <c r="C70" s="128">
        <f>'Ameacas-Pré'!C69</f>
        <v>0</v>
      </c>
      <c r="D70" s="459">
        <f>'Ameacas-Pré'!D69</f>
        <v>0</v>
      </c>
      <c r="E70" s="418"/>
      <c r="F70" s="129">
        <f>'Resposta-Ameacas'!J72</f>
        <v>0</v>
      </c>
      <c r="G70" s="132" t="str">
        <f>'Resposta-Ameacas'!K72</f>
        <v>0</v>
      </c>
      <c r="H70" s="133" t="str">
        <f t="shared" si="0"/>
        <v>0</v>
      </c>
      <c r="I70" s="133">
        <f t="shared" si="1"/>
        <v>0</v>
      </c>
      <c r="J70" s="260" t="str">
        <f>'Ameacas-Pré'!Q69</f>
        <v/>
      </c>
    </row>
    <row r="71" spans="1:10" ht="13">
      <c r="A71" s="126">
        <f>'Ameacas-Pré'!A70</f>
        <v>63</v>
      </c>
      <c r="B71" s="127">
        <f>'Ameacas-Pré'!B70</f>
        <v>0</v>
      </c>
      <c r="C71" s="128">
        <f>'Ameacas-Pré'!C70</f>
        <v>0</v>
      </c>
      <c r="D71" s="459">
        <f>'Ameacas-Pré'!D70</f>
        <v>0</v>
      </c>
      <c r="E71" s="418"/>
      <c r="F71" s="129">
        <f>'Resposta-Ameacas'!J73</f>
        <v>0</v>
      </c>
      <c r="G71" s="132" t="str">
        <f>'Resposta-Ameacas'!K73</f>
        <v>0</v>
      </c>
      <c r="H71" s="133" t="str">
        <f t="shared" si="0"/>
        <v>0</v>
      </c>
      <c r="I71" s="133">
        <f t="shared" si="1"/>
        <v>0</v>
      </c>
      <c r="J71" s="260" t="str">
        <f>'Ameacas-Pré'!Q70</f>
        <v/>
      </c>
    </row>
    <row r="72" spans="1:10" ht="13">
      <c r="A72" s="126">
        <f>'Ameacas-Pré'!A71</f>
        <v>64</v>
      </c>
      <c r="B72" s="127">
        <f>'Ameacas-Pré'!B71</f>
        <v>0</v>
      </c>
      <c r="C72" s="128">
        <f>'Ameacas-Pré'!C71</f>
        <v>0</v>
      </c>
      <c r="D72" s="459">
        <f>'Ameacas-Pré'!D71</f>
        <v>0</v>
      </c>
      <c r="E72" s="418"/>
      <c r="F72" s="129">
        <f>'Resposta-Ameacas'!J74</f>
        <v>0</v>
      </c>
      <c r="G72" s="132" t="str">
        <f>'Resposta-Ameacas'!K74</f>
        <v>0</v>
      </c>
      <c r="H72" s="133" t="str">
        <f t="shared" si="0"/>
        <v>0</v>
      </c>
      <c r="I72" s="133">
        <f t="shared" si="1"/>
        <v>0</v>
      </c>
      <c r="J72" s="260" t="str">
        <f>'Ameacas-Pré'!Q71</f>
        <v/>
      </c>
    </row>
    <row r="73" spans="1:10" ht="13">
      <c r="A73" s="126">
        <f>'Ameacas-Pré'!A72</f>
        <v>65</v>
      </c>
      <c r="B73" s="127">
        <f>'Ameacas-Pré'!B72</f>
        <v>0</v>
      </c>
      <c r="C73" s="128">
        <f>'Ameacas-Pré'!C72</f>
        <v>0</v>
      </c>
      <c r="D73" s="459">
        <f>'Ameacas-Pré'!D72</f>
        <v>0</v>
      </c>
      <c r="E73" s="418"/>
      <c r="F73" s="129">
        <f>'Resposta-Ameacas'!J75</f>
        <v>0</v>
      </c>
      <c r="G73" s="132" t="str">
        <f>'Resposta-Ameacas'!K75</f>
        <v>0</v>
      </c>
      <c r="H73" s="133" t="str">
        <f t="shared" si="0"/>
        <v>0</v>
      </c>
      <c r="I73" s="133">
        <f t="shared" si="1"/>
        <v>0</v>
      </c>
      <c r="J73" s="260" t="str">
        <f>'Ameacas-Pré'!Q72</f>
        <v/>
      </c>
    </row>
    <row r="74" spans="1:10" ht="13">
      <c r="A74" s="126">
        <f>'Ameacas-Pré'!A73</f>
        <v>66</v>
      </c>
      <c r="B74" s="127">
        <f>'Ameacas-Pré'!B73</f>
        <v>0</v>
      </c>
      <c r="C74" s="128">
        <f>'Ameacas-Pré'!C73</f>
        <v>0</v>
      </c>
      <c r="D74" s="459">
        <f>'Ameacas-Pré'!D73</f>
        <v>0</v>
      </c>
      <c r="E74" s="418"/>
      <c r="F74" s="129">
        <f>'Resposta-Ameacas'!J76</f>
        <v>0</v>
      </c>
      <c r="G74" s="132" t="str">
        <f>'Resposta-Ameacas'!K76</f>
        <v>0</v>
      </c>
      <c r="H74" s="133" t="str">
        <f t="shared" ref="H74:H137" si="2">G74</f>
        <v>0</v>
      </c>
      <c r="I74" s="133">
        <f t="shared" si="1"/>
        <v>0</v>
      </c>
      <c r="J74" s="260" t="str">
        <f>'Ameacas-Pré'!Q73</f>
        <v/>
      </c>
    </row>
    <row r="75" spans="1:10" ht="13">
      <c r="A75" s="126">
        <f>'Ameacas-Pré'!A74</f>
        <v>67</v>
      </c>
      <c r="B75" s="127">
        <f>'Ameacas-Pré'!B74</f>
        <v>0</v>
      </c>
      <c r="C75" s="128">
        <f>'Ameacas-Pré'!C74</f>
        <v>0</v>
      </c>
      <c r="D75" s="459">
        <f>'Ameacas-Pré'!D74</f>
        <v>0</v>
      </c>
      <c r="E75" s="418"/>
      <c r="F75" s="129">
        <f>'Resposta-Ameacas'!J77</f>
        <v>0</v>
      </c>
      <c r="G75" s="132" t="str">
        <f>'Resposta-Ameacas'!K77</f>
        <v>0</v>
      </c>
      <c r="H75" s="133" t="str">
        <f t="shared" si="2"/>
        <v>0</v>
      </c>
      <c r="I75" s="133">
        <f t="shared" si="1"/>
        <v>0</v>
      </c>
      <c r="J75" s="260" t="str">
        <f>'Ameacas-Pré'!Q74</f>
        <v/>
      </c>
    </row>
    <row r="76" spans="1:10" ht="13">
      <c r="A76" s="126">
        <f>'Ameacas-Pré'!A75</f>
        <v>68</v>
      </c>
      <c r="B76" s="127">
        <f>'Ameacas-Pré'!B75</f>
        <v>0</v>
      </c>
      <c r="C76" s="128">
        <f>'Ameacas-Pré'!C75</f>
        <v>0</v>
      </c>
      <c r="D76" s="459">
        <f>'Ameacas-Pré'!D75</f>
        <v>0</v>
      </c>
      <c r="E76" s="418"/>
      <c r="F76" s="129">
        <f>'Resposta-Ameacas'!J78</f>
        <v>0</v>
      </c>
      <c r="G76" s="132" t="str">
        <f>'Resposta-Ameacas'!K78</f>
        <v>0</v>
      </c>
      <c r="H76" s="133" t="str">
        <f t="shared" si="2"/>
        <v>0</v>
      </c>
      <c r="I76" s="133">
        <f t="shared" ref="I76:I139" si="3">F76*H76</f>
        <v>0</v>
      </c>
      <c r="J76" s="260" t="str">
        <f>'Ameacas-Pré'!Q75</f>
        <v/>
      </c>
    </row>
    <row r="77" spans="1:10" ht="13">
      <c r="A77" s="126">
        <f>'Ameacas-Pré'!A76</f>
        <v>69</v>
      </c>
      <c r="B77" s="127">
        <f>'Ameacas-Pré'!B76</f>
        <v>0</v>
      </c>
      <c r="C77" s="128">
        <f>'Ameacas-Pré'!C76</f>
        <v>0</v>
      </c>
      <c r="D77" s="459">
        <f>'Ameacas-Pré'!D76</f>
        <v>0</v>
      </c>
      <c r="E77" s="418"/>
      <c r="F77" s="129">
        <f>'Resposta-Ameacas'!J79</f>
        <v>0</v>
      </c>
      <c r="G77" s="132" t="str">
        <f>'Resposta-Ameacas'!K79</f>
        <v>0</v>
      </c>
      <c r="H77" s="133" t="str">
        <f t="shared" si="2"/>
        <v>0</v>
      </c>
      <c r="I77" s="133">
        <f t="shared" si="3"/>
        <v>0</v>
      </c>
      <c r="J77" s="260" t="str">
        <f>'Ameacas-Pré'!Q76</f>
        <v/>
      </c>
    </row>
    <row r="78" spans="1:10" ht="13">
      <c r="A78" s="126">
        <f>'Ameacas-Pré'!A77</f>
        <v>70</v>
      </c>
      <c r="B78" s="127">
        <f>'Ameacas-Pré'!B77</f>
        <v>0</v>
      </c>
      <c r="C78" s="128">
        <f>'Ameacas-Pré'!C77</f>
        <v>0</v>
      </c>
      <c r="D78" s="459">
        <f>'Ameacas-Pré'!D77</f>
        <v>0</v>
      </c>
      <c r="E78" s="418"/>
      <c r="F78" s="129">
        <f>'Resposta-Ameacas'!J80</f>
        <v>0</v>
      </c>
      <c r="G78" s="132" t="str">
        <f>'Resposta-Ameacas'!K80</f>
        <v>0</v>
      </c>
      <c r="H78" s="133" t="str">
        <f t="shared" si="2"/>
        <v>0</v>
      </c>
      <c r="I78" s="133">
        <f t="shared" si="3"/>
        <v>0</v>
      </c>
      <c r="J78" s="260" t="str">
        <f>'Ameacas-Pré'!Q77</f>
        <v/>
      </c>
    </row>
    <row r="79" spans="1:10" ht="13">
      <c r="A79" s="126">
        <f>'Ameacas-Pré'!A78</f>
        <v>71</v>
      </c>
      <c r="B79" s="127">
        <f>'Ameacas-Pré'!B78</f>
        <v>0</v>
      </c>
      <c r="C79" s="128">
        <f>'Ameacas-Pré'!C78</f>
        <v>0</v>
      </c>
      <c r="D79" s="459">
        <f>'Ameacas-Pré'!D78</f>
        <v>0</v>
      </c>
      <c r="E79" s="418"/>
      <c r="F79" s="129">
        <f>'Resposta-Ameacas'!J81</f>
        <v>0</v>
      </c>
      <c r="G79" s="132" t="str">
        <f>'Resposta-Ameacas'!K81</f>
        <v>0</v>
      </c>
      <c r="H79" s="133" t="str">
        <f t="shared" si="2"/>
        <v>0</v>
      </c>
      <c r="I79" s="133">
        <f t="shared" si="3"/>
        <v>0</v>
      </c>
      <c r="J79" s="260" t="str">
        <f>'Ameacas-Pré'!Q78</f>
        <v/>
      </c>
    </row>
    <row r="80" spans="1:10" ht="13">
      <c r="A80" s="126">
        <f>'Ameacas-Pré'!A79</f>
        <v>72</v>
      </c>
      <c r="B80" s="127">
        <f>'Ameacas-Pré'!B79</f>
        <v>0</v>
      </c>
      <c r="C80" s="128">
        <f>'Ameacas-Pré'!C79</f>
        <v>0</v>
      </c>
      <c r="D80" s="459">
        <f>'Ameacas-Pré'!D79</f>
        <v>0</v>
      </c>
      <c r="E80" s="418"/>
      <c r="F80" s="129">
        <f>'Resposta-Ameacas'!J82</f>
        <v>0</v>
      </c>
      <c r="G80" s="132" t="str">
        <f>'Resposta-Ameacas'!K82</f>
        <v>0</v>
      </c>
      <c r="H80" s="133" t="str">
        <f t="shared" si="2"/>
        <v>0</v>
      </c>
      <c r="I80" s="133">
        <f t="shared" si="3"/>
        <v>0</v>
      </c>
      <c r="J80" s="260" t="str">
        <f>'Ameacas-Pré'!Q79</f>
        <v/>
      </c>
    </row>
    <row r="81" spans="1:10" ht="13">
      <c r="A81" s="126">
        <f>'Ameacas-Pré'!A80</f>
        <v>73</v>
      </c>
      <c r="B81" s="127">
        <f>'Ameacas-Pré'!B80</f>
        <v>0</v>
      </c>
      <c r="C81" s="128">
        <f>'Ameacas-Pré'!C80</f>
        <v>0</v>
      </c>
      <c r="D81" s="459">
        <f>'Ameacas-Pré'!D80</f>
        <v>0</v>
      </c>
      <c r="E81" s="418"/>
      <c r="F81" s="129">
        <f>'Resposta-Ameacas'!J83</f>
        <v>0</v>
      </c>
      <c r="G81" s="132" t="str">
        <f>'Resposta-Ameacas'!K83</f>
        <v>0</v>
      </c>
      <c r="H81" s="133" t="str">
        <f t="shared" si="2"/>
        <v>0</v>
      </c>
      <c r="I81" s="133">
        <f t="shared" si="3"/>
        <v>0</v>
      </c>
      <c r="J81" s="260" t="str">
        <f>'Ameacas-Pré'!Q80</f>
        <v/>
      </c>
    </row>
    <row r="82" spans="1:10" ht="13">
      <c r="A82" s="126">
        <f>'Ameacas-Pré'!A81</f>
        <v>74</v>
      </c>
      <c r="B82" s="127">
        <f>'Ameacas-Pré'!B81</f>
        <v>0</v>
      </c>
      <c r="C82" s="128">
        <f>'Ameacas-Pré'!C81</f>
        <v>0</v>
      </c>
      <c r="D82" s="459">
        <f>'Ameacas-Pré'!D81</f>
        <v>0</v>
      </c>
      <c r="E82" s="418"/>
      <c r="F82" s="129">
        <f>'Resposta-Ameacas'!J84</f>
        <v>0</v>
      </c>
      <c r="G82" s="132" t="str">
        <f>'Resposta-Ameacas'!K84</f>
        <v>0</v>
      </c>
      <c r="H82" s="133" t="str">
        <f t="shared" si="2"/>
        <v>0</v>
      </c>
      <c r="I82" s="133">
        <f t="shared" si="3"/>
        <v>0</v>
      </c>
      <c r="J82" s="260" t="str">
        <f>'Ameacas-Pré'!Q81</f>
        <v/>
      </c>
    </row>
    <row r="83" spans="1:10" ht="13">
      <c r="A83" s="126">
        <f>'Ameacas-Pré'!A82</f>
        <v>75</v>
      </c>
      <c r="B83" s="127">
        <f>'Ameacas-Pré'!B82</f>
        <v>0</v>
      </c>
      <c r="C83" s="128">
        <f>'Ameacas-Pré'!C82</f>
        <v>0</v>
      </c>
      <c r="D83" s="459">
        <f>'Ameacas-Pré'!D82</f>
        <v>0</v>
      </c>
      <c r="E83" s="418"/>
      <c r="F83" s="129">
        <f>'Resposta-Ameacas'!J85</f>
        <v>0</v>
      </c>
      <c r="G83" s="132" t="str">
        <f>'Resposta-Ameacas'!K85</f>
        <v>0</v>
      </c>
      <c r="H83" s="133" t="str">
        <f t="shared" si="2"/>
        <v>0</v>
      </c>
      <c r="I83" s="133">
        <f t="shared" si="3"/>
        <v>0</v>
      </c>
      <c r="J83" s="260" t="str">
        <f>'Ameacas-Pré'!Q82</f>
        <v/>
      </c>
    </row>
    <row r="84" spans="1:10" ht="13">
      <c r="A84" s="126">
        <f>'Ameacas-Pré'!A83</f>
        <v>76</v>
      </c>
      <c r="B84" s="127">
        <f>'Ameacas-Pré'!B83</f>
        <v>0</v>
      </c>
      <c r="C84" s="128">
        <f>'Ameacas-Pré'!C83</f>
        <v>0</v>
      </c>
      <c r="D84" s="459">
        <f>'Ameacas-Pré'!D83</f>
        <v>0</v>
      </c>
      <c r="E84" s="418"/>
      <c r="F84" s="129">
        <f>'Resposta-Ameacas'!J86</f>
        <v>0</v>
      </c>
      <c r="G84" s="132" t="str">
        <f>'Resposta-Ameacas'!K86</f>
        <v>0</v>
      </c>
      <c r="H84" s="133" t="str">
        <f t="shared" si="2"/>
        <v>0</v>
      </c>
      <c r="I84" s="133">
        <f t="shared" si="3"/>
        <v>0</v>
      </c>
      <c r="J84" s="260" t="str">
        <f>'Ameacas-Pré'!Q83</f>
        <v/>
      </c>
    </row>
    <row r="85" spans="1:10" ht="13">
      <c r="A85" s="126">
        <f>'Ameacas-Pré'!A84</f>
        <v>77</v>
      </c>
      <c r="B85" s="127">
        <f>'Ameacas-Pré'!B84</f>
        <v>0</v>
      </c>
      <c r="C85" s="128">
        <f>'Ameacas-Pré'!C84</f>
        <v>0</v>
      </c>
      <c r="D85" s="459">
        <f>'Ameacas-Pré'!D84</f>
        <v>0</v>
      </c>
      <c r="E85" s="418"/>
      <c r="F85" s="129">
        <f>'Resposta-Ameacas'!J87</f>
        <v>0</v>
      </c>
      <c r="G85" s="132" t="str">
        <f>'Resposta-Ameacas'!K87</f>
        <v>0</v>
      </c>
      <c r="H85" s="133" t="str">
        <f t="shared" si="2"/>
        <v>0</v>
      </c>
      <c r="I85" s="133">
        <f t="shared" si="3"/>
        <v>0</v>
      </c>
      <c r="J85" s="260" t="str">
        <f>'Ameacas-Pré'!Q84</f>
        <v/>
      </c>
    </row>
    <row r="86" spans="1:10" ht="13">
      <c r="A86" s="126">
        <f>'Ameacas-Pré'!A85</f>
        <v>78</v>
      </c>
      <c r="B86" s="127">
        <f>'Ameacas-Pré'!B85</f>
        <v>0</v>
      </c>
      <c r="C86" s="128">
        <f>'Ameacas-Pré'!C85</f>
        <v>0</v>
      </c>
      <c r="D86" s="459">
        <f>'Ameacas-Pré'!D85</f>
        <v>0</v>
      </c>
      <c r="E86" s="418"/>
      <c r="F86" s="129">
        <f>'Resposta-Ameacas'!J88</f>
        <v>0</v>
      </c>
      <c r="G86" s="132" t="str">
        <f>'Resposta-Ameacas'!K88</f>
        <v>0</v>
      </c>
      <c r="H86" s="133" t="str">
        <f t="shared" si="2"/>
        <v>0</v>
      </c>
      <c r="I86" s="133">
        <f t="shared" si="3"/>
        <v>0</v>
      </c>
      <c r="J86" s="260" t="str">
        <f>'Ameacas-Pré'!Q85</f>
        <v/>
      </c>
    </row>
    <row r="87" spans="1:10" ht="13">
      <c r="A87" s="126">
        <f>'Ameacas-Pré'!A86</f>
        <v>79</v>
      </c>
      <c r="B87" s="127">
        <f>'Ameacas-Pré'!B86</f>
        <v>0</v>
      </c>
      <c r="C87" s="128">
        <f>'Ameacas-Pré'!C86</f>
        <v>0</v>
      </c>
      <c r="D87" s="459">
        <f>'Ameacas-Pré'!D86</f>
        <v>0</v>
      </c>
      <c r="E87" s="418"/>
      <c r="F87" s="129">
        <f>'Resposta-Ameacas'!J89</f>
        <v>0</v>
      </c>
      <c r="G87" s="132" t="str">
        <f>'Resposta-Ameacas'!K89</f>
        <v>0</v>
      </c>
      <c r="H87" s="133" t="str">
        <f t="shared" si="2"/>
        <v>0</v>
      </c>
      <c r="I87" s="133">
        <f t="shared" si="3"/>
        <v>0</v>
      </c>
      <c r="J87" s="260" t="str">
        <f>'Ameacas-Pré'!Q86</f>
        <v/>
      </c>
    </row>
    <row r="88" spans="1:10" ht="13">
      <c r="A88" s="126">
        <f>'Ameacas-Pré'!A87</f>
        <v>80</v>
      </c>
      <c r="B88" s="127">
        <f>'Ameacas-Pré'!B87</f>
        <v>0</v>
      </c>
      <c r="C88" s="128">
        <f>'Ameacas-Pré'!C87</f>
        <v>0</v>
      </c>
      <c r="D88" s="459">
        <f>'Ameacas-Pré'!D87</f>
        <v>0</v>
      </c>
      <c r="E88" s="418"/>
      <c r="F88" s="129">
        <f>'Resposta-Ameacas'!J90</f>
        <v>0</v>
      </c>
      <c r="G88" s="132" t="str">
        <f>'Resposta-Ameacas'!K90</f>
        <v>0</v>
      </c>
      <c r="H88" s="133" t="str">
        <f t="shared" si="2"/>
        <v>0</v>
      </c>
      <c r="I88" s="133">
        <f t="shared" si="3"/>
        <v>0</v>
      </c>
      <c r="J88" s="260" t="str">
        <f>'Ameacas-Pré'!Q87</f>
        <v/>
      </c>
    </row>
    <row r="89" spans="1:10" ht="13">
      <c r="A89" s="126">
        <f>'Ameacas-Pré'!A88</f>
        <v>81</v>
      </c>
      <c r="B89" s="127">
        <f>'Ameacas-Pré'!B88</f>
        <v>0</v>
      </c>
      <c r="C89" s="128">
        <f>'Ameacas-Pré'!C88</f>
        <v>0</v>
      </c>
      <c r="D89" s="459">
        <f>'Ameacas-Pré'!D88</f>
        <v>0</v>
      </c>
      <c r="E89" s="418"/>
      <c r="F89" s="129">
        <f>'Resposta-Ameacas'!J91</f>
        <v>0</v>
      </c>
      <c r="G89" s="132" t="str">
        <f>'Resposta-Ameacas'!K91</f>
        <v>0</v>
      </c>
      <c r="H89" s="133" t="str">
        <f t="shared" si="2"/>
        <v>0</v>
      </c>
      <c r="I89" s="133">
        <f t="shared" si="3"/>
        <v>0</v>
      </c>
      <c r="J89" s="260" t="str">
        <f>'Ameacas-Pré'!Q88</f>
        <v/>
      </c>
    </row>
    <row r="90" spans="1:10" ht="13">
      <c r="A90" s="126">
        <f>'Ameacas-Pré'!A89</f>
        <v>82</v>
      </c>
      <c r="B90" s="127">
        <f>'Ameacas-Pré'!B89</f>
        <v>0</v>
      </c>
      <c r="C90" s="128">
        <f>'Ameacas-Pré'!C89</f>
        <v>0</v>
      </c>
      <c r="D90" s="459">
        <f>'Ameacas-Pré'!D89</f>
        <v>0</v>
      </c>
      <c r="E90" s="418"/>
      <c r="F90" s="129">
        <f>'Resposta-Ameacas'!J92</f>
        <v>0</v>
      </c>
      <c r="G90" s="132" t="str">
        <f>'Resposta-Ameacas'!K92</f>
        <v>0</v>
      </c>
      <c r="H90" s="133" t="str">
        <f t="shared" si="2"/>
        <v>0</v>
      </c>
      <c r="I90" s="133">
        <f t="shared" si="3"/>
        <v>0</v>
      </c>
      <c r="J90" s="260" t="str">
        <f>'Ameacas-Pré'!Q89</f>
        <v/>
      </c>
    </row>
    <row r="91" spans="1:10" ht="13">
      <c r="A91" s="126">
        <f>'Ameacas-Pré'!A90</f>
        <v>83</v>
      </c>
      <c r="B91" s="127">
        <f>'Ameacas-Pré'!B90</f>
        <v>0</v>
      </c>
      <c r="C91" s="128">
        <f>'Ameacas-Pré'!C90</f>
        <v>0</v>
      </c>
      <c r="D91" s="459">
        <f>'Ameacas-Pré'!D90</f>
        <v>0</v>
      </c>
      <c r="E91" s="418"/>
      <c r="F91" s="129">
        <f>'Resposta-Ameacas'!J93</f>
        <v>0</v>
      </c>
      <c r="G91" s="132" t="str">
        <f>'Resposta-Ameacas'!K93</f>
        <v>0</v>
      </c>
      <c r="H91" s="133" t="str">
        <f t="shared" si="2"/>
        <v>0</v>
      </c>
      <c r="I91" s="133">
        <f t="shared" si="3"/>
        <v>0</v>
      </c>
      <c r="J91" s="260" t="str">
        <f>'Ameacas-Pré'!Q90</f>
        <v/>
      </c>
    </row>
    <row r="92" spans="1:10" ht="13">
      <c r="A92" s="126">
        <f>'Ameacas-Pré'!A91</f>
        <v>84</v>
      </c>
      <c r="B92" s="127">
        <f>'Ameacas-Pré'!B91</f>
        <v>0</v>
      </c>
      <c r="C92" s="128">
        <f>'Ameacas-Pré'!C91</f>
        <v>0</v>
      </c>
      <c r="D92" s="459">
        <f>'Ameacas-Pré'!D91</f>
        <v>0</v>
      </c>
      <c r="E92" s="418"/>
      <c r="F92" s="129">
        <f>'Resposta-Ameacas'!J94</f>
        <v>0</v>
      </c>
      <c r="G92" s="132" t="str">
        <f>'Resposta-Ameacas'!K94</f>
        <v>0</v>
      </c>
      <c r="H92" s="133" t="str">
        <f t="shared" si="2"/>
        <v>0</v>
      </c>
      <c r="I92" s="133">
        <f t="shared" si="3"/>
        <v>0</v>
      </c>
      <c r="J92" s="260" t="str">
        <f>'Ameacas-Pré'!Q91</f>
        <v/>
      </c>
    </row>
    <row r="93" spans="1:10" ht="13">
      <c r="A93" s="126">
        <f>'Ameacas-Pré'!A92</f>
        <v>85</v>
      </c>
      <c r="B93" s="127">
        <f>'Ameacas-Pré'!B92</f>
        <v>0</v>
      </c>
      <c r="C93" s="128">
        <f>'Ameacas-Pré'!C92</f>
        <v>0</v>
      </c>
      <c r="D93" s="459">
        <f>'Ameacas-Pré'!D92</f>
        <v>0</v>
      </c>
      <c r="E93" s="418"/>
      <c r="F93" s="129">
        <f>'Resposta-Ameacas'!J95</f>
        <v>0</v>
      </c>
      <c r="G93" s="132" t="str">
        <f>'Resposta-Ameacas'!K95</f>
        <v>0</v>
      </c>
      <c r="H93" s="133" t="str">
        <f t="shared" si="2"/>
        <v>0</v>
      </c>
      <c r="I93" s="133">
        <f t="shared" si="3"/>
        <v>0</v>
      </c>
      <c r="J93" s="260" t="str">
        <f>'Ameacas-Pré'!Q92</f>
        <v/>
      </c>
    </row>
    <row r="94" spans="1:10" ht="13">
      <c r="A94" s="126">
        <f>'Ameacas-Pré'!A93</f>
        <v>86</v>
      </c>
      <c r="B94" s="127">
        <f>'Ameacas-Pré'!B93</f>
        <v>0</v>
      </c>
      <c r="C94" s="128">
        <f>'Ameacas-Pré'!C93</f>
        <v>0</v>
      </c>
      <c r="D94" s="459">
        <f>'Ameacas-Pré'!D93</f>
        <v>0</v>
      </c>
      <c r="E94" s="418"/>
      <c r="F94" s="129">
        <f>'Resposta-Ameacas'!J96</f>
        <v>0</v>
      </c>
      <c r="G94" s="132" t="str">
        <f>'Resposta-Ameacas'!K96</f>
        <v>0</v>
      </c>
      <c r="H94" s="133" t="str">
        <f t="shared" si="2"/>
        <v>0</v>
      </c>
      <c r="I94" s="133">
        <f t="shared" si="3"/>
        <v>0</v>
      </c>
      <c r="J94" s="260" t="str">
        <f>'Ameacas-Pré'!Q93</f>
        <v/>
      </c>
    </row>
    <row r="95" spans="1:10" ht="13">
      <c r="A95" s="126">
        <f>'Ameacas-Pré'!A94</f>
        <v>87</v>
      </c>
      <c r="B95" s="127">
        <f>'Ameacas-Pré'!B94</f>
        <v>0</v>
      </c>
      <c r="C95" s="128">
        <f>'Ameacas-Pré'!C94</f>
        <v>0</v>
      </c>
      <c r="D95" s="459">
        <f>'Ameacas-Pré'!D94</f>
        <v>0</v>
      </c>
      <c r="E95" s="418"/>
      <c r="F95" s="129">
        <f>'Resposta-Ameacas'!J97</f>
        <v>0</v>
      </c>
      <c r="G95" s="132" t="str">
        <f>'Resposta-Ameacas'!K97</f>
        <v>0</v>
      </c>
      <c r="H95" s="133" t="str">
        <f t="shared" si="2"/>
        <v>0</v>
      </c>
      <c r="I95" s="133">
        <f t="shared" si="3"/>
        <v>0</v>
      </c>
      <c r="J95" s="260" t="str">
        <f>'Ameacas-Pré'!Q94</f>
        <v/>
      </c>
    </row>
    <row r="96" spans="1:10" ht="13">
      <c r="A96" s="126">
        <f>'Ameacas-Pré'!A95</f>
        <v>88</v>
      </c>
      <c r="B96" s="127">
        <f>'Ameacas-Pré'!B95</f>
        <v>0</v>
      </c>
      <c r="C96" s="128">
        <f>'Ameacas-Pré'!C95</f>
        <v>0</v>
      </c>
      <c r="D96" s="459">
        <f>'Ameacas-Pré'!D95</f>
        <v>0</v>
      </c>
      <c r="E96" s="418"/>
      <c r="F96" s="129">
        <f>'Resposta-Ameacas'!J98</f>
        <v>0</v>
      </c>
      <c r="G96" s="132" t="str">
        <f>'Resposta-Ameacas'!K98</f>
        <v>0</v>
      </c>
      <c r="H96" s="133" t="str">
        <f t="shared" si="2"/>
        <v>0</v>
      </c>
      <c r="I96" s="133">
        <f t="shared" si="3"/>
        <v>0</v>
      </c>
      <c r="J96" s="260" t="str">
        <f>'Ameacas-Pré'!Q95</f>
        <v/>
      </c>
    </row>
    <row r="97" spans="1:10" ht="13">
      <c r="A97" s="126">
        <f>'Ameacas-Pré'!A96</f>
        <v>89</v>
      </c>
      <c r="B97" s="127">
        <f>'Ameacas-Pré'!B96</f>
        <v>0</v>
      </c>
      <c r="C97" s="128">
        <f>'Ameacas-Pré'!C96</f>
        <v>0</v>
      </c>
      <c r="D97" s="459">
        <f>'Ameacas-Pré'!D96</f>
        <v>0</v>
      </c>
      <c r="E97" s="418"/>
      <c r="F97" s="129">
        <f>'Resposta-Ameacas'!J99</f>
        <v>0</v>
      </c>
      <c r="G97" s="132" t="str">
        <f>'Resposta-Ameacas'!K99</f>
        <v>0</v>
      </c>
      <c r="H97" s="133" t="str">
        <f t="shared" si="2"/>
        <v>0</v>
      </c>
      <c r="I97" s="133">
        <f t="shared" si="3"/>
        <v>0</v>
      </c>
      <c r="J97" s="260" t="str">
        <f>'Ameacas-Pré'!Q96</f>
        <v/>
      </c>
    </row>
    <row r="98" spans="1:10" ht="13">
      <c r="A98" s="126">
        <f>'Ameacas-Pré'!A97</f>
        <v>90</v>
      </c>
      <c r="B98" s="127">
        <f>'Ameacas-Pré'!B97</f>
        <v>0</v>
      </c>
      <c r="C98" s="128">
        <f>'Ameacas-Pré'!C97</f>
        <v>0</v>
      </c>
      <c r="D98" s="459">
        <f>'Ameacas-Pré'!D97</f>
        <v>0</v>
      </c>
      <c r="E98" s="418"/>
      <c r="F98" s="129">
        <f>'Resposta-Ameacas'!J100</f>
        <v>0</v>
      </c>
      <c r="G98" s="132" t="str">
        <f>'Resposta-Ameacas'!K100</f>
        <v>0</v>
      </c>
      <c r="H98" s="133" t="str">
        <f t="shared" si="2"/>
        <v>0</v>
      </c>
      <c r="I98" s="133">
        <f t="shared" si="3"/>
        <v>0</v>
      </c>
      <c r="J98" s="260" t="str">
        <f>'Ameacas-Pré'!Q97</f>
        <v/>
      </c>
    </row>
    <row r="99" spans="1:10" ht="13">
      <c r="A99" s="126">
        <f>'Ameacas-Pré'!A98</f>
        <v>91</v>
      </c>
      <c r="B99" s="127">
        <f>'Ameacas-Pré'!B98</f>
        <v>0</v>
      </c>
      <c r="C99" s="128">
        <f>'Ameacas-Pré'!C98</f>
        <v>0</v>
      </c>
      <c r="D99" s="459">
        <f>'Ameacas-Pré'!D98</f>
        <v>0</v>
      </c>
      <c r="E99" s="418"/>
      <c r="F99" s="129">
        <f>'Resposta-Ameacas'!J101</f>
        <v>0</v>
      </c>
      <c r="G99" s="132" t="str">
        <f>'Resposta-Ameacas'!K101</f>
        <v>0</v>
      </c>
      <c r="H99" s="133" t="str">
        <f t="shared" si="2"/>
        <v>0</v>
      </c>
      <c r="I99" s="133">
        <f t="shared" si="3"/>
        <v>0</v>
      </c>
      <c r="J99" s="260" t="str">
        <f>'Ameacas-Pré'!Q98</f>
        <v/>
      </c>
    </row>
    <row r="100" spans="1:10" ht="13">
      <c r="A100" s="126">
        <f>'Ameacas-Pré'!A99</f>
        <v>92</v>
      </c>
      <c r="B100" s="127">
        <f>'Ameacas-Pré'!B99</f>
        <v>0</v>
      </c>
      <c r="C100" s="128">
        <f>'Ameacas-Pré'!C99</f>
        <v>0</v>
      </c>
      <c r="D100" s="459">
        <f>'Ameacas-Pré'!D99</f>
        <v>0</v>
      </c>
      <c r="E100" s="418"/>
      <c r="F100" s="129">
        <f>'Resposta-Ameacas'!J102</f>
        <v>0</v>
      </c>
      <c r="G100" s="132" t="str">
        <f>'Resposta-Ameacas'!K102</f>
        <v>0</v>
      </c>
      <c r="H100" s="133" t="str">
        <f t="shared" si="2"/>
        <v>0</v>
      </c>
      <c r="I100" s="133">
        <f t="shared" si="3"/>
        <v>0</v>
      </c>
      <c r="J100" s="260" t="str">
        <f>'Ameacas-Pré'!Q99</f>
        <v/>
      </c>
    </row>
    <row r="101" spans="1:10" ht="13">
      <c r="A101" s="126">
        <f>'Ameacas-Pré'!A100</f>
        <v>93</v>
      </c>
      <c r="B101" s="127">
        <f>'Ameacas-Pré'!B100</f>
        <v>0</v>
      </c>
      <c r="C101" s="128">
        <f>'Ameacas-Pré'!C100</f>
        <v>0</v>
      </c>
      <c r="D101" s="459">
        <f>'Ameacas-Pré'!D100</f>
        <v>0</v>
      </c>
      <c r="E101" s="418"/>
      <c r="F101" s="129">
        <f>'Resposta-Ameacas'!J103</f>
        <v>0</v>
      </c>
      <c r="G101" s="132" t="str">
        <f>'Resposta-Ameacas'!K103</f>
        <v>0</v>
      </c>
      <c r="H101" s="133" t="str">
        <f t="shared" si="2"/>
        <v>0</v>
      </c>
      <c r="I101" s="133">
        <f t="shared" si="3"/>
        <v>0</v>
      </c>
      <c r="J101" s="260" t="str">
        <f>'Ameacas-Pré'!Q100</f>
        <v/>
      </c>
    </row>
    <row r="102" spans="1:10" ht="13">
      <c r="A102" s="126">
        <f>'Ameacas-Pré'!A101</f>
        <v>94</v>
      </c>
      <c r="B102" s="127">
        <f>'Ameacas-Pré'!B101</f>
        <v>0</v>
      </c>
      <c r="C102" s="128">
        <f>'Ameacas-Pré'!C101</f>
        <v>0</v>
      </c>
      <c r="D102" s="459">
        <f>'Ameacas-Pré'!D101</f>
        <v>0</v>
      </c>
      <c r="E102" s="418"/>
      <c r="F102" s="129">
        <f>'Resposta-Ameacas'!J104</f>
        <v>0</v>
      </c>
      <c r="G102" s="132" t="str">
        <f>'Resposta-Ameacas'!K104</f>
        <v>0</v>
      </c>
      <c r="H102" s="133" t="str">
        <f t="shared" si="2"/>
        <v>0</v>
      </c>
      <c r="I102" s="133">
        <f t="shared" si="3"/>
        <v>0</v>
      </c>
      <c r="J102" s="260" t="str">
        <f>'Ameacas-Pré'!Q101</f>
        <v/>
      </c>
    </row>
    <row r="103" spans="1:10" ht="13">
      <c r="A103" s="126">
        <f>'Ameacas-Pré'!A102</f>
        <v>95</v>
      </c>
      <c r="B103" s="127">
        <f>'Ameacas-Pré'!B102</f>
        <v>0</v>
      </c>
      <c r="C103" s="128">
        <f>'Ameacas-Pré'!C102</f>
        <v>0</v>
      </c>
      <c r="D103" s="459">
        <f>'Ameacas-Pré'!D102</f>
        <v>0</v>
      </c>
      <c r="E103" s="418"/>
      <c r="F103" s="129">
        <f>'Resposta-Ameacas'!J105</f>
        <v>0</v>
      </c>
      <c r="G103" s="132" t="str">
        <f>'Resposta-Ameacas'!K105</f>
        <v>0</v>
      </c>
      <c r="H103" s="133" t="str">
        <f t="shared" si="2"/>
        <v>0</v>
      </c>
      <c r="I103" s="133">
        <f t="shared" si="3"/>
        <v>0</v>
      </c>
      <c r="J103" s="260" t="str">
        <f>'Ameacas-Pré'!Q102</f>
        <v/>
      </c>
    </row>
    <row r="104" spans="1:10" ht="13">
      <c r="A104" s="126">
        <f>'Ameacas-Pré'!A103</f>
        <v>96</v>
      </c>
      <c r="B104" s="127">
        <f>'Ameacas-Pré'!B103</f>
        <v>0</v>
      </c>
      <c r="C104" s="128">
        <f>'Ameacas-Pré'!C103</f>
        <v>0</v>
      </c>
      <c r="D104" s="459">
        <f>'Ameacas-Pré'!D103</f>
        <v>0</v>
      </c>
      <c r="E104" s="418"/>
      <c r="F104" s="129">
        <f>'Resposta-Ameacas'!J106</f>
        <v>0</v>
      </c>
      <c r="G104" s="132" t="str">
        <f>'Resposta-Ameacas'!K106</f>
        <v>0</v>
      </c>
      <c r="H104" s="133" t="str">
        <f t="shared" si="2"/>
        <v>0</v>
      </c>
      <c r="I104" s="133">
        <f t="shared" si="3"/>
        <v>0</v>
      </c>
      <c r="J104" s="260" t="str">
        <f>'Ameacas-Pré'!Q103</f>
        <v/>
      </c>
    </row>
    <row r="105" spans="1:10" ht="13">
      <c r="A105" s="126">
        <f>'Ameacas-Pré'!A104</f>
        <v>97</v>
      </c>
      <c r="B105" s="127">
        <f>'Ameacas-Pré'!B104</f>
        <v>0</v>
      </c>
      <c r="C105" s="128">
        <f>'Ameacas-Pré'!C104</f>
        <v>0</v>
      </c>
      <c r="D105" s="459">
        <f>'Ameacas-Pré'!D104</f>
        <v>0</v>
      </c>
      <c r="E105" s="418"/>
      <c r="F105" s="129">
        <f>'Resposta-Ameacas'!J107</f>
        <v>0</v>
      </c>
      <c r="G105" s="132" t="str">
        <f>'Resposta-Ameacas'!K107</f>
        <v>0</v>
      </c>
      <c r="H105" s="133" t="str">
        <f t="shared" si="2"/>
        <v>0</v>
      </c>
      <c r="I105" s="133">
        <f t="shared" si="3"/>
        <v>0</v>
      </c>
      <c r="J105" s="260" t="str">
        <f>'Ameacas-Pré'!Q104</f>
        <v/>
      </c>
    </row>
    <row r="106" spans="1:10" ht="13">
      <c r="A106" s="126">
        <f>'Ameacas-Pré'!A105</f>
        <v>98</v>
      </c>
      <c r="B106" s="127">
        <f>'Ameacas-Pré'!B105</f>
        <v>0</v>
      </c>
      <c r="C106" s="128">
        <f>'Ameacas-Pré'!C105</f>
        <v>0</v>
      </c>
      <c r="D106" s="459">
        <f>'Ameacas-Pré'!D105</f>
        <v>0</v>
      </c>
      <c r="E106" s="418"/>
      <c r="F106" s="129">
        <f>'Resposta-Ameacas'!J108</f>
        <v>0</v>
      </c>
      <c r="G106" s="132" t="str">
        <f>'Resposta-Ameacas'!K108</f>
        <v>0</v>
      </c>
      <c r="H106" s="133" t="str">
        <f t="shared" si="2"/>
        <v>0</v>
      </c>
      <c r="I106" s="133">
        <f t="shared" si="3"/>
        <v>0</v>
      </c>
      <c r="J106" s="260" t="str">
        <f>'Ameacas-Pré'!Q105</f>
        <v/>
      </c>
    </row>
    <row r="107" spans="1:10" ht="13">
      <c r="A107" s="126">
        <f>'Ameacas-Pré'!A106</f>
        <v>99</v>
      </c>
      <c r="B107" s="127">
        <f>'Ameacas-Pré'!B106</f>
        <v>0</v>
      </c>
      <c r="C107" s="128">
        <f>'Ameacas-Pré'!C106</f>
        <v>0</v>
      </c>
      <c r="D107" s="459">
        <f>'Ameacas-Pré'!D106</f>
        <v>0</v>
      </c>
      <c r="E107" s="418"/>
      <c r="F107" s="129">
        <f>'Resposta-Ameacas'!J109</f>
        <v>0</v>
      </c>
      <c r="G107" s="132" t="str">
        <f>'Resposta-Ameacas'!K109</f>
        <v>0</v>
      </c>
      <c r="H107" s="133" t="str">
        <f t="shared" si="2"/>
        <v>0</v>
      </c>
      <c r="I107" s="133">
        <f t="shared" si="3"/>
        <v>0</v>
      </c>
      <c r="J107" s="260" t="str">
        <f>'Ameacas-Pré'!Q106</f>
        <v/>
      </c>
    </row>
    <row r="108" spans="1:10" ht="13">
      <c r="A108" s="126">
        <f>'Ameacas-Pré'!A107</f>
        <v>100</v>
      </c>
      <c r="B108" s="127">
        <f>'Ameacas-Pré'!B107</f>
        <v>0</v>
      </c>
      <c r="C108" s="128">
        <f>'Ameacas-Pré'!C107</f>
        <v>0</v>
      </c>
      <c r="D108" s="459">
        <f>'Ameacas-Pré'!D107</f>
        <v>0</v>
      </c>
      <c r="E108" s="418"/>
      <c r="F108" s="129">
        <f>'Resposta-Ameacas'!J110</f>
        <v>0</v>
      </c>
      <c r="G108" s="132" t="str">
        <f>'Resposta-Ameacas'!K110</f>
        <v>0</v>
      </c>
      <c r="H108" s="133" t="str">
        <f t="shared" si="2"/>
        <v>0</v>
      </c>
      <c r="I108" s="133">
        <f t="shared" si="3"/>
        <v>0</v>
      </c>
      <c r="J108" s="260" t="str">
        <f>'Ameacas-Pré'!Q107</f>
        <v/>
      </c>
    </row>
    <row r="109" spans="1:10" ht="13">
      <c r="A109" s="126">
        <f>'Ameacas-Pré'!A108</f>
        <v>101</v>
      </c>
      <c r="B109" s="127">
        <f>'Ameacas-Pré'!B108</f>
        <v>0</v>
      </c>
      <c r="C109" s="128">
        <f>'Ameacas-Pré'!C108</f>
        <v>0</v>
      </c>
      <c r="D109" s="459">
        <f>'Ameacas-Pré'!D108</f>
        <v>0</v>
      </c>
      <c r="E109" s="418"/>
      <c r="F109" s="129">
        <f>'Resposta-Ameacas'!J111</f>
        <v>0</v>
      </c>
      <c r="G109" s="132" t="str">
        <f>'Resposta-Ameacas'!K111</f>
        <v>0</v>
      </c>
      <c r="H109" s="133" t="str">
        <f t="shared" si="2"/>
        <v>0</v>
      </c>
      <c r="I109" s="133">
        <f t="shared" si="3"/>
        <v>0</v>
      </c>
      <c r="J109" s="260" t="str">
        <f>'Ameacas-Pré'!Q108</f>
        <v/>
      </c>
    </row>
    <row r="110" spans="1:10" ht="13">
      <c r="A110" s="126">
        <f>'Ameacas-Pré'!A109</f>
        <v>102</v>
      </c>
      <c r="B110" s="127">
        <f>'Ameacas-Pré'!B109</f>
        <v>0</v>
      </c>
      <c r="C110" s="128">
        <f>'Ameacas-Pré'!C109</f>
        <v>0</v>
      </c>
      <c r="D110" s="459">
        <f>'Ameacas-Pré'!D109</f>
        <v>0</v>
      </c>
      <c r="E110" s="418"/>
      <c r="F110" s="129">
        <f>'Resposta-Ameacas'!J112</f>
        <v>0</v>
      </c>
      <c r="G110" s="132" t="str">
        <f>'Resposta-Ameacas'!K112</f>
        <v>0</v>
      </c>
      <c r="H110" s="133" t="str">
        <f t="shared" si="2"/>
        <v>0</v>
      </c>
      <c r="I110" s="133">
        <f t="shared" si="3"/>
        <v>0</v>
      </c>
      <c r="J110" s="260" t="str">
        <f>'Ameacas-Pré'!Q109</f>
        <v/>
      </c>
    </row>
    <row r="111" spans="1:10" ht="13">
      <c r="A111" s="126">
        <f>'Ameacas-Pré'!A110</f>
        <v>103</v>
      </c>
      <c r="B111" s="127">
        <f>'Ameacas-Pré'!B110</f>
        <v>0</v>
      </c>
      <c r="C111" s="128">
        <f>'Ameacas-Pré'!C110</f>
        <v>0</v>
      </c>
      <c r="D111" s="459">
        <f>'Ameacas-Pré'!D110</f>
        <v>0</v>
      </c>
      <c r="E111" s="418"/>
      <c r="F111" s="129">
        <f>'Resposta-Ameacas'!J113</f>
        <v>0</v>
      </c>
      <c r="G111" s="132" t="str">
        <f>'Resposta-Ameacas'!K113</f>
        <v>0</v>
      </c>
      <c r="H111" s="133" t="str">
        <f t="shared" si="2"/>
        <v>0</v>
      </c>
      <c r="I111" s="133">
        <f t="shared" si="3"/>
        <v>0</v>
      </c>
      <c r="J111" s="260" t="str">
        <f>'Ameacas-Pré'!Q110</f>
        <v/>
      </c>
    </row>
    <row r="112" spans="1:10" ht="13">
      <c r="A112" s="126">
        <f>'Ameacas-Pré'!A111</f>
        <v>104</v>
      </c>
      <c r="B112" s="127">
        <f>'Ameacas-Pré'!B111</f>
        <v>0</v>
      </c>
      <c r="C112" s="128">
        <f>'Ameacas-Pré'!C111</f>
        <v>0</v>
      </c>
      <c r="D112" s="459">
        <f>'Ameacas-Pré'!D111</f>
        <v>0</v>
      </c>
      <c r="E112" s="418"/>
      <c r="F112" s="129">
        <f>'Resposta-Ameacas'!J114</f>
        <v>0</v>
      </c>
      <c r="G112" s="132" t="str">
        <f>'Resposta-Ameacas'!K114</f>
        <v>0</v>
      </c>
      <c r="H112" s="133" t="str">
        <f t="shared" si="2"/>
        <v>0</v>
      </c>
      <c r="I112" s="133">
        <f t="shared" si="3"/>
        <v>0</v>
      </c>
      <c r="J112" s="260" t="str">
        <f>'Ameacas-Pré'!Q111</f>
        <v/>
      </c>
    </row>
    <row r="113" spans="1:10" ht="13">
      <c r="A113" s="126">
        <f>'Ameacas-Pré'!A112</f>
        <v>105</v>
      </c>
      <c r="B113" s="127">
        <f>'Ameacas-Pré'!B112</f>
        <v>0</v>
      </c>
      <c r="C113" s="128">
        <f>'Ameacas-Pré'!C112</f>
        <v>0</v>
      </c>
      <c r="D113" s="459">
        <f>'Ameacas-Pré'!D112</f>
        <v>0</v>
      </c>
      <c r="E113" s="418"/>
      <c r="F113" s="129">
        <f>'Resposta-Ameacas'!J115</f>
        <v>0</v>
      </c>
      <c r="G113" s="132" t="str">
        <f>'Resposta-Ameacas'!K115</f>
        <v>0</v>
      </c>
      <c r="H113" s="133" t="str">
        <f t="shared" si="2"/>
        <v>0</v>
      </c>
      <c r="I113" s="133">
        <f t="shared" si="3"/>
        <v>0</v>
      </c>
      <c r="J113" s="260" t="str">
        <f>'Ameacas-Pré'!Q112</f>
        <v/>
      </c>
    </row>
    <row r="114" spans="1:10" ht="13">
      <c r="A114" s="126">
        <f>'Ameacas-Pré'!A113</f>
        <v>106</v>
      </c>
      <c r="B114" s="127">
        <f>'Ameacas-Pré'!B113</f>
        <v>0</v>
      </c>
      <c r="C114" s="128">
        <f>'Ameacas-Pré'!C113</f>
        <v>0</v>
      </c>
      <c r="D114" s="459">
        <f>'Ameacas-Pré'!D113</f>
        <v>0</v>
      </c>
      <c r="E114" s="418"/>
      <c r="F114" s="129">
        <f>'Resposta-Ameacas'!J116</f>
        <v>0</v>
      </c>
      <c r="G114" s="132" t="str">
        <f>'Resposta-Ameacas'!K116</f>
        <v>0</v>
      </c>
      <c r="H114" s="133" t="str">
        <f t="shared" si="2"/>
        <v>0</v>
      </c>
      <c r="I114" s="133">
        <f t="shared" si="3"/>
        <v>0</v>
      </c>
      <c r="J114" s="260" t="str">
        <f>'Ameacas-Pré'!Q113</f>
        <v/>
      </c>
    </row>
    <row r="115" spans="1:10" ht="13">
      <c r="A115" s="126">
        <f>'Ameacas-Pré'!A114</f>
        <v>107</v>
      </c>
      <c r="B115" s="127">
        <f>'Ameacas-Pré'!B114</f>
        <v>0</v>
      </c>
      <c r="C115" s="128">
        <f>'Ameacas-Pré'!C114</f>
        <v>0</v>
      </c>
      <c r="D115" s="459">
        <f>'Ameacas-Pré'!D114</f>
        <v>0</v>
      </c>
      <c r="E115" s="418"/>
      <c r="F115" s="129">
        <f>'Resposta-Ameacas'!J117</f>
        <v>0</v>
      </c>
      <c r="G115" s="132" t="str">
        <f>'Resposta-Ameacas'!K117</f>
        <v>0</v>
      </c>
      <c r="H115" s="133" t="str">
        <f t="shared" si="2"/>
        <v>0</v>
      </c>
      <c r="I115" s="133">
        <f t="shared" si="3"/>
        <v>0</v>
      </c>
      <c r="J115" s="260" t="str">
        <f>'Ameacas-Pré'!Q114</f>
        <v/>
      </c>
    </row>
    <row r="116" spans="1:10" ht="13">
      <c r="A116" s="126">
        <f>'Ameacas-Pré'!A115</f>
        <v>108</v>
      </c>
      <c r="B116" s="127">
        <f>'Ameacas-Pré'!B115</f>
        <v>0</v>
      </c>
      <c r="C116" s="128">
        <f>'Ameacas-Pré'!C115</f>
        <v>0</v>
      </c>
      <c r="D116" s="459">
        <f>'Ameacas-Pré'!D115</f>
        <v>0</v>
      </c>
      <c r="E116" s="418"/>
      <c r="F116" s="129">
        <f>'Resposta-Ameacas'!J118</f>
        <v>0</v>
      </c>
      <c r="G116" s="132" t="str">
        <f>'Resposta-Ameacas'!K118</f>
        <v>0</v>
      </c>
      <c r="H116" s="133" t="str">
        <f t="shared" si="2"/>
        <v>0</v>
      </c>
      <c r="I116" s="133">
        <f t="shared" si="3"/>
        <v>0</v>
      </c>
      <c r="J116" s="260" t="str">
        <f>'Ameacas-Pré'!Q115</f>
        <v/>
      </c>
    </row>
    <row r="117" spans="1:10" ht="13">
      <c r="A117" s="126">
        <f>'Ameacas-Pré'!A116</f>
        <v>109</v>
      </c>
      <c r="B117" s="127">
        <f>'Ameacas-Pré'!B116</f>
        <v>0</v>
      </c>
      <c r="C117" s="128">
        <f>'Ameacas-Pré'!C116</f>
        <v>0</v>
      </c>
      <c r="D117" s="459">
        <f>'Ameacas-Pré'!D116</f>
        <v>0</v>
      </c>
      <c r="E117" s="418"/>
      <c r="F117" s="129">
        <f>'Resposta-Ameacas'!J119</f>
        <v>0</v>
      </c>
      <c r="G117" s="132" t="str">
        <f>'Resposta-Ameacas'!K119</f>
        <v>0</v>
      </c>
      <c r="H117" s="133" t="str">
        <f t="shared" si="2"/>
        <v>0</v>
      </c>
      <c r="I117" s="133">
        <f t="shared" si="3"/>
        <v>0</v>
      </c>
      <c r="J117" s="260" t="str">
        <f>'Ameacas-Pré'!Q116</f>
        <v/>
      </c>
    </row>
    <row r="118" spans="1:10" ht="13">
      <c r="A118" s="126">
        <f>'Ameacas-Pré'!A117</f>
        <v>110</v>
      </c>
      <c r="B118" s="127">
        <f>'Ameacas-Pré'!B117</f>
        <v>0</v>
      </c>
      <c r="C118" s="128">
        <f>'Ameacas-Pré'!C117</f>
        <v>0</v>
      </c>
      <c r="D118" s="459">
        <f>'Ameacas-Pré'!D117</f>
        <v>0</v>
      </c>
      <c r="E118" s="418"/>
      <c r="F118" s="129">
        <f>'Resposta-Ameacas'!J120</f>
        <v>0</v>
      </c>
      <c r="G118" s="132" t="str">
        <f>'Resposta-Ameacas'!K120</f>
        <v>0</v>
      </c>
      <c r="H118" s="133" t="str">
        <f t="shared" si="2"/>
        <v>0</v>
      </c>
      <c r="I118" s="133">
        <f t="shared" si="3"/>
        <v>0</v>
      </c>
      <c r="J118" s="260" t="str">
        <f>'Ameacas-Pré'!Q117</f>
        <v/>
      </c>
    </row>
    <row r="119" spans="1:10" ht="13">
      <c r="A119" s="126">
        <f>'Ameacas-Pré'!A118</f>
        <v>111</v>
      </c>
      <c r="B119" s="127">
        <f>'Ameacas-Pré'!B118</f>
        <v>0</v>
      </c>
      <c r="C119" s="128">
        <f>'Ameacas-Pré'!C118</f>
        <v>0</v>
      </c>
      <c r="D119" s="459">
        <f>'Ameacas-Pré'!D118</f>
        <v>0</v>
      </c>
      <c r="E119" s="418"/>
      <c r="F119" s="129">
        <f>'Resposta-Ameacas'!J121</f>
        <v>0</v>
      </c>
      <c r="G119" s="132" t="str">
        <f>'Resposta-Ameacas'!K121</f>
        <v>0</v>
      </c>
      <c r="H119" s="133" t="str">
        <f t="shared" si="2"/>
        <v>0</v>
      </c>
      <c r="I119" s="133">
        <f t="shared" si="3"/>
        <v>0</v>
      </c>
      <c r="J119" s="260" t="str">
        <f>'Ameacas-Pré'!Q118</f>
        <v/>
      </c>
    </row>
    <row r="120" spans="1:10" ht="13">
      <c r="A120" s="126">
        <f>'Ameacas-Pré'!A119</f>
        <v>112</v>
      </c>
      <c r="B120" s="127">
        <f>'Ameacas-Pré'!B119</f>
        <v>0</v>
      </c>
      <c r="C120" s="128">
        <f>'Ameacas-Pré'!C119</f>
        <v>0</v>
      </c>
      <c r="D120" s="459">
        <f>'Ameacas-Pré'!D119</f>
        <v>0</v>
      </c>
      <c r="E120" s="418"/>
      <c r="F120" s="129">
        <f>'Resposta-Ameacas'!J122</f>
        <v>0</v>
      </c>
      <c r="G120" s="132" t="str">
        <f>'Resposta-Ameacas'!K122</f>
        <v>0</v>
      </c>
      <c r="H120" s="133" t="str">
        <f t="shared" si="2"/>
        <v>0</v>
      </c>
      <c r="I120" s="133">
        <f t="shared" si="3"/>
        <v>0</v>
      </c>
      <c r="J120" s="260" t="str">
        <f>'Ameacas-Pré'!Q119</f>
        <v/>
      </c>
    </row>
    <row r="121" spans="1:10" ht="13">
      <c r="A121" s="126">
        <f>'Ameacas-Pré'!A120</f>
        <v>113</v>
      </c>
      <c r="B121" s="127">
        <f>'Ameacas-Pré'!B120</f>
        <v>0</v>
      </c>
      <c r="C121" s="128">
        <f>'Ameacas-Pré'!C120</f>
        <v>0</v>
      </c>
      <c r="D121" s="459">
        <f>'Ameacas-Pré'!D120</f>
        <v>0</v>
      </c>
      <c r="E121" s="418"/>
      <c r="F121" s="129">
        <f>'Resposta-Ameacas'!J123</f>
        <v>0</v>
      </c>
      <c r="G121" s="132" t="str">
        <f>'Resposta-Ameacas'!K123</f>
        <v>0</v>
      </c>
      <c r="H121" s="133" t="str">
        <f t="shared" si="2"/>
        <v>0</v>
      </c>
      <c r="I121" s="133">
        <f t="shared" si="3"/>
        <v>0</v>
      </c>
      <c r="J121" s="260" t="str">
        <f>'Ameacas-Pré'!Q120</f>
        <v/>
      </c>
    </row>
    <row r="122" spans="1:10" ht="13">
      <c r="A122" s="126">
        <f>'Ameacas-Pré'!A121</f>
        <v>114</v>
      </c>
      <c r="B122" s="127">
        <f>'Ameacas-Pré'!B121</f>
        <v>0</v>
      </c>
      <c r="C122" s="128">
        <f>'Ameacas-Pré'!C121</f>
        <v>0</v>
      </c>
      <c r="D122" s="459">
        <f>'Ameacas-Pré'!D121</f>
        <v>0</v>
      </c>
      <c r="E122" s="418"/>
      <c r="F122" s="129">
        <f>'Resposta-Ameacas'!J124</f>
        <v>0</v>
      </c>
      <c r="G122" s="132" t="str">
        <f>'Resposta-Ameacas'!K124</f>
        <v>0</v>
      </c>
      <c r="H122" s="133" t="str">
        <f t="shared" si="2"/>
        <v>0</v>
      </c>
      <c r="I122" s="133">
        <f t="shared" si="3"/>
        <v>0</v>
      </c>
      <c r="J122" s="260" t="str">
        <f>'Ameacas-Pré'!Q121</f>
        <v/>
      </c>
    </row>
    <row r="123" spans="1:10" ht="13">
      <c r="A123" s="126">
        <f>'Ameacas-Pré'!A122</f>
        <v>115</v>
      </c>
      <c r="B123" s="127">
        <f>'Ameacas-Pré'!B122</f>
        <v>0</v>
      </c>
      <c r="C123" s="128">
        <f>'Ameacas-Pré'!C122</f>
        <v>0</v>
      </c>
      <c r="D123" s="459">
        <f>'Ameacas-Pré'!D122</f>
        <v>0</v>
      </c>
      <c r="E123" s="418"/>
      <c r="F123" s="129">
        <f>'Resposta-Ameacas'!J125</f>
        <v>0</v>
      </c>
      <c r="G123" s="132" t="str">
        <f>'Resposta-Ameacas'!K125</f>
        <v>0</v>
      </c>
      <c r="H123" s="133" t="str">
        <f t="shared" si="2"/>
        <v>0</v>
      </c>
      <c r="I123" s="133">
        <f t="shared" si="3"/>
        <v>0</v>
      </c>
      <c r="J123" s="260" t="str">
        <f>'Ameacas-Pré'!Q122</f>
        <v/>
      </c>
    </row>
    <row r="124" spans="1:10" ht="13">
      <c r="A124" s="126">
        <f>'Ameacas-Pré'!A123</f>
        <v>116</v>
      </c>
      <c r="B124" s="127">
        <f>'Ameacas-Pré'!B123</f>
        <v>0</v>
      </c>
      <c r="C124" s="128">
        <f>'Ameacas-Pré'!C123</f>
        <v>0</v>
      </c>
      <c r="D124" s="459">
        <f>'Ameacas-Pré'!D123</f>
        <v>0</v>
      </c>
      <c r="E124" s="418"/>
      <c r="F124" s="129">
        <f>'Resposta-Ameacas'!J126</f>
        <v>0</v>
      </c>
      <c r="G124" s="132" t="str">
        <f>'Resposta-Ameacas'!K126</f>
        <v>0</v>
      </c>
      <c r="H124" s="133" t="str">
        <f t="shared" si="2"/>
        <v>0</v>
      </c>
      <c r="I124" s="133">
        <f t="shared" si="3"/>
        <v>0</v>
      </c>
      <c r="J124" s="260" t="str">
        <f>'Ameacas-Pré'!Q123</f>
        <v/>
      </c>
    </row>
    <row r="125" spans="1:10" ht="13">
      <c r="A125" s="126">
        <f>'Ameacas-Pré'!A124</f>
        <v>117</v>
      </c>
      <c r="B125" s="127">
        <f>'Ameacas-Pré'!B124</f>
        <v>0</v>
      </c>
      <c r="C125" s="128">
        <f>'Ameacas-Pré'!C124</f>
        <v>0</v>
      </c>
      <c r="D125" s="459">
        <f>'Ameacas-Pré'!D124</f>
        <v>0</v>
      </c>
      <c r="E125" s="418"/>
      <c r="F125" s="129">
        <f>'Resposta-Ameacas'!J127</f>
        <v>0</v>
      </c>
      <c r="G125" s="132" t="str">
        <f>'Resposta-Ameacas'!K127</f>
        <v>0</v>
      </c>
      <c r="H125" s="133" t="str">
        <f t="shared" si="2"/>
        <v>0</v>
      </c>
      <c r="I125" s="133">
        <f t="shared" si="3"/>
        <v>0</v>
      </c>
      <c r="J125" s="260" t="str">
        <f>'Ameacas-Pré'!Q124</f>
        <v/>
      </c>
    </row>
    <row r="126" spans="1:10" ht="13">
      <c r="A126" s="126">
        <f>'Ameacas-Pré'!A125</f>
        <v>118</v>
      </c>
      <c r="B126" s="127">
        <f>'Ameacas-Pré'!B125</f>
        <v>0</v>
      </c>
      <c r="C126" s="128">
        <f>'Ameacas-Pré'!C125</f>
        <v>0</v>
      </c>
      <c r="D126" s="459">
        <f>'Ameacas-Pré'!D125</f>
        <v>0</v>
      </c>
      <c r="E126" s="418"/>
      <c r="F126" s="129">
        <f>'Resposta-Ameacas'!J128</f>
        <v>0</v>
      </c>
      <c r="G126" s="132" t="str">
        <f>'Resposta-Ameacas'!K128</f>
        <v>0</v>
      </c>
      <c r="H126" s="133" t="str">
        <f t="shared" si="2"/>
        <v>0</v>
      </c>
      <c r="I126" s="133">
        <f t="shared" si="3"/>
        <v>0</v>
      </c>
      <c r="J126" s="260" t="str">
        <f>'Ameacas-Pré'!Q125</f>
        <v/>
      </c>
    </row>
    <row r="127" spans="1:10" ht="13">
      <c r="A127" s="126">
        <f>'Ameacas-Pré'!A126</f>
        <v>119</v>
      </c>
      <c r="B127" s="127">
        <f>'Ameacas-Pré'!B126</f>
        <v>0</v>
      </c>
      <c r="C127" s="128">
        <f>'Ameacas-Pré'!C126</f>
        <v>0</v>
      </c>
      <c r="D127" s="459">
        <f>'Ameacas-Pré'!D126</f>
        <v>0</v>
      </c>
      <c r="E127" s="418"/>
      <c r="F127" s="129">
        <f>'Resposta-Ameacas'!J129</f>
        <v>0</v>
      </c>
      <c r="G127" s="132" t="str">
        <f>'Resposta-Ameacas'!K129</f>
        <v>0</v>
      </c>
      <c r="H127" s="133" t="str">
        <f t="shared" si="2"/>
        <v>0</v>
      </c>
      <c r="I127" s="133">
        <f t="shared" si="3"/>
        <v>0</v>
      </c>
      <c r="J127" s="260" t="str">
        <f>'Ameacas-Pré'!Q126</f>
        <v/>
      </c>
    </row>
    <row r="128" spans="1:10" ht="13">
      <c r="A128" s="126">
        <f>'Ameacas-Pré'!A127</f>
        <v>120</v>
      </c>
      <c r="B128" s="127">
        <f>'Ameacas-Pré'!B127</f>
        <v>0</v>
      </c>
      <c r="C128" s="128">
        <f>'Ameacas-Pré'!C127</f>
        <v>0</v>
      </c>
      <c r="D128" s="459">
        <f>'Ameacas-Pré'!D127</f>
        <v>0</v>
      </c>
      <c r="E128" s="418"/>
      <c r="F128" s="129">
        <f>'Resposta-Ameacas'!J130</f>
        <v>0</v>
      </c>
      <c r="G128" s="132" t="str">
        <f>'Resposta-Ameacas'!K130</f>
        <v>0</v>
      </c>
      <c r="H128" s="133" t="str">
        <f t="shared" si="2"/>
        <v>0</v>
      </c>
      <c r="I128" s="133">
        <f t="shared" si="3"/>
        <v>0</v>
      </c>
      <c r="J128" s="260" t="str">
        <f>'Ameacas-Pré'!Q127</f>
        <v/>
      </c>
    </row>
    <row r="129" spans="1:10" ht="13">
      <c r="A129" s="126">
        <f>'Ameacas-Pré'!A128</f>
        <v>121</v>
      </c>
      <c r="B129" s="127">
        <f>'Ameacas-Pré'!B128</f>
        <v>0</v>
      </c>
      <c r="C129" s="128">
        <f>'Ameacas-Pré'!C128</f>
        <v>0</v>
      </c>
      <c r="D129" s="459">
        <f>'Ameacas-Pré'!D128</f>
        <v>0</v>
      </c>
      <c r="E129" s="418"/>
      <c r="F129" s="129">
        <f>'Resposta-Ameacas'!J131</f>
        <v>0</v>
      </c>
      <c r="G129" s="132" t="str">
        <f>'Resposta-Ameacas'!K131</f>
        <v>0</v>
      </c>
      <c r="H129" s="133" t="str">
        <f t="shared" si="2"/>
        <v>0</v>
      </c>
      <c r="I129" s="133">
        <f t="shared" si="3"/>
        <v>0</v>
      </c>
      <c r="J129" s="260" t="str">
        <f>'Ameacas-Pré'!Q128</f>
        <v/>
      </c>
    </row>
    <row r="130" spans="1:10" ht="13">
      <c r="A130" s="126">
        <f>'Ameacas-Pré'!A129</f>
        <v>122</v>
      </c>
      <c r="B130" s="127">
        <f>'Ameacas-Pré'!B129</f>
        <v>0</v>
      </c>
      <c r="C130" s="128">
        <f>'Ameacas-Pré'!C129</f>
        <v>0</v>
      </c>
      <c r="D130" s="459">
        <f>'Ameacas-Pré'!D129</f>
        <v>0</v>
      </c>
      <c r="E130" s="418"/>
      <c r="F130" s="129">
        <f>'Resposta-Ameacas'!J132</f>
        <v>0</v>
      </c>
      <c r="G130" s="132" t="str">
        <f>'Resposta-Ameacas'!K132</f>
        <v>0</v>
      </c>
      <c r="H130" s="133" t="str">
        <f t="shared" si="2"/>
        <v>0</v>
      </c>
      <c r="I130" s="133">
        <f t="shared" si="3"/>
        <v>0</v>
      </c>
      <c r="J130" s="260" t="str">
        <f>'Ameacas-Pré'!Q129</f>
        <v/>
      </c>
    </row>
    <row r="131" spans="1:10" ht="13">
      <c r="A131" s="126">
        <f>'Ameacas-Pré'!A130</f>
        <v>123</v>
      </c>
      <c r="B131" s="127">
        <f>'Ameacas-Pré'!B130</f>
        <v>0</v>
      </c>
      <c r="C131" s="128">
        <f>'Ameacas-Pré'!C130</f>
        <v>0</v>
      </c>
      <c r="D131" s="459">
        <f>'Ameacas-Pré'!D130</f>
        <v>0</v>
      </c>
      <c r="E131" s="418"/>
      <c r="F131" s="129">
        <f>'Resposta-Ameacas'!J133</f>
        <v>0</v>
      </c>
      <c r="G131" s="132" t="str">
        <f>'Resposta-Ameacas'!K133</f>
        <v>0</v>
      </c>
      <c r="H131" s="133" t="str">
        <f t="shared" si="2"/>
        <v>0</v>
      </c>
      <c r="I131" s="133">
        <f t="shared" si="3"/>
        <v>0</v>
      </c>
      <c r="J131" s="260" t="str">
        <f>'Ameacas-Pré'!Q130</f>
        <v/>
      </c>
    </row>
    <row r="132" spans="1:10" ht="13">
      <c r="A132" s="126">
        <f>'Ameacas-Pré'!A131</f>
        <v>124</v>
      </c>
      <c r="B132" s="127">
        <f>'Ameacas-Pré'!B131</f>
        <v>0</v>
      </c>
      <c r="C132" s="128">
        <f>'Ameacas-Pré'!C131</f>
        <v>0</v>
      </c>
      <c r="D132" s="459">
        <f>'Ameacas-Pré'!D131</f>
        <v>0</v>
      </c>
      <c r="E132" s="418"/>
      <c r="F132" s="129">
        <f>'Resposta-Ameacas'!J134</f>
        <v>0</v>
      </c>
      <c r="G132" s="132" t="str">
        <f>'Resposta-Ameacas'!K134</f>
        <v>0</v>
      </c>
      <c r="H132" s="133" t="str">
        <f t="shared" si="2"/>
        <v>0</v>
      </c>
      <c r="I132" s="133">
        <f t="shared" si="3"/>
        <v>0</v>
      </c>
      <c r="J132" s="260" t="str">
        <f>'Ameacas-Pré'!Q131</f>
        <v/>
      </c>
    </row>
    <row r="133" spans="1:10" ht="13">
      <c r="A133" s="126">
        <f>'Ameacas-Pré'!A132</f>
        <v>125</v>
      </c>
      <c r="B133" s="127">
        <f>'Ameacas-Pré'!B132</f>
        <v>0</v>
      </c>
      <c r="C133" s="128">
        <f>'Ameacas-Pré'!C132</f>
        <v>0</v>
      </c>
      <c r="D133" s="459">
        <f>'Ameacas-Pré'!D132</f>
        <v>0</v>
      </c>
      <c r="E133" s="418"/>
      <c r="F133" s="129">
        <f>'Resposta-Ameacas'!J135</f>
        <v>0</v>
      </c>
      <c r="G133" s="132" t="str">
        <f>'Resposta-Ameacas'!K135</f>
        <v>0</v>
      </c>
      <c r="H133" s="133" t="str">
        <f t="shared" si="2"/>
        <v>0</v>
      </c>
      <c r="I133" s="133">
        <f t="shared" si="3"/>
        <v>0</v>
      </c>
      <c r="J133" s="260" t="str">
        <f>'Ameacas-Pré'!Q132</f>
        <v/>
      </c>
    </row>
    <row r="134" spans="1:10" ht="13">
      <c r="A134" s="126">
        <f>'Ameacas-Pré'!A133</f>
        <v>126</v>
      </c>
      <c r="B134" s="127">
        <f>'Ameacas-Pré'!B133</f>
        <v>0</v>
      </c>
      <c r="C134" s="128">
        <f>'Ameacas-Pré'!C133</f>
        <v>0</v>
      </c>
      <c r="D134" s="459">
        <f>'Ameacas-Pré'!D133</f>
        <v>0</v>
      </c>
      <c r="E134" s="418"/>
      <c r="F134" s="129">
        <f>'Resposta-Ameacas'!J136</f>
        <v>0</v>
      </c>
      <c r="G134" s="132" t="str">
        <f>'Resposta-Ameacas'!K136</f>
        <v>0</v>
      </c>
      <c r="H134" s="133" t="str">
        <f t="shared" si="2"/>
        <v>0</v>
      </c>
      <c r="I134" s="133">
        <f t="shared" si="3"/>
        <v>0</v>
      </c>
      <c r="J134" s="260" t="str">
        <f>'Ameacas-Pré'!Q133</f>
        <v/>
      </c>
    </row>
    <row r="135" spans="1:10" ht="13">
      <c r="A135" s="126">
        <f>'Ameacas-Pré'!A134</f>
        <v>127</v>
      </c>
      <c r="B135" s="127">
        <f>'Ameacas-Pré'!B134</f>
        <v>0</v>
      </c>
      <c r="C135" s="128">
        <f>'Ameacas-Pré'!C134</f>
        <v>0</v>
      </c>
      <c r="D135" s="459">
        <f>'Ameacas-Pré'!D134</f>
        <v>0</v>
      </c>
      <c r="E135" s="418"/>
      <c r="F135" s="129">
        <f>'Resposta-Ameacas'!J137</f>
        <v>0</v>
      </c>
      <c r="G135" s="132" t="str">
        <f>'Resposta-Ameacas'!K137</f>
        <v>0</v>
      </c>
      <c r="H135" s="133" t="str">
        <f t="shared" si="2"/>
        <v>0</v>
      </c>
      <c r="I135" s="133">
        <f t="shared" si="3"/>
        <v>0</v>
      </c>
      <c r="J135" s="260" t="str">
        <f>'Ameacas-Pré'!Q134</f>
        <v/>
      </c>
    </row>
    <row r="136" spans="1:10" ht="13">
      <c r="A136" s="126">
        <f>'Ameacas-Pré'!A135</f>
        <v>128</v>
      </c>
      <c r="B136" s="127">
        <f>'Ameacas-Pré'!B135</f>
        <v>0</v>
      </c>
      <c r="C136" s="128">
        <f>'Ameacas-Pré'!C135</f>
        <v>0</v>
      </c>
      <c r="D136" s="459">
        <f>'Ameacas-Pré'!D135</f>
        <v>0</v>
      </c>
      <c r="E136" s="418"/>
      <c r="F136" s="129">
        <f>'Resposta-Ameacas'!J138</f>
        <v>0</v>
      </c>
      <c r="G136" s="132" t="str">
        <f>'Resposta-Ameacas'!K138</f>
        <v>0</v>
      </c>
      <c r="H136" s="133" t="str">
        <f t="shared" si="2"/>
        <v>0</v>
      </c>
      <c r="I136" s="133">
        <f t="shared" si="3"/>
        <v>0</v>
      </c>
      <c r="J136" s="260" t="str">
        <f>'Ameacas-Pré'!Q135</f>
        <v/>
      </c>
    </row>
    <row r="137" spans="1:10" ht="13">
      <c r="A137" s="126">
        <f>'Ameacas-Pré'!A136</f>
        <v>129</v>
      </c>
      <c r="B137" s="127">
        <f>'Ameacas-Pré'!B136</f>
        <v>0</v>
      </c>
      <c r="C137" s="128">
        <f>'Ameacas-Pré'!C136</f>
        <v>0</v>
      </c>
      <c r="D137" s="459">
        <f>'Ameacas-Pré'!D136</f>
        <v>0</v>
      </c>
      <c r="E137" s="418"/>
      <c r="F137" s="129">
        <f>'Resposta-Ameacas'!J139</f>
        <v>0</v>
      </c>
      <c r="G137" s="132" t="str">
        <f>'Resposta-Ameacas'!K139</f>
        <v>0</v>
      </c>
      <c r="H137" s="133" t="str">
        <f t="shared" si="2"/>
        <v>0</v>
      </c>
      <c r="I137" s="133">
        <f t="shared" si="3"/>
        <v>0</v>
      </c>
      <c r="J137" s="260" t="str">
        <f>'Ameacas-Pré'!Q136</f>
        <v/>
      </c>
    </row>
    <row r="138" spans="1:10" ht="13">
      <c r="A138" s="126">
        <f>'Ameacas-Pré'!A137</f>
        <v>130</v>
      </c>
      <c r="B138" s="127">
        <f>'Ameacas-Pré'!B137</f>
        <v>0</v>
      </c>
      <c r="C138" s="128">
        <f>'Ameacas-Pré'!C137</f>
        <v>0</v>
      </c>
      <c r="D138" s="459">
        <f>'Ameacas-Pré'!D137</f>
        <v>0</v>
      </c>
      <c r="E138" s="418"/>
      <c r="F138" s="129">
        <f>'Resposta-Ameacas'!J140</f>
        <v>0</v>
      </c>
      <c r="G138" s="132" t="str">
        <f>'Resposta-Ameacas'!K140</f>
        <v>0</v>
      </c>
      <c r="H138" s="133" t="str">
        <f t="shared" ref="H138:H201" si="4">G138</f>
        <v>0</v>
      </c>
      <c r="I138" s="133">
        <f t="shared" si="3"/>
        <v>0</v>
      </c>
      <c r="J138" s="260" t="str">
        <f>'Ameacas-Pré'!Q137</f>
        <v/>
      </c>
    </row>
    <row r="139" spans="1:10" ht="13">
      <c r="A139" s="126">
        <f>'Ameacas-Pré'!A138</f>
        <v>131</v>
      </c>
      <c r="B139" s="127">
        <f>'Ameacas-Pré'!B138</f>
        <v>0</v>
      </c>
      <c r="C139" s="128">
        <f>'Ameacas-Pré'!C138</f>
        <v>0</v>
      </c>
      <c r="D139" s="459">
        <f>'Ameacas-Pré'!D138</f>
        <v>0</v>
      </c>
      <c r="E139" s="418"/>
      <c r="F139" s="129">
        <f>'Resposta-Ameacas'!J141</f>
        <v>0</v>
      </c>
      <c r="G139" s="132" t="str">
        <f>'Resposta-Ameacas'!K141</f>
        <v>0</v>
      </c>
      <c r="H139" s="133" t="str">
        <f t="shared" si="4"/>
        <v>0</v>
      </c>
      <c r="I139" s="133">
        <f t="shared" si="3"/>
        <v>0</v>
      </c>
      <c r="J139" s="260" t="str">
        <f>'Ameacas-Pré'!Q138</f>
        <v/>
      </c>
    </row>
    <row r="140" spans="1:10" ht="13">
      <c r="A140" s="126">
        <f>'Ameacas-Pré'!A139</f>
        <v>132</v>
      </c>
      <c r="B140" s="127">
        <f>'Ameacas-Pré'!B139</f>
        <v>0</v>
      </c>
      <c r="C140" s="128">
        <f>'Ameacas-Pré'!C139</f>
        <v>0</v>
      </c>
      <c r="D140" s="459">
        <f>'Ameacas-Pré'!D139</f>
        <v>0</v>
      </c>
      <c r="E140" s="418"/>
      <c r="F140" s="129">
        <f>'Resposta-Ameacas'!J142</f>
        <v>0</v>
      </c>
      <c r="G140" s="132" t="str">
        <f>'Resposta-Ameacas'!K142</f>
        <v>0</v>
      </c>
      <c r="H140" s="133" t="str">
        <f t="shared" si="4"/>
        <v>0</v>
      </c>
      <c r="I140" s="133">
        <f t="shared" ref="I140:I203" si="5">F140*H140</f>
        <v>0</v>
      </c>
      <c r="J140" s="260" t="str">
        <f>'Ameacas-Pré'!Q139</f>
        <v/>
      </c>
    </row>
    <row r="141" spans="1:10" ht="13">
      <c r="A141" s="126">
        <f>'Ameacas-Pré'!A140</f>
        <v>133</v>
      </c>
      <c r="B141" s="127">
        <f>'Ameacas-Pré'!B140</f>
        <v>0</v>
      </c>
      <c r="C141" s="128">
        <f>'Ameacas-Pré'!C140</f>
        <v>0</v>
      </c>
      <c r="D141" s="459">
        <f>'Ameacas-Pré'!D140</f>
        <v>0</v>
      </c>
      <c r="E141" s="418"/>
      <c r="F141" s="129">
        <f>'Resposta-Ameacas'!J143</f>
        <v>0</v>
      </c>
      <c r="G141" s="132" t="str">
        <f>'Resposta-Ameacas'!K143</f>
        <v>0</v>
      </c>
      <c r="H141" s="133" t="str">
        <f t="shared" si="4"/>
        <v>0</v>
      </c>
      <c r="I141" s="133">
        <f t="shared" si="5"/>
        <v>0</v>
      </c>
      <c r="J141" s="260" t="str">
        <f>'Ameacas-Pré'!Q140</f>
        <v/>
      </c>
    </row>
    <row r="142" spans="1:10" ht="13">
      <c r="A142" s="126">
        <f>'Ameacas-Pré'!A141</f>
        <v>134</v>
      </c>
      <c r="B142" s="127">
        <f>'Ameacas-Pré'!B141</f>
        <v>0</v>
      </c>
      <c r="C142" s="128">
        <f>'Ameacas-Pré'!C141</f>
        <v>0</v>
      </c>
      <c r="D142" s="459">
        <f>'Ameacas-Pré'!D141</f>
        <v>0</v>
      </c>
      <c r="E142" s="418"/>
      <c r="F142" s="129">
        <f>'Resposta-Ameacas'!J144</f>
        <v>0</v>
      </c>
      <c r="G142" s="132" t="str">
        <f>'Resposta-Ameacas'!K144</f>
        <v>0</v>
      </c>
      <c r="H142" s="133" t="str">
        <f t="shared" si="4"/>
        <v>0</v>
      </c>
      <c r="I142" s="133">
        <f t="shared" si="5"/>
        <v>0</v>
      </c>
      <c r="J142" s="260" t="str">
        <f>'Ameacas-Pré'!Q141</f>
        <v/>
      </c>
    </row>
    <row r="143" spans="1:10" ht="13">
      <c r="A143" s="126">
        <f>'Ameacas-Pré'!A142</f>
        <v>135</v>
      </c>
      <c r="B143" s="127">
        <f>'Ameacas-Pré'!B142</f>
        <v>0</v>
      </c>
      <c r="C143" s="128">
        <f>'Ameacas-Pré'!C142</f>
        <v>0</v>
      </c>
      <c r="D143" s="459">
        <f>'Ameacas-Pré'!D142</f>
        <v>0</v>
      </c>
      <c r="E143" s="418"/>
      <c r="F143" s="129">
        <f>'Resposta-Ameacas'!J145</f>
        <v>0</v>
      </c>
      <c r="G143" s="132" t="str">
        <f>'Resposta-Ameacas'!K145</f>
        <v>0</v>
      </c>
      <c r="H143" s="133" t="str">
        <f t="shared" si="4"/>
        <v>0</v>
      </c>
      <c r="I143" s="133">
        <f t="shared" si="5"/>
        <v>0</v>
      </c>
      <c r="J143" s="260" t="str">
        <f>'Ameacas-Pré'!Q142</f>
        <v/>
      </c>
    </row>
    <row r="144" spans="1:10" ht="13">
      <c r="A144" s="126">
        <f>'Ameacas-Pré'!A143</f>
        <v>136</v>
      </c>
      <c r="B144" s="127">
        <f>'Ameacas-Pré'!B143</f>
        <v>0</v>
      </c>
      <c r="C144" s="128">
        <f>'Ameacas-Pré'!C143</f>
        <v>0</v>
      </c>
      <c r="D144" s="459">
        <f>'Ameacas-Pré'!D143</f>
        <v>0</v>
      </c>
      <c r="E144" s="418"/>
      <c r="F144" s="129">
        <f>'Resposta-Ameacas'!J146</f>
        <v>0</v>
      </c>
      <c r="G144" s="132" t="str">
        <f>'Resposta-Ameacas'!K146</f>
        <v>0</v>
      </c>
      <c r="H144" s="133" t="str">
        <f t="shared" si="4"/>
        <v>0</v>
      </c>
      <c r="I144" s="133">
        <f t="shared" si="5"/>
        <v>0</v>
      </c>
      <c r="J144" s="260" t="str">
        <f>'Ameacas-Pré'!Q143</f>
        <v/>
      </c>
    </row>
    <row r="145" spans="1:10" ht="13">
      <c r="A145" s="126">
        <f>'Ameacas-Pré'!A144</f>
        <v>137</v>
      </c>
      <c r="B145" s="127">
        <f>'Ameacas-Pré'!B144</f>
        <v>0</v>
      </c>
      <c r="C145" s="128">
        <f>'Ameacas-Pré'!C144</f>
        <v>0</v>
      </c>
      <c r="D145" s="459">
        <f>'Ameacas-Pré'!D144</f>
        <v>0</v>
      </c>
      <c r="E145" s="418"/>
      <c r="F145" s="129">
        <f>'Resposta-Ameacas'!J147</f>
        <v>0</v>
      </c>
      <c r="G145" s="132" t="str">
        <f>'Resposta-Ameacas'!K147</f>
        <v>0</v>
      </c>
      <c r="H145" s="133" t="str">
        <f t="shared" si="4"/>
        <v>0</v>
      </c>
      <c r="I145" s="133">
        <f t="shared" si="5"/>
        <v>0</v>
      </c>
      <c r="J145" s="260" t="str">
        <f>'Ameacas-Pré'!Q144</f>
        <v/>
      </c>
    </row>
    <row r="146" spans="1:10" ht="13">
      <c r="A146" s="126">
        <f>'Ameacas-Pré'!A145</f>
        <v>138</v>
      </c>
      <c r="B146" s="127">
        <f>'Ameacas-Pré'!B145</f>
        <v>0</v>
      </c>
      <c r="C146" s="128">
        <f>'Ameacas-Pré'!C145</f>
        <v>0</v>
      </c>
      <c r="D146" s="459">
        <f>'Ameacas-Pré'!D145</f>
        <v>0</v>
      </c>
      <c r="E146" s="418"/>
      <c r="F146" s="129">
        <f>'Resposta-Ameacas'!J148</f>
        <v>0</v>
      </c>
      <c r="G146" s="132" t="str">
        <f>'Resposta-Ameacas'!K148</f>
        <v>0</v>
      </c>
      <c r="H146" s="133" t="str">
        <f t="shared" si="4"/>
        <v>0</v>
      </c>
      <c r="I146" s="133">
        <f t="shared" si="5"/>
        <v>0</v>
      </c>
      <c r="J146" s="260" t="str">
        <f>'Ameacas-Pré'!Q145</f>
        <v/>
      </c>
    </row>
    <row r="147" spans="1:10" ht="13">
      <c r="A147" s="126">
        <f>'Ameacas-Pré'!A146</f>
        <v>139</v>
      </c>
      <c r="B147" s="127">
        <f>'Ameacas-Pré'!B146</f>
        <v>0</v>
      </c>
      <c r="C147" s="128">
        <f>'Ameacas-Pré'!C146</f>
        <v>0</v>
      </c>
      <c r="D147" s="459">
        <f>'Ameacas-Pré'!D146</f>
        <v>0</v>
      </c>
      <c r="E147" s="418"/>
      <c r="F147" s="129">
        <f>'Resposta-Ameacas'!J149</f>
        <v>0</v>
      </c>
      <c r="G147" s="132" t="str">
        <f>'Resposta-Ameacas'!K149</f>
        <v>0</v>
      </c>
      <c r="H147" s="133" t="str">
        <f t="shared" si="4"/>
        <v>0</v>
      </c>
      <c r="I147" s="133">
        <f t="shared" si="5"/>
        <v>0</v>
      </c>
      <c r="J147" s="260" t="str">
        <f>'Ameacas-Pré'!Q146</f>
        <v/>
      </c>
    </row>
    <row r="148" spans="1:10" ht="13">
      <c r="A148" s="126">
        <f>'Ameacas-Pré'!A147</f>
        <v>140</v>
      </c>
      <c r="B148" s="127">
        <f>'Ameacas-Pré'!B147</f>
        <v>0</v>
      </c>
      <c r="C148" s="128">
        <f>'Ameacas-Pré'!C147</f>
        <v>0</v>
      </c>
      <c r="D148" s="459">
        <f>'Ameacas-Pré'!D147</f>
        <v>0</v>
      </c>
      <c r="E148" s="418"/>
      <c r="F148" s="129">
        <f>'Resposta-Ameacas'!J150</f>
        <v>0</v>
      </c>
      <c r="G148" s="132" t="str">
        <f>'Resposta-Ameacas'!K150</f>
        <v>0</v>
      </c>
      <c r="H148" s="133" t="str">
        <f t="shared" si="4"/>
        <v>0</v>
      </c>
      <c r="I148" s="133">
        <f t="shared" si="5"/>
        <v>0</v>
      </c>
      <c r="J148" s="260" t="str">
        <f>'Ameacas-Pré'!Q147</f>
        <v/>
      </c>
    </row>
    <row r="149" spans="1:10" ht="13">
      <c r="A149" s="126">
        <f>'Ameacas-Pré'!A148</f>
        <v>141</v>
      </c>
      <c r="B149" s="127">
        <f>'Ameacas-Pré'!B148</f>
        <v>0</v>
      </c>
      <c r="C149" s="128">
        <f>'Ameacas-Pré'!C148</f>
        <v>0</v>
      </c>
      <c r="D149" s="459">
        <f>'Ameacas-Pré'!D148</f>
        <v>0</v>
      </c>
      <c r="E149" s="418"/>
      <c r="F149" s="129">
        <f>'Resposta-Ameacas'!J151</f>
        <v>0</v>
      </c>
      <c r="G149" s="132" t="str">
        <f>'Resposta-Ameacas'!K151</f>
        <v>0</v>
      </c>
      <c r="H149" s="133" t="str">
        <f t="shared" si="4"/>
        <v>0</v>
      </c>
      <c r="I149" s="133">
        <f t="shared" si="5"/>
        <v>0</v>
      </c>
      <c r="J149" s="260" t="str">
        <f>'Ameacas-Pré'!Q148</f>
        <v/>
      </c>
    </row>
    <row r="150" spans="1:10" ht="13">
      <c r="A150" s="126">
        <f>'Ameacas-Pré'!A149</f>
        <v>142</v>
      </c>
      <c r="B150" s="127">
        <f>'Ameacas-Pré'!B149</f>
        <v>0</v>
      </c>
      <c r="C150" s="128">
        <f>'Ameacas-Pré'!C149</f>
        <v>0</v>
      </c>
      <c r="D150" s="459">
        <f>'Ameacas-Pré'!D149</f>
        <v>0</v>
      </c>
      <c r="E150" s="418"/>
      <c r="F150" s="129">
        <f>'Resposta-Ameacas'!J152</f>
        <v>0</v>
      </c>
      <c r="G150" s="132" t="str">
        <f>'Resposta-Ameacas'!K152</f>
        <v>0</v>
      </c>
      <c r="H150" s="133" t="str">
        <f t="shared" si="4"/>
        <v>0</v>
      </c>
      <c r="I150" s="133">
        <f t="shared" si="5"/>
        <v>0</v>
      </c>
      <c r="J150" s="260" t="str">
        <f>'Ameacas-Pré'!Q149</f>
        <v/>
      </c>
    </row>
    <row r="151" spans="1:10" ht="13">
      <c r="A151" s="126">
        <f>'Ameacas-Pré'!A150</f>
        <v>143</v>
      </c>
      <c r="B151" s="127">
        <f>'Ameacas-Pré'!B150</f>
        <v>0</v>
      </c>
      <c r="C151" s="128">
        <f>'Ameacas-Pré'!C150</f>
        <v>0</v>
      </c>
      <c r="D151" s="459">
        <f>'Ameacas-Pré'!D150</f>
        <v>0</v>
      </c>
      <c r="E151" s="418"/>
      <c r="F151" s="129">
        <f>'Resposta-Ameacas'!J153</f>
        <v>0</v>
      </c>
      <c r="G151" s="132" t="str">
        <f>'Resposta-Ameacas'!K153</f>
        <v>0</v>
      </c>
      <c r="H151" s="133" t="str">
        <f t="shared" si="4"/>
        <v>0</v>
      </c>
      <c r="I151" s="133">
        <f t="shared" si="5"/>
        <v>0</v>
      </c>
      <c r="J151" s="260" t="str">
        <f>'Ameacas-Pré'!Q150</f>
        <v/>
      </c>
    </row>
    <row r="152" spans="1:10" ht="13">
      <c r="A152" s="126">
        <f>'Ameacas-Pré'!A151</f>
        <v>144</v>
      </c>
      <c r="B152" s="127">
        <f>'Ameacas-Pré'!B151</f>
        <v>0</v>
      </c>
      <c r="C152" s="128">
        <f>'Ameacas-Pré'!C151</f>
        <v>0</v>
      </c>
      <c r="D152" s="459">
        <f>'Ameacas-Pré'!D151</f>
        <v>0</v>
      </c>
      <c r="E152" s="418"/>
      <c r="F152" s="129">
        <f>'Resposta-Ameacas'!J154</f>
        <v>0</v>
      </c>
      <c r="G152" s="132" t="str">
        <f>'Resposta-Ameacas'!K154</f>
        <v>0</v>
      </c>
      <c r="H152" s="133" t="str">
        <f t="shared" si="4"/>
        <v>0</v>
      </c>
      <c r="I152" s="133">
        <f t="shared" si="5"/>
        <v>0</v>
      </c>
      <c r="J152" s="260" t="str">
        <f>'Ameacas-Pré'!Q151</f>
        <v/>
      </c>
    </row>
    <row r="153" spans="1:10" ht="13">
      <c r="A153" s="126">
        <f>'Ameacas-Pré'!A152</f>
        <v>145</v>
      </c>
      <c r="B153" s="127">
        <f>'Ameacas-Pré'!B152</f>
        <v>0</v>
      </c>
      <c r="C153" s="128">
        <f>'Ameacas-Pré'!C152</f>
        <v>0</v>
      </c>
      <c r="D153" s="459">
        <f>'Ameacas-Pré'!D152</f>
        <v>0</v>
      </c>
      <c r="E153" s="418"/>
      <c r="F153" s="129">
        <f>'Resposta-Ameacas'!J155</f>
        <v>0</v>
      </c>
      <c r="G153" s="132" t="str">
        <f>'Resposta-Ameacas'!K155</f>
        <v>0</v>
      </c>
      <c r="H153" s="133" t="str">
        <f t="shared" si="4"/>
        <v>0</v>
      </c>
      <c r="I153" s="133">
        <f t="shared" si="5"/>
        <v>0</v>
      </c>
      <c r="J153" s="260" t="str">
        <f>'Ameacas-Pré'!Q152</f>
        <v/>
      </c>
    </row>
    <row r="154" spans="1:10" ht="13">
      <c r="A154" s="126">
        <f>'Ameacas-Pré'!A153</f>
        <v>146</v>
      </c>
      <c r="B154" s="127">
        <f>'Ameacas-Pré'!B153</f>
        <v>0</v>
      </c>
      <c r="C154" s="128">
        <f>'Ameacas-Pré'!C153</f>
        <v>0</v>
      </c>
      <c r="D154" s="459">
        <f>'Ameacas-Pré'!D153</f>
        <v>0</v>
      </c>
      <c r="E154" s="418"/>
      <c r="F154" s="129">
        <f>'Resposta-Ameacas'!J156</f>
        <v>0</v>
      </c>
      <c r="G154" s="132" t="str">
        <f>'Resposta-Ameacas'!K156</f>
        <v>0</v>
      </c>
      <c r="H154" s="133" t="str">
        <f t="shared" si="4"/>
        <v>0</v>
      </c>
      <c r="I154" s="133">
        <f t="shared" si="5"/>
        <v>0</v>
      </c>
      <c r="J154" s="260" t="str">
        <f>'Ameacas-Pré'!Q153</f>
        <v/>
      </c>
    </row>
    <row r="155" spans="1:10" ht="13">
      <c r="A155" s="126">
        <f>'Ameacas-Pré'!A154</f>
        <v>147</v>
      </c>
      <c r="B155" s="127">
        <f>'Ameacas-Pré'!B154</f>
        <v>0</v>
      </c>
      <c r="C155" s="128">
        <f>'Ameacas-Pré'!C154</f>
        <v>0</v>
      </c>
      <c r="D155" s="459">
        <f>'Ameacas-Pré'!D154</f>
        <v>0</v>
      </c>
      <c r="E155" s="418"/>
      <c r="F155" s="129">
        <f>'Resposta-Ameacas'!J157</f>
        <v>0</v>
      </c>
      <c r="G155" s="132" t="str">
        <f>'Resposta-Ameacas'!K157</f>
        <v>0</v>
      </c>
      <c r="H155" s="133" t="str">
        <f t="shared" si="4"/>
        <v>0</v>
      </c>
      <c r="I155" s="133">
        <f t="shared" si="5"/>
        <v>0</v>
      </c>
      <c r="J155" s="260" t="str">
        <f>'Ameacas-Pré'!Q154</f>
        <v/>
      </c>
    </row>
    <row r="156" spans="1:10" ht="13">
      <c r="A156" s="126">
        <f>'Ameacas-Pré'!A155</f>
        <v>148</v>
      </c>
      <c r="B156" s="127">
        <f>'Ameacas-Pré'!B155</f>
        <v>0</v>
      </c>
      <c r="C156" s="128">
        <f>'Ameacas-Pré'!C155</f>
        <v>0</v>
      </c>
      <c r="D156" s="459">
        <f>'Ameacas-Pré'!D155</f>
        <v>0</v>
      </c>
      <c r="E156" s="418"/>
      <c r="F156" s="129">
        <f>'Resposta-Ameacas'!J158</f>
        <v>0</v>
      </c>
      <c r="G156" s="132" t="str">
        <f>'Resposta-Ameacas'!K158</f>
        <v>0</v>
      </c>
      <c r="H156" s="133" t="str">
        <f t="shared" si="4"/>
        <v>0</v>
      </c>
      <c r="I156" s="133">
        <f t="shared" si="5"/>
        <v>0</v>
      </c>
      <c r="J156" s="260" t="str">
        <f>'Ameacas-Pré'!Q155</f>
        <v/>
      </c>
    </row>
    <row r="157" spans="1:10" ht="13">
      <c r="A157" s="126">
        <f>'Ameacas-Pré'!A156</f>
        <v>149</v>
      </c>
      <c r="B157" s="127">
        <f>'Ameacas-Pré'!B156</f>
        <v>0</v>
      </c>
      <c r="C157" s="128">
        <f>'Ameacas-Pré'!C156</f>
        <v>0</v>
      </c>
      <c r="D157" s="459">
        <f>'Ameacas-Pré'!D156</f>
        <v>0</v>
      </c>
      <c r="E157" s="418"/>
      <c r="F157" s="129">
        <f>'Resposta-Ameacas'!J159</f>
        <v>0</v>
      </c>
      <c r="G157" s="132" t="str">
        <f>'Resposta-Ameacas'!K159</f>
        <v>0</v>
      </c>
      <c r="H157" s="133" t="str">
        <f t="shared" si="4"/>
        <v>0</v>
      </c>
      <c r="I157" s="133">
        <f t="shared" si="5"/>
        <v>0</v>
      </c>
      <c r="J157" s="260" t="str">
        <f>'Ameacas-Pré'!Q156</f>
        <v/>
      </c>
    </row>
    <row r="158" spans="1:10" ht="13">
      <c r="A158" s="126">
        <f>'Ameacas-Pré'!A157</f>
        <v>150</v>
      </c>
      <c r="B158" s="127">
        <f>'Ameacas-Pré'!B157</f>
        <v>0</v>
      </c>
      <c r="C158" s="128">
        <f>'Ameacas-Pré'!C157</f>
        <v>0</v>
      </c>
      <c r="D158" s="459">
        <f>'Ameacas-Pré'!D157</f>
        <v>0</v>
      </c>
      <c r="E158" s="418"/>
      <c r="F158" s="129">
        <f>'Resposta-Ameacas'!J160</f>
        <v>0</v>
      </c>
      <c r="G158" s="132" t="str">
        <f>'Resposta-Ameacas'!K160</f>
        <v>0</v>
      </c>
      <c r="H158" s="133" t="str">
        <f t="shared" si="4"/>
        <v>0</v>
      </c>
      <c r="I158" s="133">
        <f t="shared" si="5"/>
        <v>0</v>
      </c>
      <c r="J158" s="260" t="str">
        <f>'Ameacas-Pré'!Q157</f>
        <v/>
      </c>
    </row>
    <row r="159" spans="1:10" ht="13">
      <c r="A159" s="126">
        <f>'Ameacas-Pré'!A158</f>
        <v>151</v>
      </c>
      <c r="B159" s="127">
        <f>'Ameacas-Pré'!B158</f>
        <v>0</v>
      </c>
      <c r="C159" s="128">
        <f>'Ameacas-Pré'!C158</f>
        <v>0</v>
      </c>
      <c r="D159" s="459">
        <f>'Ameacas-Pré'!D158</f>
        <v>0</v>
      </c>
      <c r="E159" s="418"/>
      <c r="F159" s="129">
        <f>'Resposta-Ameacas'!J161</f>
        <v>0</v>
      </c>
      <c r="G159" s="132" t="str">
        <f>'Resposta-Ameacas'!K161</f>
        <v>0</v>
      </c>
      <c r="H159" s="133" t="str">
        <f t="shared" si="4"/>
        <v>0</v>
      </c>
      <c r="I159" s="133">
        <f t="shared" si="5"/>
        <v>0</v>
      </c>
      <c r="J159" s="260" t="str">
        <f>'Ameacas-Pré'!Q158</f>
        <v/>
      </c>
    </row>
    <row r="160" spans="1:10" ht="13">
      <c r="A160" s="126">
        <f>'Ameacas-Pré'!A159</f>
        <v>152</v>
      </c>
      <c r="B160" s="127">
        <f>'Ameacas-Pré'!B159</f>
        <v>0</v>
      </c>
      <c r="C160" s="128">
        <f>'Ameacas-Pré'!C159</f>
        <v>0</v>
      </c>
      <c r="D160" s="459">
        <f>'Ameacas-Pré'!D159</f>
        <v>0</v>
      </c>
      <c r="E160" s="418"/>
      <c r="F160" s="129">
        <f>'Resposta-Ameacas'!J162</f>
        <v>0</v>
      </c>
      <c r="G160" s="132" t="str">
        <f>'Resposta-Ameacas'!K162</f>
        <v>0</v>
      </c>
      <c r="H160" s="133" t="str">
        <f t="shared" si="4"/>
        <v>0</v>
      </c>
      <c r="I160" s="133">
        <f t="shared" si="5"/>
        <v>0</v>
      </c>
      <c r="J160" s="260" t="str">
        <f>'Ameacas-Pré'!Q159</f>
        <v/>
      </c>
    </row>
    <row r="161" spans="1:10" ht="13">
      <c r="A161" s="126">
        <f>'Ameacas-Pré'!A160</f>
        <v>153</v>
      </c>
      <c r="B161" s="127">
        <f>'Ameacas-Pré'!B160</f>
        <v>0</v>
      </c>
      <c r="C161" s="128">
        <f>'Ameacas-Pré'!C160</f>
        <v>0</v>
      </c>
      <c r="D161" s="459">
        <f>'Ameacas-Pré'!D160</f>
        <v>0</v>
      </c>
      <c r="E161" s="418"/>
      <c r="F161" s="129">
        <f>'Resposta-Ameacas'!J163</f>
        <v>0</v>
      </c>
      <c r="G161" s="132" t="str">
        <f>'Resposta-Ameacas'!K163</f>
        <v>0</v>
      </c>
      <c r="H161" s="133" t="str">
        <f t="shared" si="4"/>
        <v>0</v>
      </c>
      <c r="I161" s="133">
        <f t="shared" si="5"/>
        <v>0</v>
      </c>
      <c r="J161" s="260" t="str">
        <f>'Ameacas-Pré'!Q160</f>
        <v/>
      </c>
    </row>
    <row r="162" spans="1:10" ht="13">
      <c r="A162" s="126">
        <f>'Ameacas-Pré'!A161</f>
        <v>154</v>
      </c>
      <c r="B162" s="127">
        <f>'Ameacas-Pré'!B161</f>
        <v>0</v>
      </c>
      <c r="C162" s="128">
        <f>'Ameacas-Pré'!C161</f>
        <v>0</v>
      </c>
      <c r="D162" s="459">
        <f>'Ameacas-Pré'!D161</f>
        <v>0</v>
      </c>
      <c r="E162" s="418"/>
      <c r="F162" s="129">
        <f>'Resposta-Ameacas'!J164</f>
        <v>0</v>
      </c>
      <c r="G162" s="132" t="str">
        <f>'Resposta-Ameacas'!K164</f>
        <v>0</v>
      </c>
      <c r="H162" s="133" t="str">
        <f t="shared" si="4"/>
        <v>0</v>
      </c>
      <c r="I162" s="133">
        <f t="shared" si="5"/>
        <v>0</v>
      </c>
      <c r="J162" s="260" t="str">
        <f>'Ameacas-Pré'!Q161</f>
        <v/>
      </c>
    </row>
    <row r="163" spans="1:10" ht="13">
      <c r="A163" s="126">
        <f>'Ameacas-Pré'!A162</f>
        <v>155</v>
      </c>
      <c r="B163" s="127">
        <f>'Ameacas-Pré'!B162</f>
        <v>0</v>
      </c>
      <c r="C163" s="128">
        <f>'Ameacas-Pré'!C162</f>
        <v>0</v>
      </c>
      <c r="D163" s="459">
        <f>'Ameacas-Pré'!D162</f>
        <v>0</v>
      </c>
      <c r="E163" s="418"/>
      <c r="F163" s="129">
        <f>'Resposta-Ameacas'!J165</f>
        <v>0</v>
      </c>
      <c r="G163" s="132" t="str">
        <f>'Resposta-Ameacas'!K165</f>
        <v>0</v>
      </c>
      <c r="H163" s="133" t="str">
        <f t="shared" si="4"/>
        <v>0</v>
      </c>
      <c r="I163" s="133">
        <f t="shared" si="5"/>
        <v>0</v>
      </c>
      <c r="J163" s="260" t="str">
        <f>'Ameacas-Pré'!Q162</f>
        <v/>
      </c>
    </row>
    <row r="164" spans="1:10" ht="13">
      <c r="A164" s="126">
        <f>'Ameacas-Pré'!A163</f>
        <v>156</v>
      </c>
      <c r="B164" s="127">
        <f>'Ameacas-Pré'!B163</f>
        <v>0</v>
      </c>
      <c r="C164" s="128">
        <f>'Ameacas-Pré'!C163</f>
        <v>0</v>
      </c>
      <c r="D164" s="459">
        <f>'Ameacas-Pré'!D163</f>
        <v>0</v>
      </c>
      <c r="E164" s="418"/>
      <c r="F164" s="129">
        <f>'Resposta-Ameacas'!J166</f>
        <v>0</v>
      </c>
      <c r="G164" s="132" t="str">
        <f>'Resposta-Ameacas'!K166</f>
        <v>0</v>
      </c>
      <c r="H164" s="133" t="str">
        <f t="shared" si="4"/>
        <v>0</v>
      </c>
      <c r="I164" s="133">
        <f t="shared" si="5"/>
        <v>0</v>
      </c>
      <c r="J164" s="260" t="str">
        <f>'Ameacas-Pré'!Q163</f>
        <v/>
      </c>
    </row>
    <row r="165" spans="1:10" ht="13">
      <c r="A165" s="126">
        <f>'Ameacas-Pré'!A164</f>
        <v>157</v>
      </c>
      <c r="B165" s="127">
        <f>'Ameacas-Pré'!B164</f>
        <v>0</v>
      </c>
      <c r="C165" s="128">
        <f>'Ameacas-Pré'!C164</f>
        <v>0</v>
      </c>
      <c r="D165" s="459">
        <f>'Ameacas-Pré'!D164</f>
        <v>0</v>
      </c>
      <c r="E165" s="418"/>
      <c r="F165" s="129">
        <f>'Resposta-Ameacas'!J167</f>
        <v>0</v>
      </c>
      <c r="G165" s="132" t="str">
        <f>'Resposta-Ameacas'!K167</f>
        <v>0</v>
      </c>
      <c r="H165" s="133" t="str">
        <f t="shared" si="4"/>
        <v>0</v>
      </c>
      <c r="I165" s="133">
        <f t="shared" si="5"/>
        <v>0</v>
      </c>
      <c r="J165" s="260" t="str">
        <f>'Ameacas-Pré'!Q164</f>
        <v/>
      </c>
    </row>
    <row r="166" spans="1:10" ht="13">
      <c r="A166" s="126">
        <f>'Ameacas-Pré'!A165</f>
        <v>158</v>
      </c>
      <c r="B166" s="127">
        <f>'Ameacas-Pré'!B165</f>
        <v>0</v>
      </c>
      <c r="C166" s="128">
        <f>'Ameacas-Pré'!C165</f>
        <v>0</v>
      </c>
      <c r="D166" s="459">
        <f>'Ameacas-Pré'!D165</f>
        <v>0</v>
      </c>
      <c r="E166" s="418"/>
      <c r="F166" s="129">
        <f>'Resposta-Ameacas'!J168</f>
        <v>0</v>
      </c>
      <c r="G166" s="132" t="str">
        <f>'Resposta-Ameacas'!K168</f>
        <v>0</v>
      </c>
      <c r="H166" s="133" t="str">
        <f t="shared" si="4"/>
        <v>0</v>
      </c>
      <c r="I166" s="133">
        <f t="shared" si="5"/>
        <v>0</v>
      </c>
      <c r="J166" s="260" t="str">
        <f>'Ameacas-Pré'!Q165</f>
        <v/>
      </c>
    </row>
    <row r="167" spans="1:10" ht="13">
      <c r="A167" s="126">
        <f>'Ameacas-Pré'!A166</f>
        <v>159</v>
      </c>
      <c r="B167" s="127">
        <f>'Ameacas-Pré'!B166</f>
        <v>0</v>
      </c>
      <c r="C167" s="128">
        <f>'Ameacas-Pré'!C166</f>
        <v>0</v>
      </c>
      <c r="D167" s="459">
        <f>'Ameacas-Pré'!D166</f>
        <v>0</v>
      </c>
      <c r="E167" s="418"/>
      <c r="F167" s="129">
        <f>'Resposta-Ameacas'!J169</f>
        <v>0</v>
      </c>
      <c r="G167" s="132" t="str">
        <f>'Resposta-Ameacas'!K169</f>
        <v>0</v>
      </c>
      <c r="H167" s="133" t="str">
        <f t="shared" si="4"/>
        <v>0</v>
      </c>
      <c r="I167" s="133">
        <f t="shared" si="5"/>
        <v>0</v>
      </c>
      <c r="J167" s="260" t="str">
        <f>'Ameacas-Pré'!Q166</f>
        <v/>
      </c>
    </row>
    <row r="168" spans="1:10" ht="13">
      <c r="A168" s="126">
        <f>'Ameacas-Pré'!A167</f>
        <v>160</v>
      </c>
      <c r="B168" s="127">
        <f>'Ameacas-Pré'!B167</f>
        <v>0</v>
      </c>
      <c r="C168" s="128">
        <f>'Ameacas-Pré'!C167</f>
        <v>0</v>
      </c>
      <c r="D168" s="459">
        <f>'Ameacas-Pré'!D167</f>
        <v>0</v>
      </c>
      <c r="E168" s="418"/>
      <c r="F168" s="129">
        <f>'Resposta-Ameacas'!J170</f>
        <v>0</v>
      </c>
      <c r="G168" s="132" t="str">
        <f>'Resposta-Ameacas'!K170</f>
        <v>0</v>
      </c>
      <c r="H168" s="133" t="str">
        <f t="shared" si="4"/>
        <v>0</v>
      </c>
      <c r="I168" s="133">
        <f t="shared" si="5"/>
        <v>0</v>
      </c>
      <c r="J168" s="260" t="str">
        <f>'Ameacas-Pré'!Q167</f>
        <v/>
      </c>
    </row>
    <row r="169" spans="1:10" ht="13">
      <c r="A169" s="126">
        <f>'Ameacas-Pré'!A168</f>
        <v>161</v>
      </c>
      <c r="B169" s="127">
        <f>'Ameacas-Pré'!B168</f>
        <v>0</v>
      </c>
      <c r="C169" s="128">
        <f>'Ameacas-Pré'!C168</f>
        <v>0</v>
      </c>
      <c r="D169" s="459">
        <f>'Ameacas-Pré'!D168</f>
        <v>0</v>
      </c>
      <c r="E169" s="418"/>
      <c r="F169" s="129">
        <f>'Resposta-Ameacas'!J171</f>
        <v>0</v>
      </c>
      <c r="G169" s="132" t="str">
        <f>'Resposta-Ameacas'!K171</f>
        <v>0</v>
      </c>
      <c r="H169" s="133" t="str">
        <f t="shared" si="4"/>
        <v>0</v>
      </c>
      <c r="I169" s="133">
        <f t="shared" si="5"/>
        <v>0</v>
      </c>
      <c r="J169" s="260" t="str">
        <f>'Ameacas-Pré'!Q168</f>
        <v/>
      </c>
    </row>
    <row r="170" spans="1:10" ht="13">
      <c r="A170" s="126">
        <f>'Ameacas-Pré'!A169</f>
        <v>162</v>
      </c>
      <c r="B170" s="127">
        <f>'Ameacas-Pré'!B169</f>
        <v>0</v>
      </c>
      <c r="C170" s="128">
        <f>'Ameacas-Pré'!C169</f>
        <v>0</v>
      </c>
      <c r="D170" s="459">
        <f>'Ameacas-Pré'!D169</f>
        <v>0</v>
      </c>
      <c r="E170" s="418"/>
      <c r="F170" s="129">
        <f>'Resposta-Ameacas'!J172</f>
        <v>0</v>
      </c>
      <c r="G170" s="132" t="str">
        <f>'Resposta-Ameacas'!K172</f>
        <v>0</v>
      </c>
      <c r="H170" s="133" t="str">
        <f t="shared" si="4"/>
        <v>0</v>
      </c>
      <c r="I170" s="133">
        <f t="shared" si="5"/>
        <v>0</v>
      </c>
      <c r="J170" s="260" t="str">
        <f>'Ameacas-Pré'!Q169</f>
        <v/>
      </c>
    </row>
    <row r="171" spans="1:10" ht="13">
      <c r="A171" s="126">
        <f>'Ameacas-Pré'!A170</f>
        <v>163</v>
      </c>
      <c r="B171" s="127">
        <f>'Ameacas-Pré'!B170</f>
        <v>0</v>
      </c>
      <c r="C171" s="128">
        <f>'Ameacas-Pré'!C170</f>
        <v>0</v>
      </c>
      <c r="D171" s="459">
        <f>'Ameacas-Pré'!D170</f>
        <v>0</v>
      </c>
      <c r="E171" s="418"/>
      <c r="F171" s="129">
        <f>'Resposta-Ameacas'!J173</f>
        <v>0</v>
      </c>
      <c r="G171" s="132" t="str">
        <f>'Resposta-Ameacas'!K173</f>
        <v>0</v>
      </c>
      <c r="H171" s="133" t="str">
        <f t="shared" si="4"/>
        <v>0</v>
      </c>
      <c r="I171" s="133">
        <f t="shared" si="5"/>
        <v>0</v>
      </c>
      <c r="J171" s="260" t="str">
        <f>'Ameacas-Pré'!Q170</f>
        <v/>
      </c>
    </row>
    <row r="172" spans="1:10" ht="13">
      <c r="A172" s="126">
        <f>'Ameacas-Pré'!A171</f>
        <v>164</v>
      </c>
      <c r="B172" s="127">
        <f>'Ameacas-Pré'!B171</f>
        <v>0</v>
      </c>
      <c r="C172" s="128">
        <f>'Ameacas-Pré'!C171</f>
        <v>0</v>
      </c>
      <c r="D172" s="459">
        <f>'Ameacas-Pré'!D171</f>
        <v>0</v>
      </c>
      <c r="E172" s="418"/>
      <c r="F172" s="129">
        <f>'Resposta-Ameacas'!J174</f>
        <v>0</v>
      </c>
      <c r="G172" s="132" t="str">
        <f>'Resposta-Ameacas'!K174</f>
        <v>0</v>
      </c>
      <c r="H172" s="133" t="str">
        <f t="shared" si="4"/>
        <v>0</v>
      </c>
      <c r="I172" s="133">
        <f t="shared" si="5"/>
        <v>0</v>
      </c>
      <c r="J172" s="260" t="str">
        <f>'Ameacas-Pré'!Q171</f>
        <v/>
      </c>
    </row>
    <row r="173" spans="1:10" ht="13">
      <c r="A173" s="126">
        <f>'Ameacas-Pré'!A172</f>
        <v>165</v>
      </c>
      <c r="B173" s="127">
        <f>'Ameacas-Pré'!B172</f>
        <v>0</v>
      </c>
      <c r="C173" s="128">
        <f>'Ameacas-Pré'!C172</f>
        <v>0</v>
      </c>
      <c r="D173" s="459">
        <f>'Ameacas-Pré'!D172</f>
        <v>0</v>
      </c>
      <c r="E173" s="418"/>
      <c r="F173" s="129">
        <f>'Resposta-Ameacas'!J175</f>
        <v>0</v>
      </c>
      <c r="G173" s="132" t="str">
        <f>'Resposta-Ameacas'!K175</f>
        <v>0</v>
      </c>
      <c r="H173" s="133" t="str">
        <f t="shared" si="4"/>
        <v>0</v>
      </c>
      <c r="I173" s="133">
        <f t="shared" si="5"/>
        <v>0</v>
      </c>
      <c r="J173" s="260" t="str">
        <f>'Ameacas-Pré'!Q172</f>
        <v/>
      </c>
    </row>
    <row r="174" spans="1:10" ht="13">
      <c r="A174" s="126">
        <f>'Ameacas-Pré'!A173</f>
        <v>166</v>
      </c>
      <c r="B174" s="127">
        <f>'Ameacas-Pré'!B173</f>
        <v>0</v>
      </c>
      <c r="C174" s="128">
        <f>'Ameacas-Pré'!C173</f>
        <v>0</v>
      </c>
      <c r="D174" s="459">
        <f>'Ameacas-Pré'!D173</f>
        <v>0</v>
      </c>
      <c r="E174" s="418"/>
      <c r="F174" s="129">
        <f>'Resposta-Ameacas'!J176</f>
        <v>0</v>
      </c>
      <c r="G174" s="132" t="str">
        <f>'Resposta-Ameacas'!K176</f>
        <v>0</v>
      </c>
      <c r="H174" s="133" t="str">
        <f t="shared" si="4"/>
        <v>0</v>
      </c>
      <c r="I174" s="133">
        <f t="shared" si="5"/>
        <v>0</v>
      </c>
      <c r="J174" s="260" t="str">
        <f>'Ameacas-Pré'!Q173</f>
        <v/>
      </c>
    </row>
    <row r="175" spans="1:10" ht="13">
      <c r="A175" s="126">
        <f>'Ameacas-Pré'!A174</f>
        <v>167</v>
      </c>
      <c r="B175" s="127">
        <f>'Ameacas-Pré'!B174</f>
        <v>0</v>
      </c>
      <c r="C175" s="128">
        <f>'Ameacas-Pré'!C174</f>
        <v>0</v>
      </c>
      <c r="D175" s="459">
        <f>'Ameacas-Pré'!D174</f>
        <v>0</v>
      </c>
      <c r="E175" s="418"/>
      <c r="F175" s="129">
        <f>'Resposta-Ameacas'!J177</f>
        <v>0</v>
      </c>
      <c r="G175" s="132" t="str">
        <f>'Resposta-Ameacas'!K177</f>
        <v>0</v>
      </c>
      <c r="H175" s="133" t="str">
        <f t="shared" si="4"/>
        <v>0</v>
      </c>
      <c r="I175" s="133">
        <f t="shared" si="5"/>
        <v>0</v>
      </c>
      <c r="J175" s="260" t="str">
        <f>'Ameacas-Pré'!Q174</f>
        <v/>
      </c>
    </row>
    <row r="176" spans="1:10" ht="13">
      <c r="A176" s="126">
        <f>'Ameacas-Pré'!A175</f>
        <v>168</v>
      </c>
      <c r="B176" s="127">
        <f>'Ameacas-Pré'!B175</f>
        <v>0</v>
      </c>
      <c r="C176" s="128">
        <f>'Ameacas-Pré'!C175</f>
        <v>0</v>
      </c>
      <c r="D176" s="459">
        <f>'Ameacas-Pré'!D175</f>
        <v>0</v>
      </c>
      <c r="E176" s="418"/>
      <c r="F176" s="129">
        <f>'Resposta-Ameacas'!J178</f>
        <v>0</v>
      </c>
      <c r="G176" s="132" t="str">
        <f>'Resposta-Ameacas'!K178</f>
        <v>0</v>
      </c>
      <c r="H176" s="133" t="str">
        <f t="shared" si="4"/>
        <v>0</v>
      </c>
      <c r="I176" s="133">
        <f t="shared" si="5"/>
        <v>0</v>
      </c>
      <c r="J176" s="260" t="str">
        <f>'Ameacas-Pré'!Q175</f>
        <v/>
      </c>
    </row>
    <row r="177" spans="1:10" ht="13">
      <c r="A177" s="126">
        <f>'Ameacas-Pré'!A176</f>
        <v>169</v>
      </c>
      <c r="B177" s="127">
        <f>'Ameacas-Pré'!B176</f>
        <v>0</v>
      </c>
      <c r="C177" s="128">
        <f>'Ameacas-Pré'!C176</f>
        <v>0</v>
      </c>
      <c r="D177" s="459">
        <f>'Ameacas-Pré'!D176</f>
        <v>0</v>
      </c>
      <c r="E177" s="418"/>
      <c r="F177" s="129">
        <f>'Resposta-Ameacas'!J179</f>
        <v>0</v>
      </c>
      <c r="G177" s="132" t="str">
        <f>'Resposta-Ameacas'!K179</f>
        <v>0</v>
      </c>
      <c r="H177" s="133" t="str">
        <f t="shared" si="4"/>
        <v>0</v>
      </c>
      <c r="I177" s="133">
        <f t="shared" si="5"/>
        <v>0</v>
      </c>
      <c r="J177" s="260" t="str">
        <f>'Ameacas-Pré'!Q176</f>
        <v/>
      </c>
    </row>
    <row r="178" spans="1:10" ht="13">
      <c r="A178" s="126">
        <f>'Ameacas-Pré'!A177</f>
        <v>170</v>
      </c>
      <c r="B178" s="127">
        <f>'Ameacas-Pré'!B177</f>
        <v>0</v>
      </c>
      <c r="C178" s="128">
        <f>'Ameacas-Pré'!C177</f>
        <v>0</v>
      </c>
      <c r="D178" s="459">
        <f>'Ameacas-Pré'!D177</f>
        <v>0</v>
      </c>
      <c r="E178" s="418"/>
      <c r="F178" s="129">
        <f>'Resposta-Ameacas'!J180</f>
        <v>0</v>
      </c>
      <c r="G178" s="132" t="str">
        <f>'Resposta-Ameacas'!K180</f>
        <v>0</v>
      </c>
      <c r="H178" s="133" t="str">
        <f t="shared" si="4"/>
        <v>0</v>
      </c>
      <c r="I178" s="133">
        <f t="shared" si="5"/>
        <v>0</v>
      </c>
      <c r="J178" s="260" t="str">
        <f>'Ameacas-Pré'!Q177</f>
        <v/>
      </c>
    </row>
    <row r="179" spans="1:10" ht="13">
      <c r="A179" s="126">
        <f>'Ameacas-Pré'!A178</f>
        <v>171</v>
      </c>
      <c r="B179" s="127">
        <f>'Ameacas-Pré'!B178</f>
        <v>0</v>
      </c>
      <c r="C179" s="128">
        <f>'Ameacas-Pré'!C178</f>
        <v>0</v>
      </c>
      <c r="D179" s="459">
        <f>'Ameacas-Pré'!D178</f>
        <v>0</v>
      </c>
      <c r="E179" s="418"/>
      <c r="F179" s="129">
        <f>'Resposta-Ameacas'!J181</f>
        <v>0</v>
      </c>
      <c r="G179" s="132" t="str">
        <f>'Resposta-Ameacas'!K181</f>
        <v>0</v>
      </c>
      <c r="H179" s="133" t="str">
        <f t="shared" si="4"/>
        <v>0</v>
      </c>
      <c r="I179" s="133">
        <f t="shared" si="5"/>
        <v>0</v>
      </c>
      <c r="J179" s="260" t="str">
        <f>'Ameacas-Pré'!Q178</f>
        <v/>
      </c>
    </row>
    <row r="180" spans="1:10" ht="13">
      <c r="A180" s="126">
        <f>'Ameacas-Pré'!A179</f>
        <v>172</v>
      </c>
      <c r="B180" s="127">
        <f>'Ameacas-Pré'!B179</f>
        <v>0</v>
      </c>
      <c r="C180" s="128">
        <f>'Ameacas-Pré'!C179</f>
        <v>0</v>
      </c>
      <c r="D180" s="459">
        <f>'Ameacas-Pré'!D179</f>
        <v>0</v>
      </c>
      <c r="E180" s="418"/>
      <c r="F180" s="129">
        <f>'Resposta-Ameacas'!J182</f>
        <v>0</v>
      </c>
      <c r="G180" s="132" t="str">
        <f>'Resposta-Ameacas'!K182</f>
        <v>0</v>
      </c>
      <c r="H180" s="133" t="str">
        <f t="shared" si="4"/>
        <v>0</v>
      </c>
      <c r="I180" s="133">
        <f t="shared" si="5"/>
        <v>0</v>
      </c>
      <c r="J180" s="260" t="str">
        <f>'Ameacas-Pré'!Q179</f>
        <v/>
      </c>
    </row>
    <row r="181" spans="1:10" ht="13">
      <c r="A181" s="126">
        <f>'Ameacas-Pré'!A180</f>
        <v>173</v>
      </c>
      <c r="B181" s="127">
        <f>'Ameacas-Pré'!B180</f>
        <v>0</v>
      </c>
      <c r="C181" s="128">
        <f>'Ameacas-Pré'!C180</f>
        <v>0</v>
      </c>
      <c r="D181" s="459">
        <f>'Ameacas-Pré'!D180</f>
        <v>0</v>
      </c>
      <c r="E181" s="418"/>
      <c r="F181" s="129">
        <f>'Resposta-Ameacas'!J183</f>
        <v>0</v>
      </c>
      <c r="G181" s="132" t="str">
        <f>'Resposta-Ameacas'!K183</f>
        <v>0</v>
      </c>
      <c r="H181" s="133" t="str">
        <f t="shared" si="4"/>
        <v>0</v>
      </c>
      <c r="I181" s="133">
        <f t="shared" si="5"/>
        <v>0</v>
      </c>
      <c r="J181" s="260" t="str">
        <f>'Ameacas-Pré'!Q180</f>
        <v/>
      </c>
    </row>
    <row r="182" spans="1:10" ht="13">
      <c r="A182" s="126">
        <f>'Ameacas-Pré'!A181</f>
        <v>174</v>
      </c>
      <c r="B182" s="127">
        <f>'Ameacas-Pré'!B181</f>
        <v>0</v>
      </c>
      <c r="C182" s="128">
        <f>'Ameacas-Pré'!C181</f>
        <v>0</v>
      </c>
      <c r="D182" s="459">
        <f>'Ameacas-Pré'!D181</f>
        <v>0</v>
      </c>
      <c r="E182" s="418"/>
      <c r="F182" s="129">
        <f>'Resposta-Ameacas'!J184</f>
        <v>0</v>
      </c>
      <c r="G182" s="132" t="str">
        <f>'Resposta-Ameacas'!K184</f>
        <v>0</v>
      </c>
      <c r="H182" s="133" t="str">
        <f t="shared" si="4"/>
        <v>0</v>
      </c>
      <c r="I182" s="133">
        <f t="shared" si="5"/>
        <v>0</v>
      </c>
      <c r="J182" s="260" t="str">
        <f>'Ameacas-Pré'!Q181</f>
        <v/>
      </c>
    </row>
    <row r="183" spans="1:10" ht="13">
      <c r="A183" s="126">
        <f>'Ameacas-Pré'!A182</f>
        <v>175</v>
      </c>
      <c r="B183" s="127">
        <f>'Ameacas-Pré'!B182</f>
        <v>0</v>
      </c>
      <c r="C183" s="128">
        <f>'Ameacas-Pré'!C182</f>
        <v>0</v>
      </c>
      <c r="D183" s="459">
        <f>'Ameacas-Pré'!D182</f>
        <v>0</v>
      </c>
      <c r="E183" s="418"/>
      <c r="F183" s="129">
        <f>'Resposta-Ameacas'!J185</f>
        <v>0</v>
      </c>
      <c r="G183" s="132" t="str">
        <f>'Resposta-Ameacas'!K185</f>
        <v>0</v>
      </c>
      <c r="H183" s="133" t="str">
        <f t="shared" si="4"/>
        <v>0</v>
      </c>
      <c r="I183" s="133">
        <f t="shared" si="5"/>
        <v>0</v>
      </c>
      <c r="J183" s="260" t="str">
        <f>'Ameacas-Pré'!Q182</f>
        <v/>
      </c>
    </row>
    <row r="184" spans="1:10" ht="13">
      <c r="A184" s="126">
        <f>'Ameacas-Pré'!A183</f>
        <v>176</v>
      </c>
      <c r="B184" s="127">
        <f>'Ameacas-Pré'!B183</f>
        <v>0</v>
      </c>
      <c r="C184" s="128">
        <f>'Ameacas-Pré'!C183</f>
        <v>0</v>
      </c>
      <c r="D184" s="459">
        <f>'Ameacas-Pré'!D183</f>
        <v>0</v>
      </c>
      <c r="E184" s="418"/>
      <c r="F184" s="129">
        <f>'Resposta-Ameacas'!J186</f>
        <v>0</v>
      </c>
      <c r="G184" s="132" t="str">
        <f>'Resposta-Ameacas'!K186</f>
        <v>0</v>
      </c>
      <c r="H184" s="133" t="str">
        <f t="shared" si="4"/>
        <v>0</v>
      </c>
      <c r="I184" s="133">
        <f t="shared" si="5"/>
        <v>0</v>
      </c>
      <c r="J184" s="260" t="str">
        <f>'Ameacas-Pré'!Q183</f>
        <v/>
      </c>
    </row>
    <row r="185" spans="1:10" ht="13">
      <c r="A185" s="126">
        <f>'Ameacas-Pré'!A184</f>
        <v>177</v>
      </c>
      <c r="B185" s="127">
        <f>'Ameacas-Pré'!B184</f>
        <v>0</v>
      </c>
      <c r="C185" s="128">
        <f>'Ameacas-Pré'!C184</f>
        <v>0</v>
      </c>
      <c r="D185" s="459">
        <f>'Ameacas-Pré'!D184</f>
        <v>0</v>
      </c>
      <c r="E185" s="418"/>
      <c r="F185" s="129">
        <f>'Resposta-Ameacas'!J187</f>
        <v>0</v>
      </c>
      <c r="G185" s="132" t="str">
        <f>'Resposta-Ameacas'!K187</f>
        <v>0</v>
      </c>
      <c r="H185" s="133" t="str">
        <f t="shared" si="4"/>
        <v>0</v>
      </c>
      <c r="I185" s="133">
        <f t="shared" si="5"/>
        <v>0</v>
      </c>
      <c r="J185" s="260" t="str">
        <f>'Ameacas-Pré'!Q184</f>
        <v/>
      </c>
    </row>
    <row r="186" spans="1:10" ht="13">
      <c r="A186" s="126">
        <f>'Ameacas-Pré'!A185</f>
        <v>178</v>
      </c>
      <c r="B186" s="127">
        <f>'Ameacas-Pré'!B185</f>
        <v>0</v>
      </c>
      <c r="C186" s="128">
        <f>'Ameacas-Pré'!C185</f>
        <v>0</v>
      </c>
      <c r="D186" s="459">
        <f>'Ameacas-Pré'!D185</f>
        <v>0</v>
      </c>
      <c r="E186" s="418"/>
      <c r="F186" s="129">
        <f>'Resposta-Ameacas'!J188</f>
        <v>0</v>
      </c>
      <c r="G186" s="132" t="str">
        <f>'Resposta-Ameacas'!K188</f>
        <v>0</v>
      </c>
      <c r="H186" s="133" t="str">
        <f t="shared" si="4"/>
        <v>0</v>
      </c>
      <c r="I186" s="133">
        <f t="shared" si="5"/>
        <v>0</v>
      </c>
      <c r="J186" s="260" t="str">
        <f>'Ameacas-Pré'!Q185</f>
        <v/>
      </c>
    </row>
    <row r="187" spans="1:10" ht="13">
      <c r="A187" s="126">
        <f>'Ameacas-Pré'!A186</f>
        <v>179</v>
      </c>
      <c r="B187" s="127">
        <f>'Ameacas-Pré'!B186</f>
        <v>0</v>
      </c>
      <c r="C187" s="128">
        <f>'Ameacas-Pré'!C186</f>
        <v>0</v>
      </c>
      <c r="D187" s="459">
        <f>'Ameacas-Pré'!D186</f>
        <v>0</v>
      </c>
      <c r="E187" s="418"/>
      <c r="F187" s="129">
        <f>'Resposta-Ameacas'!J189</f>
        <v>0</v>
      </c>
      <c r="G187" s="132" t="str">
        <f>'Resposta-Ameacas'!K189</f>
        <v>0</v>
      </c>
      <c r="H187" s="133" t="str">
        <f t="shared" si="4"/>
        <v>0</v>
      </c>
      <c r="I187" s="133">
        <f t="shared" si="5"/>
        <v>0</v>
      </c>
      <c r="J187" s="260" t="str">
        <f>'Ameacas-Pré'!Q186</f>
        <v/>
      </c>
    </row>
    <row r="188" spans="1:10" ht="13">
      <c r="A188" s="126">
        <f>'Ameacas-Pré'!A187</f>
        <v>180</v>
      </c>
      <c r="B188" s="127">
        <f>'Ameacas-Pré'!B187</f>
        <v>0</v>
      </c>
      <c r="C188" s="128">
        <f>'Ameacas-Pré'!C187</f>
        <v>0</v>
      </c>
      <c r="D188" s="459">
        <f>'Ameacas-Pré'!D187</f>
        <v>0</v>
      </c>
      <c r="E188" s="418"/>
      <c r="F188" s="129">
        <f>'Resposta-Ameacas'!J190</f>
        <v>0</v>
      </c>
      <c r="G188" s="132" t="str">
        <f>'Resposta-Ameacas'!K190</f>
        <v>0</v>
      </c>
      <c r="H188" s="133" t="str">
        <f t="shared" si="4"/>
        <v>0</v>
      </c>
      <c r="I188" s="133">
        <f t="shared" si="5"/>
        <v>0</v>
      </c>
      <c r="J188" s="260" t="str">
        <f>'Ameacas-Pré'!Q187</f>
        <v/>
      </c>
    </row>
    <row r="189" spans="1:10" ht="13">
      <c r="A189" s="126">
        <f>'Ameacas-Pré'!A188</f>
        <v>181</v>
      </c>
      <c r="B189" s="127">
        <f>'Ameacas-Pré'!B188</f>
        <v>0</v>
      </c>
      <c r="C189" s="128">
        <f>'Ameacas-Pré'!C188</f>
        <v>0</v>
      </c>
      <c r="D189" s="459">
        <f>'Ameacas-Pré'!D188</f>
        <v>0</v>
      </c>
      <c r="E189" s="418"/>
      <c r="F189" s="129">
        <f>'Resposta-Ameacas'!J191</f>
        <v>0</v>
      </c>
      <c r="G189" s="132" t="str">
        <f>'Resposta-Ameacas'!K191</f>
        <v>0</v>
      </c>
      <c r="H189" s="133" t="str">
        <f t="shared" si="4"/>
        <v>0</v>
      </c>
      <c r="I189" s="133">
        <f t="shared" si="5"/>
        <v>0</v>
      </c>
      <c r="J189" s="260" t="str">
        <f>'Ameacas-Pré'!Q188</f>
        <v/>
      </c>
    </row>
    <row r="190" spans="1:10" ht="13">
      <c r="A190" s="126">
        <f>'Ameacas-Pré'!A189</f>
        <v>182</v>
      </c>
      <c r="B190" s="127">
        <f>'Ameacas-Pré'!B189</f>
        <v>0</v>
      </c>
      <c r="C190" s="128">
        <f>'Ameacas-Pré'!C189</f>
        <v>0</v>
      </c>
      <c r="D190" s="459">
        <f>'Ameacas-Pré'!D189</f>
        <v>0</v>
      </c>
      <c r="E190" s="418"/>
      <c r="F190" s="129">
        <f>'Resposta-Ameacas'!J192</f>
        <v>0</v>
      </c>
      <c r="G190" s="132" t="str">
        <f>'Resposta-Ameacas'!K192</f>
        <v>0</v>
      </c>
      <c r="H190" s="133" t="str">
        <f t="shared" si="4"/>
        <v>0</v>
      </c>
      <c r="I190" s="133">
        <f t="shared" si="5"/>
        <v>0</v>
      </c>
      <c r="J190" s="260" t="str">
        <f>'Ameacas-Pré'!Q189</f>
        <v/>
      </c>
    </row>
    <row r="191" spans="1:10" ht="13">
      <c r="A191" s="126">
        <f>'Ameacas-Pré'!A190</f>
        <v>183</v>
      </c>
      <c r="B191" s="127">
        <f>'Ameacas-Pré'!B190</f>
        <v>0</v>
      </c>
      <c r="C191" s="128">
        <f>'Ameacas-Pré'!C190</f>
        <v>0</v>
      </c>
      <c r="D191" s="459">
        <f>'Ameacas-Pré'!D190</f>
        <v>0</v>
      </c>
      <c r="E191" s="418"/>
      <c r="F191" s="129">
        <f>'Resposta-Ameacas'!J193</f>
        <v>0</v>
      </c>
      <c r="G191" s="132" t="str">
        <f>'Resposta-Ameacas'!K193</f>
        <v>0</v>
      </c>
      <c r="H191" s="133" t="str">
        <f t="shared" si="4"/>
        <v>0</v>
      </c>
      <c r="I191" s="133">
        <f t="shared" si="5"/>
        <v>0</v>
      </c>
      <c r="J191" s="260" t="str">
        <f>'Ameacas-Pré'!Q190</f>
        <v/>
      </c>
    </row>
    <row r="192" spans="1:10" ht="13">
      <c r="A192" s="126">
        <f>'Ameacas-Pré'!A191</f>
        <v>184</v>
      </c>
      <c r="B192" s="127">
        <f>'Ameacas-Pré'!B191</f>
        <v>0</v>
      </c>
      <c r="C192" s="128">
        <f>'Ameacas-Pré'!C191</f>
        <v>0</v>
      </c>
      <c r="D192" s="459">
        <f>'Ameacas-Pré'!D191</f>
        <v>0</v>
      </c>
      <c r="E192" s="418"/>
      <c r="F192" s="129">
        <f>'Resposta-Ameacas'!J194</f>
        <v>0</v>
      </c>
      <c r="G192" s="132" t="str">
        <f>'Resposta-Ameacas'!K194</f>
        <v>0</v>
      </c>
      <c r="H192" s="133" t="str">
        <f t="shared" si="4"/>
        <v>0</v>
      </c>
      <c r="I192" s="133">
        <f t="shared" si="5"/>
        <v>0</v>
      </c>
      <c r="J192" s="260" t="str">
        <f>'Ameacas-Pré'!Q191</f>
        <v/>
      </c>
    </row>
    <row r="193" spans="1:10" ht="13">
      <c r="A193" s="126">
        <f>'Ameacas-Pré'!A192</f>
        <v>185</v>
      </c>
      <c r="B193" s="127">
        <f>'Ameacas-Pré'!B192</f>
        <v>0</v>
      </c>
      <c r="C193" s="128">
        <f>'Ameacas-Pré'!C192</f>
        <v>0</v>
      </c>
      <c r="D193" s="459">
        <f>'Ameacas-Pré'!D192</f>
        <v>0</v>
      </c>
      <c r="E193" s="418"/>
      <c r="F193" s="129">
        <f>'Resposta-Ameacas'!J195</f>
        <v>0</v>
      </c>
      <c r="G193" s="132" t="str">
        <f>'Resposta-Ameacas'!K195</f>
        <v>0</v>
      </c>
      <c r="H193" s="133" t="str">
        <f t="shared" si="4"/>
        <v>0</v>
      </c>
      <c r="I193" s="133">
        <f t="shared" si="5"/>
        <v>0</v>
      </c>
      <c r="J193" s="260" t="str">
        <f>'Ameacas-Pré'!Q192</f>
        <v/>
      </c>
    </row>
    <row r="194" spans="1:10" ht="13">
      <c r="A194" s="126">
        <f>'Ameacas-Pré'!A193</f>
        <v>186</v>
      </c>
      <c r="B194" s="127">
        <f>'Ameacas-Pré'!B193</f>
        <v>0</v>
      </c>
      <c r="C194" s="128">
        <f>'Ameacas-Pré'!C193</f>
        <v>0</v>
      </c>
      <c r="D194" s="459">
        <f>'Ameacas-Pré'!D193</f>
        <v>0</v>
      </c>
      <c r="E194" s="418"/>
      <c r="F194" s="129">
        <f>'Resposta-Ameacas'!J196</f>
        <v>0</v>
      </c>
      <c r="G194" s="132" t="str">
        <f>'Resposta-Ameacas'!K196</f>
        <v>0</v>
      </c>
      <c r="H194" s="133" t="str">
        <f t="shared" si="4"/>
        <v>0</v>
      </c>
      <c r="I194" s="133">
        <f t="shared" si="5"/>
        <v>0</v>
      </c>
      <c r="J194" s="260" t="str">
        <f>'Ameacas-Pré'!Q193</f>
        <v/>
      </c>
    </row>
    <row r="195" spans="1:10" ht="13">
      <c r="A195" s="126">
        <f>'Ameacas-Pré'!A194</f>
        <v>187</v>
      </c>
      <c r="B195" s="127">
        <f>'Ameacas-Pré'!B194</f>
        <v>0</v>
      </c>
      <c r="C195" s="128">
        <f>'Ameacas-Pré'!C194</f>
        <v>0</v>
      </c>
      <c r="D195" s="459">
        <f>'Ameacas-Pré'!D194</f>
        <v>0</v>
      </c>
      <c r="E195" s="418"/>
      <c r="F195" s="129">
        <f>'Resposta-Ameacas'!J197</f>
        <v>0</v>
      </c>
      <c r="G195" s="132" t="str">
        <f>'Resposta-Ameacas'!K197</f>
        <v>0</v>
      </c>
      <c r="H195" s="133" t="str">
        <f t="shared" si="4"/>
        <v>0</v>
      </c>
      <c r="I195" s="133">
        <f t="shared" si="5"/>
        <v>0</v>
      </c>
      <c r="J195" s="260" t="str">
        <f>'Ameacas-Pré'!Q194</f>
        <v/>
      </c>
    </row>
    <row r="196" spans="1:10" ht="13">
      <c r="A196" s="126">
        <f>'Ameacas-Pré'!A195</f>
        <v>188</v>
      </c>
      <c r="B196" s="127">
        <f>'Ameacas-Pré'!B195</f>
        <v>0</v>
      </c>
      <c r="C196" s="128">
        <f>'Ameacas-Pré'!C195</f>
        <v>0</v>
      </c>
      <c r="D196" s="459">
        <f>'Ameacas-Pré'!D195</f>
        <v>0</v>
      </c>
      <c r="E196" s="418"/>
      <c r="F196" s="129">
        <f>'Resposta-Ameacas'!J198</f>
        <v>0</v>
      </c>
      <c r="G196" s="132" t="str">
        <f>'Resposta-Ameacas'!K198</f>
        <v>0</v>
      </c>
      <c r="H196" s="133" t="str">
        <f t="shared" si="4"/>
        <v>0</v>
      </c>
      <c r="I196" s="133">
        <f t="shared" si="5"/>
        <v>0</v>
      </c>
      <c r="J196" s="260" t="str">
        <f>'Ameacas-Pré'!Q195</f>
        <v/>
      </c>
    </row>
    <row r="197" spans="1:10" ht="13">
      <c r="A197" s="126">
        <f>'Ameacas-Pré'!A196</f>
        <v>189</v>
      </c>
      <c r="B197" s="127">
        <f>'Ameacas-Pré'!B196</f>
        <v>0</v>
      </c>
      <c r="C197" s="128">
        <f>'Ameacas-Pré'!C196</f>
        <v>0</v>
      </c>
      <c r="D197" s="459">
        <f>'Ameacas-Pré'!D196</f>
        <v>0</v>
      </c>
      <c r="E197" s="418"/>
      <c r="F197" s="129">
        <f>'Resposta-Ameacas'!J199</f>
        <v>0</v>
      </c>
      <c r="G197" s="132" t="str">
        <f>'Resposta-Ameacas'!K199</f>
        <v>0</v>
      </c>
      <c r="H197" s="133" t="str">
        <f t="shared" si="4"/>
        <v>0</v>
      </c>
      <c r="I197" s="133">
        <f t="shared" si="5"/>
        <v>0</v>
      </c>
      <c r="J197" s="260" t="str">
        <f>'Ameacas-Pré'!Q196</f>
        <v/>
      </c>
    </row>
    <row r="198" spans="1:10" ht="13">
      <c r="A198" s="126">
        <f>'Ameacas-Pré'!A197</f>
        <v>190</v>
      </c>
      <c r="B198" s="127">
        <f>'Ameacas-Pré'!B197</f>
        <v>0</v>
      </c>
      <c r="C198" s="128">
        <f>'Ameacas-Pré'!C197</f>
        <v>0</v>
      </c>
      <c r="D198" s="459">
        <f>'Ameacas-Pré'!D197</f>
        <v>0</v>
      </c>
      <c r="E198" s="418"/>
      <c r="F198" s="129">
        <f>'Resposta-Ameacas'!J200</f>
        <v>0</v>
      </c>
      <c r="G198" s="132" t="str">
        <f>'Resposta-Ameacas'!K200</f>
        <v>0</v>
      </c>
      <c r="H198" s="133" t="str">
        <f t="shared" si="4"/>
        <v>0</v>
      </c>
      <c r="I198" s="133">
        <f t="shared" si="5"/>
        <v>0</v>
      </c>
      <c r="J198" s="260" t="str">
        <f>'Ameacas-Pré'!Q197</f>
        <v/>
      </c>
    </row>
    <row r="199" spans="1:10" ht="13">
      <c r="A199" s="126">
        <f>'Ameacas-Pré'!A198</f>
        <v>191</v>
      </c>
      <c r="B199" s="127">
        <f>'Ameacas-Pré'!B198</f>
        <v>0</v>
      </c>
      <c r="C199" s="128">
        <f>'Ameacas-Pré'!C198</f>
        <v>0</v>
      </c>
      <c r="D199" s="459">
        <f>'Ameacas-Pré'!D198</f>
        <v>0</v>
      </c>
      <c r="E199" s="418"/>
      <c r="F199" s="129">
        <f>'Resposta-Ameacas'!J201</f>
        <v>0</v>
      </c>
      <c r="G199" s="132" t="str">
        <f>'Resposta-Ameacas'!K201</f>
        <v>0</v>
      </c>
      <c r="H199" s="133" t="str">
        <f t="shared" si="4"/>
        <v>0</v>
      </c>
      <c r="I199" s="133">
        <f t="shared" si="5"/>
        <v>0</v>
      </c>
      <c r="J199" s="260" t="str">
        <f>'Ameacas-Pré'!Q198</f>
        <v/>
      </c>
    </row>
    <row r="200" spans="1:10" ht="13">
      <c r="A200" s="126">
        <f>'Ameacas-Pré'!A199</f>
        <v>192</v>
      </c>
      <c r="B200" s="127">
        <f>'Ameacas-Pré'!B199</f>
        <v>0</v>
      </c>
      <c r="C200" s="128">
        <f>'Ameacas-Pré'!C199</f>
        <v>0</v>
      </c>
      <c r="D200" s="459">
        <f>'Ameacas-Pré'!D199</f>
        <v>0</v>
      </c>
      <c r="E200" s="418"/>
      <c r="F200" s="129">
        <f>'Resposta-Ameacas'!J202</f>
        <v>0</v>
      </c>
      <c r="G200" s="132" t="str">
        <f>'Resposta-Ameacas'!K202</f>
        <v>0</v>
      </c>
      <c r="H200" s="133" t="str">
        <f t="shared" si="4"/>
        <v>0</v>
      </c>
      <c r="I200" s="133">
        <f t="shared" si="5"/>
        <v>0</v>
      </c>
      <c r="J200" s="260" t="str">
        <f>'Ameacas-Pré'!Q199</f>
        <v/>
      </c>
    </row>
    <row r="201" spans="1:10" ht="13">
      <c r="A201" s="126">
        <f>'Ameacas-Pré'!A200</f>
        <v>193</v>
      </c>
      <c r="B201" s="127">
        <f>'Ameacas-Pré'!B200</f>
        <v>0</v>
      </c>
      <c r="C201" s="128">
        <f>'Ameacas-Pré'!C200</f>
        <v>0</v>
      </c>
      <c r="D201" s="459">
        <f>'Ameacas-Pré'!D200</f>
        <v>0</v>
      </c>
      <c r="E201" s="418"/>
      <c r="F201" s="129">
        <f>'Resposta-Ameacas'!J203</f>
        <v>0</v>
      </c>
      <c r="G201" s="132" t="str">
        <f>'Resposta-Ameacas'!K203</f>
        <v>0</v>
      </c>
      <c r="H201" s="133" t="str">
        <f t="shared" si="4"/>
        <v>0</v>
      </c>
      <c r="I201" s="133">
        <f t="shared" si="5"/>
        <v>0</v>
      </c>
      <c r="J201" s="260" t="str">
        <f>'Ameacas-Pré'!Q200</f>
        <v/>
      </c>
    </row>
    <row r="202" spans="1:10" ht="13">
      <c r="A202" s="126">
        <f>'Ameacas-Pré'!A201</f>
        <v>194</v>
      </c>
      <c r="B202" s="127">
        <f>'Ameacas-Pré'!B201</f>
        <v>0</v>
      </c>
      <c r="C202" s="128">
        <f>'Ameacas-Pré'!C201</f>
        <v>0</v>
      </c>
      <c r="D202" s="459">
        <f>'Ameacas-Pré'!D201</f>
        <v>0</v>
      </c>
      <c r="E202" s="418"/>
      <c r="F202" s="129">
        <f>'Resposta-Ameacas'!J204</f>
        <v>0</v>
      </c>
      <c r="G202" s="132" t="str">
        <f>'Resposta-Ameacas'!K204</f>
        <v>0</v>
      </c>
      <c r="H202" s="133" t="str">
        <f t="shared" ref="H202:H208" si="6">G202</f>
        <v>0</v>
      </c>
      <c r="I202" s="133">
        <f t="shared" si="5"/>
        <v>0</v>
      </c>
      <c r="J202" s="260" t="str">
        <f>'Ameacas-Pré'!Q201</f>
        <v/>
      </c>
    </row>
    <row r="203" spans="1:10" ht="13">
      <c r="A203" s="126">
        <f>'Ameacas-Pré'!A202</f>
        <v>195</v>
      </c>
      <c r="B203" s="127">
        <f>'Ameacas-Pré'!B202</f>
        <v>0</v>
      </c>
      <c r="C203" s="128">
        <f>'Ameacas-Pré'!C202</f>
        <v>0</v>
      </c>
      <c r="D203" s="459">
        <f>'Ameacas-Pré'!D202</f>
        <v>0</v>
      </c>
      <c r="E203" s="418"/>
      <c r="F203" s="129">
        <f>'Resposta-Ameacas'!J205</f>
        <v>0</v>
      </c>
      <c r="G203" s="132" t="str">
        <f>'Resposta-Ameacas'!K205</f>
        <v>0</v>
      </c>
      <c r="H203" s="133" t="str">
        <f t="shared" si="6"/>
        <v>0</v>
      </c>
      <c r="I203" s="133">
        <f t="shared" si="5"/>
        <v>0</v>
      </c>
      <c r="J203" s="260" t="str">
        <f>'Ameacas-Pré'!Q202</f>
        <v/>
      </c>
    </row>
    <row r="204" spans="1:10" ht="13">
      <c r="A204" s="126">
        <f>'Ameacas-Pré'!A203</f>
        <v>196</v>
      </c>
      <c r="B204" s="127">
        <f>'Ameacas-Pré'!B203</f>
        <v>0</v>
      </c>
      <c r="C204" s="128">
        <f>'Ameacas-Pré'!C203</f>
        <v>0</v>
      </c>
      <c r="D204" s="459">
        <f>'Ameacas-Pré'!D203</f>
        <v>0</v>
      </c>
      <c r="E204" s="418"/>
      <c r="F204" s="129">
        <f>'Resposta-Ameacas'!J206</f>
        <v>0</v>
      </c>
      <c r="G204" s="132" t="str">
        <f>'Resposta-Ameacas'!K206</f>
        <v>0</v>
      </c>
      <c r="H204" s="133" t="str">
        <f t="shared" si="6"/>
        <v>0</v>
      </c>
      <c r="I204" s="133">
        <f>F204*H204</f>
        <v>0</v>
      </c>
      <c r="J204" s="260" t="str">
        <f>'Ameacas-Pré'!Q203</f>
        <v/>
      </c>
    </row>
    <row r="205" spans="1:10" ht="13">
      <c r="A205" s="126">
        <f>'Ameacas-Pré'!A204</f>
        <v>197</v>
      </c>
      <c r="B205" s="127">
        <f>'Ameacas-Pré'!B204</f>
        <v>0</v>
      </c>
      <c r="C205" s="128">
        <f>'Ameacas-Pré'!C204</f>
        <v>0</v>
      </c>
      <c r="D205" s="459">
        <f>'Ameacas-Pré'!D204</f>
        <v>0</v>
      </c>
      <c r="E205" s="418"/>
      <c r="F205" s="129">
        <f>'Resposta-Ameacas'!J207</f>
        <v>0</v>
      </c>
      <c r="G205" s="132" t="str">
        <f>'Resposta-Ameacas'!K207</f>
        <v>0</v>
      </c>
      <c r="H205" s="133" t="str">
        <f t="shared" si="6"/>
        <v>0</v>
      </c>
      <c r="I205" s="133">
        <f>F205*H205</f>
        <v>0</v>
      </c>
      <c r="J205" s="260" t="str">
        <f>'Ameacas-Pré'!Q204</f>
        <v/>
      </c>
    </row>
    <row r="206" spans="1:10" ht="13">
      <c r="A206" s="126">
        <f>'Ameacas-Pré'!A205</f>
        <v>198</v>
      </c>
      <c r="B206" s="127">
        <f>'Ameacas-Pré'!B205</f>
        <v>0</v>
      </c>
      <c r="C206" s="128">
        <f>'Ameacas-Pré'!C205</f>
        <v>0</v>
      </c>
      <c r="D206" s="459">
        <f>'Ameacas-Pré'!D205</f>
        <v>0</v>
      </c>
      <c r="E206" s="418"/>
      <c r="F206" s="129">
        <f>'Resposta-Ameacas'!J208</f>
        <v>0</v>
      </c>
      <c r="G206" s="132" t="str">
        <f>'Resposta-Ameacas'!K208</f>
        <v>0</v>
      </c>
      <c r="H206" s="133" t="str">
        <f t="shared" si="6"/>
        <v>0</v>
      </c>
      <c r="I206" s="133">
        <f>F206*H206</f>
        <v>0</v>
      </c>
      <c r="J206" s="260" t="str">
        <f>'Ameacas-Pré'!Q205</f>
        <v/>
      </c>
    </row>
    <row r="207" spans="1:10" ht="13">
      <c r="A207" s="126">
        <f>'Ameacas-Pré'!A206</f>
        <v>199</v>
      </c>
      <c r="B207" s="127">
        <f>'Ameacas-Pré'!B206</f>
        <v>0</v>
      </c>
      <c r="C207" s="128">
        <f>'Ameacas-Pré'!C206</f>
        <v>0</v>
      </c>
      <c r="D207" s="459">
        <f>'Ameacas-Pré'!D206</f>
        <v>0</v>
      </c>
      <c r="E207" s="418"/>
      <c r="F207" s="129">
        <f>'Resposta-Ameacas'!J209</f>
        <v>0</v>
      </c>
      <c r="G207" s="132" t="str">
        <f>'Resposta-Ameacas'!K209</f>
        <v>0</v>
      </c>
      <c r="H207" s="133" t="str">
        <f t="shared" si="6"/>
        <v>0</v>
      </c>
      <c r="I207" s="133">
        <f>F207*H207</f>
        <v>0</v>
      </c>
      <c r="J207" s="260" t="str">
        <f>'Ameacas-Pré'!Q206</f>
        <v/>
      </c>
    </row>
    <row r="208" spans="1:10" s="54" customFormat="1" ht="13">
      <c r="A208" s="126">
        <f>'Ameacas-Pré'!A207</f>
        <v>200</v>
      </c>
      <c r="B208" s="127">
        <f>'Ameacas-Pré'!B207</f>
        <v>0</v>
      </c>
      <c r="C208" s="128">
        <f>'Ameacas-Pré'!C207</f>
        <v>0</v>
      </c>
      <c r="D208" s="459">
        <f>'Ameacas-Pré'!D207</f>
        <v>0</v>
      </c>
      <c r="E208" s="418"/>
      <c r="F208" s="129">
        <f>'Resposta-Ameacas'!J210</f>
        <v>0</v>
      </c>
      <c r="G208" s="132" t="str">
        <f>'Resposta-Ameacas'!K210</f>
        <v>0</v>
      </c>
      <c r="H208" s="133" t="str">
        <f t="shared" si="6"/>
        <v>0</v>
      </c>
      <c r="I208" s="133">
        <f>F208*H208</f>
        <v>0</v>
      </c>
      <c r="J208" s="260" t="str">
        <f>'Ameacas-Pré'!Q207</f>
        <v/>
      </c>
    </row>
    <row r="209" spans="1:86" s="12" customFormat="1">
      <c r="A209" s="55"/>
      <c r="B209" s="64"/>
      <c r="C209" s="7"/>
      <c r="D209" s="6"/>
      <c r="E209" s="6"/>
      <c r="F209" s="7"/>
      <c r="G209" s="7"/>
      <c r="H209" s="7"/>
      <c r="I209" s="9"/>
      <c r="J209" s="9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</row>
    <row r="210" spans="1:86" s="14" customFormat="1" ht="13">
      <c r="A210" s="261" t="s">
        <v>28</v>
      </c>
      <c r="B210" s="262"/>
      <c r="C210" s="263"/>
      <c r="D210" s="138" t="s">
        <v>13</v>
      </c>
      <c r="E210" s="138"/>
      <c r="F210" s="138"/>
      <c r="G210" s="138"/>
      <c r="H210" s="138"/>
      <c r="I210" s="9"/>
      <c r="J210" s="9"/>
      <c r="K210" s="1"/>
      <c r="L210" s="1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</row>
    <row r="211" spans="1:86" s="14" customFormat="1">
      <c r="A211" s="55"/>
      <c r="B211" s="64"/>
      <c r="C211" s="7"/>
      <c r="D211" s="138"/>
      <c r="E211" s="138"/>
      <c r="F211" s="138"/>
      <c r="G211" s="138"/>
      <c r="H211" s="138"/>
      <c r="I211" s="9"/>
      <c r="J211" s="9"/>
      <c r="K211" s="1"/>
      <c r="L211" s="1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</row>
    <row r="212" spans="1:86" s="14" customFormat="1" ht="13">
      <c r="A212" s="261" t="s">
        <v>10</v>
      </c>
      <c r="B212" s="262"/>
      <c r="C212" s="263"/>
      <c r="D212" s="138" t="s">
        <v>12</v>
      </c>
      <c r="E212" s="138"/>
      <c r="F212" s="138"/>
      <c r="G212" s="138"/>
      <c r="H212" s="138"/>
      <c r="I212" s="9"/>
      <c r="J212" s="9"/>
      <c r="K212" s="1"/>
      <c r="L212" s="1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</row>
    <row r="213" spans="1:86" s="12" customFormat="1">
      <c r="A213" s="55"/>
      <c r="B213" s="64"/>
      <c r="C213" s="7"/>
      <c r="D213" s="6"/>
      <c r="E213" s="6"/>
      <c r="F213" s="7"/>
      <c r="G213" s="7"/>
      <c r="H213" s="7"/>
      <c r="I213" s="9"/>
      <c r="J213" s="9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</row>
  </sheetData>
  <mergeCells count="201">
    <mergeCell ref="D8:E8"/>
    <mergeCell ref="D207:E207"/>
    <mergeCell ref="D208:E208"/>
    <mergeCell ref="D201:E201"/>
    <mergeCell ref="D202:E202"/>
    <mergeCell ref="D203:E203"/>
    <mergeCell ref="D204:E204"/>
    <mergeCell ref="D205:E205"/>
    <mergeCell ref="D206:E206"/>
    <mergeCell ref="D195:E195"/>
    <mergeCell ref="D196:E196"/>
    <mergeCell ref="D197:E197"/>
    <mergeCell ref="D198:E198"/>
    <mergeCell ref="D199:E199"/>
    <mergeCell ref="D200:E200"/>
    <mergeCell ref="D189:E189"/>
    <mergeCell ref="D190:E190"/>
    <mergeCell ref="D191:E191"/>
    <mergeCell ref="D192:E192"/>
    <mergeCell ref="D193:E193"/>
    <mergeCell ref="D180:E180"/>
    <mergeCell ref="D181:E181"/>
    <mergeCell ref="D182:E182"/>
    <mergeCell ref="D194:E194"/>
    <mergeCell ref="D183:E183"/>
    <mergeCell ref="D184:E184"/>
    <mergeCell ref="D185:E185"/>
    <mergeCell ref="D186:E186"/>
    <mergeCell ref="D187:E187"/>
    <mergeCell ref="D188:E188"/>
    <mergeCell ref="D171:E171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62:E162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08:E108"/>
    <mergeCell ref="D109:E109"/>
    <mergeCell ref="D110:E110"/>
    <mergeCell ref="D111:E111"/>
    <mergeCell ref="D112:E112"/>
    <mergeCell ref="D113:E113"/>
    <mergeCell ref="D114:E114"/>
    <mergeCell ref="D115:E115"/>
    <mergeCell ref="D116:E116"/>
    <mergeCell ref="D99:E99"/>
    <mergeCell ref="D100:E100"/>
    <mergeCell ref="D101:E101"/>
    <mergeCell ref="D102:E102"/>
    <mergeCell ref="D103:E103"/>
    <mergeCell ref="D104:E104"/>
    <mergeCell ref="D105:E105"/>
    <mergeCell ref="D106:E106"/>
    <mergeCell ref="D107:E107"/>
    <mergeCell ref="D90:E90"/>
    <mergeCell ref="D91:E91"/>
    <mergeCell ref="D92:E92"/>
    <mergeCell ref="D93:E93"/>
    <mergeCell ref="D94:E94"/>
    <mergeCell ref="D95:E95"/>
    <mergeCell ref="D96:E96"/>
    <mergeCell ref="D97:E97"/>
    <mergeCell ref="D98:E98"/>
    <mergeCell ref="D81:E81"/>
    <mergeCell ref="D82:E82"/>
    <mergeCell ref="D83:E83"/>
    <mergeCell ref="D84:E84"/>
    <mergeCell ref="D85:E85"/>
    <mergeCell ref="D86:E86"/>
    <mergeCell ref="D87:E87"/>
    <mergeCell ref="D88:E88"/>
    <mergeCell ref="D89:E89"/>
    <mergeCell ref="D72:E72"/>
    <mergeCell ref="D73:E73"/>
    <mergeCell ref="D74:E74"/>
    <mergeCell ref="D75:E75"/>
    <mergeCell ref="D76:E76"/>
    <mergeCell ref="D77:E77"/>
    <mergeCell ref="D78:E78"/>
    <mergeCell ref="D79:E79"/>
    <mergeCell ref="D80:E80"/>
    <mergeCell ref="D63:E63"/>
    <mergeCell ref="D64:E64"/>
    <mergeCell ref="D65:E65"/>
    <mergeCell ref="D66:E66"/>
    <mergeCell ref="D67:E67"/>
    <mergeCell ref="D68:E68"/>
    <mergeCell ref="D69:E69"/>
    <mergeCell ref="D70:E70"/>
    <mergeCell ref="D71:E71"/>
    <mergeCell ref="D54:E54"/>
    <mergeCell ref="D55:E55"/>
    <mergeCell ref="D56:E56"/>
    <mergeCell ref="D57:E57"/>
    <mergeCell ref="D58:E58"/>
    <mergeCell ref="D59:E59"/>
    <mergeCell ref="D60:E60"/>
    <mergeCell ref="D61:E61"/>
    <mergeCell ref="D62:E62"/>
    <mergeCell ref="D45:E45"/>
    <mergeCell ref="D46:E46"/>
    <mergeCell ref="D47:E47"/>
    <mergeCell ref="D48:E48"/>
    <mergeCell ref="D49:E49"/>
    <mergeCell ref="D50:E50"/>
    <mergeCell ref="D51:E51"/>
    <mergeCell ref="D52:E52"/>
    <mergeCell ref="D53:E53"/>
    <mergeCell ref="D36:E36"/>
    <mergeCell ref="D37:E37"/>
    <mergeCell ref="D38:E38"/>
    <mergeCell ref="D39:E39"/>
    <mergeCell ref="D40:E40"/>
    <mergeCell ref="D41:E41"/>
    <mergeCell ref="D42:E42"/>
    <mergeCell ref="D43:E43"/>
    <mergeCell ref="D44:E44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</mergeCells>
  <phoneticPr fontId="0" type="noConversion"/>
  <pageMargins left="0.78740157499999996" right="0.78740157499999996" top="0.984251969" bottom="0.984251969" header="0.49212598499999999" footer="0.49212598499999999"/>
  <pageSetup paperSize="9" scale="75" orientation="landscape" horizontalDpi="360" verticalDpi="36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>
    <tabColor rgb="FF00B050"/>
  </sheetPr>
  <dimension ref="A1:J212"/>
  <sheetViews>
    <sheetView zoomScale="90" workbookViewId="0">
      <pane ySplit="8" topLeftCell="A9" activePane="bottomLeft" state="frozen"/>
      <selection pane="bottomLeft" activeCell="D8" sqref="D8:E8"/>
    </sheetView>
  </sheetViews>
  <sheetFormatPr defaultColWidth="9.09765625" defaultRowHeight="12.5"/>
  <cols>
    <col min="1" max="1" width="4.8984375" style="7" customWidth="1"/>
    <col min="2" max="2" width="9.3984375" style="11" customWidth="1"/>
    <col min="3" max="3" width="12" style="7" customWidth="1"/>
    <col min="4" max="4" width="35.3984375" style="6" customWidth="1"/>
    <col min="5" max="5" width="24.09765625" style="6" customWidth="1"/>
    <col min="6" max="6" width="9.69921875" style="7" customWidth="1"/>
    <col min="7" max="7" width="16.3984375" style="7" customWidth="1"/>
    <col min="8" max="8" width="17.8984375" style="7" customWidth="1"/>
    <col min="9" max="9" width="17" style="7" customWidth="1"/>
    <col min="10" max="10" width="7.8984375" style="9" customWidth="1"/>
    <col min="11" max="16384" width="9.09765625" style="1"/>
  </cols>
  <sheetData>
    <row r="1" spans="1:10" ht="15.5">
      <c r="A1" s="234" t="s">
        <v>159</v>
      </c>
      <c r="B1" s="264"/>
      <c r="C1" s="143"/>
      <c r="D1" s="144"/>
      <c r="E1" s="144"/>
      <c r="F1" s="143"/>
      <c r="G1" s="146"/>
      <c r="H1" s="146"/>
      <c r="I1" s="96"/>
      <c r="J1" s="150"/>
    </row>
    <row r="2" spans="1:10" ht="13">
      <c r="A2" s="98"/>
      <c r="B2" s="265"/>
      <c r="C2" s="147" t="s">
        <v>0</v>
      </c>
      <c r="D2" s="96" t="str">
        <f>Abertura!B6</f>
        <v>Projeto Realização do Churrasco da Turma</v>
      </c>
      <c r="E2" s="96"/>
      <c r="F2" s="94" t="s">
        <v>11</v>
      </c>
      <c r="G2" s="89" t="s">
        <v>11</v>
      </c>
      <c r="H2" s="90"/>
      <c r="I2" s="89">
        <f>Abertura!B9</f>
        <v>45277</v>
      </c>
      <c r="J2" s="97"/>
    </row>
    <row r="3" spans="1:10" ht="13">
      <c r="A3" s="98"/>
      <c r="B3" s="265"/>
      <c r="C3" s="147" t="s">
        <v>14</v>
      </c>
      <c r="D3" s="96" t="str">
        <f>Abertura!B7</f>
        <v>Turma MBA GP18</v>
      </c>
      <c r="E3" s="96"/>
      <c r="F3" s="90"/>
      <c r="G3" s="90"/>
      <c r="H3" s="90"/>
      <c r="I3" s="96" t="s">
        <v>11</v>
      </c>
      <c r="J3" s="96" t="s">
        <v>11</v>
      </c>
    </row>
    <row r="4" spans="1:10" ht="13">
      <c r="A4" s="103"/>
      <c r="B4" s="266"/>
      <c r="C4" s="121" t="s">
        <v>15</v>
      </c>
      <c r="D4" s="105" t="str">
        <f>Abertura!B8</f>
        <v>Vicente</v>
      </c>
      <c r="E4" s="105"/>
      <c r="F4" s="106"/>
      <c r="G4" s="106"/>
      <c r="H4" s="105"/>
      <c r="I4" s="149"/>
      <c r="J4" s="108"/>
    </row>
    <row r="5" spans="1:10" ht="13">
      <c r="A5" s="3"/>
      <c r="B5" s="4"/>
      <c r="C5" s="3"/>
      <c r="H5" s="3"/>
      <c r="I5" s="26"/>
    </row>
    <row r="6" spans="1:10" s="53" customFormat="1" ht="13.5" thickBot="1">
      <c r="A6" s="152" t="s">
        <v>75</v>
      </c>
      <c r="B6" s="270"/>
      <c r="C6" s="154"/>
      <c r="D6" s="155"/>
      <c r="E6" s="112"/>
      <c r="F6" s="109" t="s">
        <v>11</v>
      </c>
      <c r="G6" s="115" t="s">
        <v>11</v>
      </c>
      <c r="H6" s="156">
        <f>SUM(H9:H208)</f>
        <v>3500</v>
      </c>
      <c r="I6" s="156">
        <f>SUM(I9:I208)</f>
        <v>2750</v>
      </c>
      <c r="J6" s="157"/>
    </row>
    <row r="7" spans="1:10" ht="13">
      <c r="A7" s="116" t="s">
        <v>1</v>
      </c>
      <c r="B7" s="267" t="s">
        <v>32</v>
      </c>
      <c r="C7" s="120" t="s">
        <v>2</v>
      </c>
      <c r="D7" s="118" t="s">
        <v>18</v>
      </c>
      <c r="E7" s="118"/>
      <c r="F7" s="119" t="s">
        <v>6</v>
      </c>
      <c r="G7" s="120" t="s">
        <v>3</v>
      </c>
      <c r="H7" s="120" t="s">
        <v>3</v>
      </c>
      <c r="I7" s="119" t="s">
        <v>8</v>
      </c>
      <c r="J7" s="120" t="s">
        <v>4</v>
      </c>
    </row>
    <row r="8" spans="1:10" ht="13">
      <c r="A8" s="121"/>
      <c r="B8" s="268" t="s">
        <v>33</v>
      </c>
      <c r="C8" s="123"/>
      <c r="D8" s="460" t="s">
        <v>196</v>
      </c>
      <c r="E8" s="462"/>
      <c r="F8" s="269" t="s">
        <v>7</v>
      </c>
      <c r="G8" s="158" t="s">
        <v>26</v>
      </c>
      <c r="H8" s="158" t="s">
        <v>25</v>
      </c>
      <c r="I8" s="125" t="s">
        <v>9</v>
      </c>
      <c r="J8" s="158" t="s">
        <v>5</v>
      </c>
    </row>
    <row r="9" spans="1:10" ht="38.25" customHeight="1">
      <c r="A9" s="126">
        <f>'Oport-Pré'!A8</f>
        <v>1</v>
      </c>
      <c r="B9" s="271">
        <f>'Oport-Pré'!B8</f>
        <v>0</v>
      </c>
      <c r="C9" s="128" t="str">
        <f>'Oport-Pré'!C8</f>
        <v>Organizacional</v>
      </c>
      <c r="D9" s="459" t="str">
        <f>'Oport-Pré'!D8</f>
        <v>Redução do custo da bebida</v>
      </c>
      <c r="E9" s="418"/>
      <c r="F9" s="129">
        <f>'Resposta-Oport'!J11</f>
        <v>0.7</v>
      </c>
      <c r="G9" s="132">
        <f>'Resposta-Oport'!K11</f>
        <v>2000</v>
      </c>
      <c r="H9" s="133">
        <f>G9</f>
        <v>2000</v>
      </c>
      <c r="I9" s="133">
        <f t="shared" ref="I9:I38" si="0">F9*H9</f>
        <v>1400</v>
      </c>
      <c r="J9" s="260">
        <f>'Oport-Pré'!Q8</f>
        <v>1</v>
      </c>
    </row>
    <row r="10" spans="1:10" ht="39.75" customHeight="1">
      <c r="A10" s="126">
        <f>'Oport-Pré'!A9</f>
        <v>2</v>
      </c>
      <c r="B10" s="271">
        <f>'Oport-Pré'!B9</f>
        <v>0</v>
      </c>
      <c r="C10" s="128" t="str">
        <f>'Oport-Pré'!C9</f>
        <v>Organizacional</v>
      </c>
      <c r="D10" s="459" t="str">
        <f>'Oport-Pré'!D9</f>
        <v>Fornecimento do espaço de forma gratuita</v>
      </c>
      <c r="E10" s="418"/>
      <c r="F10" s="129">
        <f>'Resposta-Oport'!J12</f>
        <v>0.9</v>
      </c>
      <c r="G10" s="132">
        <f>'Resposta-Oport'!K12</f>
        <v>1500</v>
      </c>
      <c r="H10" s="133">
        <f t="shared" ref="H10:H73" si="1">G10</f>
        <v>1500</v>
      </c>
      <c r="I10" s="133">
        <f t="shared" si="0"/>
        <v>1350</v>
      </c>
      <c r="J10" s="260">
        <f>'Oport-Pré'!Q9</f>
        <v>2</v>
      </c>
    </row>
    <row r="11" spans="1:10" ht="13">
      <c r="A11" s="126">
        <f>'Oport-Pré'!A10</f>
        <v>3</v>
      </c>
      <c r="B11" s="271">
        <f>'Oport-Pré'!B10</f>
        <v>0</v>
      </c>
      <c r="C11" s="128">
        <f>'Oport-Pré'!C10</f>
        <v>0</v>
      </c>
      <c r="D11" s="459">
        <f>'Oport-Pré'!D10</f>
        <v>0</v>
      </c>
      <c r="E11" s="418"/>
      <c r="F11" s="129">
        <f>'Resposta-Oport'!J13</f>
        <v>0</v>
      </c>
      <c r="G11" s="132">
        <f>'Resposta-Oport'!K13</f>
        <v>0</v>
      </c>
      <c r="H11" s="133">
        <f t="shared" si="1"/>
        <v>0</v>
      </c>
      <c r="I11" s="133">
        <f t="shared" si="0"/>
        <v>0</v>
      </c>
      <c r="J11" s="260" t="str">
        <f>'Oport-Pré'!Q10</f>
        <v/>
      </c>
    </row>
    <row r="12" spans="1:10" ht="13">
      <c r="A12" s="126">
        <f>'Oport-Pré'!A11</f>
        <v>4</v>
      </c>
      <c r="B12" s="271">
        <f>'Oport-Pré'!B11</f>
        <v>0</v>
      </c>
      <c r="C12" s="128">
        <f>'Oport-Pré'!C11</f>
        <v>0</v>
      </c>
      <c r="D12" s="459">
        <f>'Oport-Pré'!D11</f>
        <v>0</v>
      </c>
      <c r="E12" s="418"/>
      <c r="F12" s="129">
        <f>'Resposta-Oport'!J14</f>
        <v>0</v>
      </c>
      <c r="G12" s="132">
        <f>'Resposta-Oport'!K14</f>
        <v>0</v>
      </c>
      <c r="H12" s="133">
        <f t="shared" si="1"/>
        <v>0</v>
      </c>
      <c r="I12" s="133">
        <f t="shared" si="0"/>
        <v>0</v>
      </c>
      <c r="J12" s="260" t="str">
        <f>'Oport-Pré'!Q11</f>
        <v/>
      </c>
    </row>
    <row r="13" spans="1:10" ht="13">
      <c r="A13" s="126">
        <f>'Oport-Pré'!A12</f>
        <v>5</v>
      </c>
      <c r="B13" s="271">
        <f>'Oport-Pré'!B12</f>
        <v>0</v>
      </c>
      <c r="C13" s="128">
        <f>'Oport-Pré'!C12</f>
        <v>0</v>
      </c>
      <c r="D13" s="459">
        <f>'Oport-Pré'!D12</f>
        <v>0</v>
      </c>
      <c r="E13" s="418"/>
      <c r="F13" s="129">
        <f>'Resposta-Oport'!J15</f>
        <v>0</v>
      </c>
      <c r="G13" s="132">
        <f>'Resposta-Oport'!K15</f>
        <v>0</v>
      </c>
      <c r="H13" s="133">
        <f t="shared" si="1"/>
        <v>0</v>
      </c>
      <c r="I13" s="133">
        <f t="shared" si="0"/>
        <v>0</v>
      </c>
      <c r="J13" s="260" t="str">
        <f>'Oport-Pré'!Q12</f>
        <v/>
      </c>
    </row>
    <row r="14" spans="1:10" ht="13">
      <c r="A14" s="126">
        <f>'Oport-Pré'!A13</f>
        <v>6</v>
      </c>
      <c r="B14" s="271">
        <f>'Oport-Pré'!B13</f>
        <v>0</v>
      </c>
      <c r="C14" s="128">
        <f>'Oport-Pré'!C13</f>
        <v>0</v>
      </c>
      <c r="D14" s="459">
        <f>'Oport-Pré'!D13</f>
        <v>0</v>
      </c>
      <c r="E14" s="418"/>
      <c r="F14" s="129">
        <f>'Resposta-Oport'!J16</f>
        <v>0</v>
      </c>
      <c r="G14" s="132">
        <f>'Resposta-Oport'!K16</f>
        <v>0</v>
      </c>
      <c r="H14" s="133">
        <f t="shared" si="1"/>
        <v>0</v>
      </c>
      <c r="I14" s="133">
        <f t="shared" si="0"/>
        <v>0</v>
      </c>
      <c r="J14" s="260" t="str">
        <f>'Oport-Pré'!Q13</f>
        <v/>
      </c>
    </row>
    <row r="15" spans="1:10" ht="13">
      <c r="A15" s="126">
        <f>'Oport-Pré'!A14</f>
        <v>7</v>
      </c>
      <c r="B15" s="271">
        <f>'Oport-Pré'!B14</f>
        <v>0</v>
      </c>
      <c r="C15" s="128">
        <f>'Oport-Pré'!C14</f>
        <v>0</v>
      </c>
      <c r="D15" s="459">
        <f>'Oport-Pré'!D14</f>
        <v>0</v>
      </c>
      <c r="E15" s="418"/>
      <c r="F15" s="129">
        <f>'Resposta-Oport'!J17</f>
        <v>0</v>
      </c>
      <c r="G15" s="132">
        <f>'Resposta-Oport'!K17</f>
        <v>0</v>
      </c>
      <c r="H15" s="133">
        <f t="shared" si="1"/>
        <v>0</v>
      </c>
      <c r="I15" s="133">
        <f t="shared" si="0"/>
        <v>0</v>
      </c>
      <c r="J15" s="260" t="str">
        <f>'Oport-Pré'!Q14</f>
        <v/>
      </c>
    </row>
    <row r="16" spans="1:10" ht="13">
      <c r="A16" s="126">
        <f>'Oport-Pré'!A15</f>
        <v>8</v>
      </c>
      <c r="B16" s="271">
        <f>'Oport-Pré'!B15</f>
        <v>0</v>
      </c>
      <c r="C16" s="128">
        <f>'Oport-Pré'!C15</f>
        <v>0</v>
      </c>
      <c r="D16" s="459">
        <f>'Oport-Pré'!D15</f>
        <v>0</v>
      </c>
      <c r="E16" s="418"/>
      <c r="F16" s="129">
        <f>'Resposta-Oport'!J18</f>
        <v>0</v>
      </c>
      <c r="G16" s="132">
        <f>'Resposta-Oport'!K18</f>
        <v>0</v>
      </c>
      <c r="H16" s="133">
        <f t="shared" si="1"/>
        <v>0</v>
      </c>
      <c r="I16" s="133">
        <f t="shared" si="0"/>
        <v>0</v>
      </c>
      <c r="J16" s="260" t="str">
        <f>'Oport-Pré'!Q15</f>
        <v/>
      </c>
    </row>
    <row r="17" spans="1:10" ht="13">
      <c r="A17" s="126">
        <f>'Oport-Pré'!A16</f>
        <v>9</v>
      </c>
      <c r="B17" s="271">
        <f>'Oport-Pré'!B16</f>
        <v>0</v>
      </c>
      <c r="C17" s="128">
        <f>'Oport-Pré'!C16</f>
        <v>0</v>
      </c>
      <c r="D17" s="459">
        <f>'Oport-Pré'!D16</f>
        <v>0</v>
      </c>
      <c r="E17" s="418"/>
      <c r="F17" s="129">
        <f>'Resposta-Oport'!J19</f>
        <v>0</v>
      </c>
      <c r="G17" s="132">
        <f>'Resposta-Oport'!K19</f>
        <v>0</v>
      </c>
      <c r="H17" s="133">
        <f t="shared" si="1"/>
        <v>0</v>
      </c>
      <c r="I17" s="133">
        <f t="shared" si="0"/>
        <v>0</v>
      </c>
      <c r="J17" s="260" t="str">
        <f>'Oport-Pré'!Q16</f>
        <v/>
      </c>
    </row>
    <row r="18" spans="1:10" ht="13">
      <c r="A18" s="126">
        <f>'Oport-Pré'!A17</f>
        <v>10</v>
      </c>
      <c r="B18" s="271">
        <f>'Oport-Pré'!B17</f>
        <v>0</v>
      </c>
      <c r="C18" s="128">
        <f>'Oport-Pré'!C17</f>
        <v>0</v>
      </c>
      <c r="D18" s="459">
        <f>'Oport-Pré'!D17</f>
        <v>0</v>
      </c>
      <c r="E18" s="418"/>
      <c r="F18" s="129">
        <f>'Resposta-Oport'!J20</f>
        <v>0</v>
      </c>
      <c r="G18" s="132">
        <f>'Resposta-Oport'!K20</f>
        <v>0</v>
      </c>
      <c r="H18" s="133">
        <f t="shared" si="1"/>
        <v>0</v>
      </c>
      <c r="I18" s="133">
        <f t="shared" si="0"/>
        <v>0</v>
      </c>
      <c r="J18" s="260" t="str">
        <f>'Oport-Pré'!Q17</f>
        <v/>
      </c>
    </row>
    <row r="19" spans="1:10" ht="13">
      <c r="A19" s="126">
        <f>'Oport-Pré'!A18</f>
        <v>11</v>
      </c>
      <c r="B19" s="271">
        <f>'Oport-Pré'!B18</f>
        <v>0</v>
      </c>
      <c r="C19" s="128">
        <f>'Oport-Pré'!C18</f>
        <v>0</v>
      </c>
      <c r="D19" s="459">
        <f>'Oport-Pré'!D18</f>
        <v>0</v>
      </c>
      <c r="E19" s="418"/>
      <c r="F19" s="129">
        <f>'Resposta-Oport'!J21</f>
        <v>0</v>
      </c>
      <c r="G19" s="132">
        <f>'Resposta-Oport'!K21</f>
        <v>0</v>
      </c>
      <c r="H19" s="133">
        <f t="shared" si="1"/>
        <v>0</v>
      </c>
      <c r="I19" s="133">
        <f t="shared" si="0"/>
        <v>0</v>
      </c>
      <c r="J19" s="260" t="str">
        <f>'Oport-Pré'!Q18</f>
        <v/>
      </c>
    </row>
    <row r="20" spans="1:10" ht="13">
      <c r="A20" s="126">
        <f>'Oport-Pré'!A19</f>
        <v>12</v>
      </c>
      <c r="B20" s="271">
        <f>'Oport-Pré'!B19</f>
        <v>0</v>
      </c>
      <c r="C20" s="128">
        <f>'Oport-Pré'!C19</f>
        <v>0</v>
      </c>
      <c r="D20" s="459">
        <f>'Oport-Pré'!D19</f>
        <v>0</v>
      </c>
      <c r="E20" s="418"/>
      <c r="F20" s="129">
        <f>'Resposta-Oport'!J22</f>
        <v>0</v>
      </c>
      <c r="G20" s="132">
        <f>'Resposta-Oport'!K22</f>
        <v>0</v>
      </c>
      <c r="H20" s="133">
        <f t="shared" si="1"/>
        <v>0</v>
      </c>
      <c r="I20" s="133">
        <f t="shared" si="0"/>
        <v>0</v>
      </c>
      <c r="J20" s="260" t="str">
        <f>'Oport-Pré'!Q19</f>
        <v/>
      </c>
    </row>
    <row r="21" spans="1:10" ht="13">
      <c r="A21" s="126">
        <f>'Oport-Pré'!A20</f>
        <v>13</v>
      </c>
      <c r="B21" s="271">
        <f>'Oport-Pré'!B20</f>
        <v>0</v>
      </c>
      <c r="C21" s="128">
        <f>'Oport-Pré'!C20</f>
        <v>0</v>
      </c>
      <c r="D21" s="459">
        <f>'Oport-Pré'!D20</f>
        <v>0</v>
      </c>
      <c r="E21" s="418"/>
      <c r="F21" s="129">
        <f>'Resposta-Oport'!J23</f>
        <v>0</v>
      </c>
      <c r="G21" s="132">
        <f>'Resposta-Oport'!K23</f>
        <v>0</v>
      </c>
      <c r="H21" s="133">
        <f t="shared" si="1"/>
        <v>0</v>
      </c>
      <c r="I21" s="133">
        <f t="shared" si="0"/>
        <v>0</v>
      </c>
      <c r="J21" s="260" t="str">
        <f>'Oport-Pré'!Q20</f>
        <v/>
      </c>
    </row>
    <row r="22" spans="1:10" ht="13">
      <c r="A22" s="126">
        <f>'Oport-Pré'!A21</f>
        <v>14</v>
      </c>
      <c r="B22" s="271">
        <f>'Oport-Pré'!B21</f>
        <v>0</v>
      </c>
      <c r="C22" s="128">
        <f>'Oport-Pré'!C21</f>
        <v>0</v>
      </c>
      <c r="D22" s="459">
        <f>'Oport-Pré'!D21</f>
        <v>0</v>
      </c>
      <c r="E22" s="418"/>
      <c r="F22" s="129">
        <f>'Resposta-Oport'!J24</f>
        <v>0</v>
      </c>
      <c r="G22" s="132">
        <f>'Resposta-Oport'!K24</f>
        <v>0</v>
      </c>
      <c r="H22" s="133">
        <f t="shared" si="1"/>
        <v>0</v>
      </c>
      <c r="I22" s="133">
        <f t="shared" si="0"/>
        <v>0</v>
      </c>
      <c r="J22" s="260" t="str">
        <f>'Oport-Pré'!Q21</f>
        <v/>
      </c>
    </row>
    <row r="23" spans="1:10" ht="13">
      <c r="A23" s="126">
        <f>'Oport-Pré'!A22</f>
        <v>15</v>
      </c>
      <c r="B23" s="271">
        <f>'Oport-Pré'!B22</f>
        <v>0</v>
      </c>
      <c r="C23" s="128">
        <f>'Oport-Pré'!C22</f>
        <v>0</v>
      </c>
      <c r="D23" s="459">
        <f>'Oport-Pré'!D22</f>
        <v>0</v>
      </c>
      <c r="E23" s="418"/>
      <c r="F23" s="129">
        <f>'Resposta-Oport'!J25</f>
        <v>0</v>
      </c>
      <c r="G23" s="132">
        <f>'Resposta-Oport'!K25</f>
        <v>0</v>
      </c>
      <c r="H23" s="133">
        <f t="shared" si="1"/>
        <v>0</v>
      </c>
      <c r="I23" s="133">
        <f t="shared" si="0"/>
        <v>0</v>
      </c>
      <c r="J23" s="260" t="str">
        <f>'Oport-Pré'!Q22</f>
        <v/>
      </c>
    </row>
    <row r="24" spans="1:10" ht="13">
      <c r="A24" s="126">
        <f>'Oport-Pré'!A23</f>
        <v>16</v>
      </c>
      <c r="B24" s="271">
        <f>'Oport-Pré'!B23</f>
        <v>0</v>
      </c>
      <c r="C24" s="128">
        <f>'Oport-Pré'!C23</f>
        <v>0</v>
      </c>
      <c r="D24" s="459">
        <f>'Oport-Pré'!D23</f>
        <v>0</v>
      </c>
      <c r="E24" s="418"/>
      <c r="F24" s="129">
        <f>'Resposta-Oport'!J26</f>
        <v>0</v>
      </c>
      <c r="G24" s="132">
        <f>'Resposta-Oport'!K26</f>
        <v>0</v>
      </c>
      <c r="H24" s="133">
        <f t="shared" si="1"/>
        <v>0</v>
      </c>
      <c r="I24" s="133">
        <f t="shared" si="0"/>
        <v>0</v>
      </c>
      <c r="J24" s="260" t="str">
        <f>'Oport-Pré'!Q23</f>
        <v/>
      </c>
    </row>
    <row r="25" spans="1:10" ht="13">
      <c r="A25" s="126">
        <f>'Oport-Pré'!A24</f>
        <v>17</v>
      </c>
      <c r="B25" s="271">
        <f>'Oport-Pré'!B24</f>
        <v>0</v>
      </c>
      <c r="C25" s="128">
        <f>'Oport-Pré'!C24</f>
        <v>0</v>
      </c>
      <c r="D25" s="459">
        <f>'Oport-Pré'!D24</f>
        <v>0</v>
      </c>
      <c r="E25" s="418"/>
      <c r="F25" s="129">
        <f>'Resposta-Oport'!J27</f>
        <v>0</v>
      </c>
      <c r="G25" s="132">
        <f>'Resposta-Oport'!K27</f>
        <v>0</v>
      </c>
      <c r="H25" s="133">
        <f t="shared" si="1"/>
        <v>0</v>
      </c>
      <c r="I25" s="133">
        <f t="shared" si="0"/>
        <v>0</v>
      </c>
      <c r="J25" s="260" t="str">
        <f>'Oport-Pré'!Q24</f>
        <v/>
      </c>
    </row>
    <row r="26" spans="1:10" ht="13">
      <c r="A26" s="126">
        <f>'Oport-Pré'!A25</f>
        <v>18</v>
      </c>
      <c r="B26" s="271">
        <f>'Oport-Pré'!B25</f>
        <v>0</v>
      </c>
      <c r="C26" s="128">
        <f>'Oport-Pré'!C25</f>
        <v>0</v>
      </c>
      <c r="D26" s="459">
        <f>'Oport-Pré'!D25</f>
        <v>0</v>
      </c>
      <c r="E26" s="418"/>
      <c r="F26" s="129">
        <f>'Resposta-Oport'!J28</f>
        <v>0</v>
      </c>
      <c r="G26" s="132">
        <f>'Resposta-Oport'!K28</f>
        <v>0</v>
      </c>
      <c r="H26" s="133">
        <f t="shared" si="1"/>
        <v>0</v>
      </c>
      <c r="I26" s="133">
        <f t="shared" si="0"/>
        <v>0</v>
      </c>
      <c r="J26" s="260" t="str">
        <f>'Oport-Pré'!Q25</f>
        <v/>
      </c>
    </row>
    <row r="27" spans="1:10" ht="13">
      <c r="A27" s="126">
        <f>'Oport-Pré'!A26</f>
        <v>19</v>
      </c>
      <c r="B27" s="271">
        <f>'Oport-Pré'!B26</f>
        <v>0</v>
      </c>
      <c r="C27" s="128">
        <f>'Oport-Pré'!C26</f>
        <v>0</v>
      </c>
      <c r="D27" s="459">
        <f>'Oport-Pré'!D26</f>
        <v>0</v>
      </c>
      <c r="E27" s="418"/>
      <c r="F27" s="129">
        <f>'Resposta-Oport'!J29</f>
        <v>0</v>
      </c>
      <c r="G27" s="132">
        <f>'Resposta-Oport'!K29</f>
        <v>0</v>
      </c>
      <c r="H27" s="133">
        <f t="shared" si="1"/>
        <v>0</v>
      </c>
      <c r="I27" s="133">
        <f t="shared" si="0"/>
        <v>0</v>
      </c>
      <c r="J27" s="260" t="str">
        <f>'Oport-Pré'!Q26</f>
        <v/>
      </c>
    </row>
    <row r="28" spans="1:10" ht="13">
      <c r="A28" s="126">
        <f>'Oport-Pré'!A27</f>
        <v>20</v>
      </c>
      <c r="B28" s="271">
        <f>'Oport-Pré'!B27</f>
        <v>0</v>
      </c>
      <c r="C28" s="128">
        <f>'Oport-Pré'!C27</f>
        <v>0</v>
      </c>
      <c r="D28" s="459">
        <f>'Oport-Pré'!D27</f>
        <v>0</v>
      </c>
      <c r="E28" s="418"/>
      <c r="F28" s="129">
        <f>'Resposta-Oport'!J30</f>
        <v>0</v>
      </c>
      <c r="G28" s="132">
        <f>'Resposta-Oport'!K30</f>
        <v>0</v>
      </c>
      <c r="H28" s="133">
        <f t="shared" si="1"/>
        <v>0</v>
      </c>
      <c r="I28" s="133">
        <f t="shared" si="0"/>
        <v>0</v>
      </c>
      <c r="J28" s="260" t="str">
        <f>'Oport-Pré'!Q27</f>
        <v/>
      </c>
    </row>
    <row r="29" spans="1:10" ht="13">
      <c r="A29" s="126">
        <f>'Oport-Pré'!A28</f>
        <v>21</v>
      </c>
      <c r="B29" s="271">
        <f>'Oport-Pré'!B28</f>
        <v>0</v>
      </c>
      <c r="C29" s="128">
        <f>'Oport-Pré'!C28</f>
        <v>0</v>
      </c>
      <c r="D29" s="459">
        <f>'Oport-Pré'!D28</f>
        <v>0</v>
      </c>
      <c r="E29" s="418"/>
      <c r="F29" s="129">
        <f>'Resposta-Oport'!J31</f>
        <v>0</v>
      </c>
      <c r="G29" s="132">
        <f>'Resposta-Oport'!K31</f>
        <v>0</v>
      </c>
      <c r="H29" s="133">
        <f t="shared" si="1"/>
        <v>0</v>
      </c>
      <c r="I29" s="133">
        <f t="shared" si="0"/>
        <v>0</v>
      </c>
      <c r="J29" s="260" t="str">
        <f>'Oport-Pré'!Q28</f>
        <v/>
      </c>
    </row>
    <row r="30" spans="1:10" ht="13">
      <c r="A30" s="126">
        <f>'Oport-Pré'!A29</f>
        <v>22</v>
      </c>
      <c r="B30" s="271">
        <f>'Oport-Pré'!B29</f>
        <v>0</v>
      </c>
      <c r="C30" s="128">
        <f>'Oport-Pré'!C29</f>
        <v>0</v>
      </c>
      <c r="D30" s="459">
        <f>'Oport-Pré'!D29</f>
        <v>0</v>
      </c>
      <c r="E30" s="418"/>
      <c r="F30" s="129">
        <f>'Resposta-Oport'!J32</f>
        <v>0</v>
      </c>
      <c r="G30" s="132">
        <f>'Resposta-Oport'!K32</f>
        <v>0</v>
      </c>
      <c r="H30" s="133">
        <f t="shared" si="1"/>
        <v>0</v>
      </c>
      <c r="I30" s="133">
        <f t="shared" si="0"/>
        <v>0</v>
      </c>
      <c r="J30" s="260" t="str">
        <f>'Oport-Pré'!Q29</f>
        <v/>
      </c>
    </row>
    <row r="31" spans="1:10" ht="13">
      <c r="A31" s="126">
        <f>'Oport-Pré'!A30</f>
        <v>23</v>
      </c>
      <c r="B31" s="271">
        <f>'Oport-Pré'!B30</f>
        <v>0</v>
      </c>
      <c r="C31" s="128">
        <f>'Oport-Pré'!C30</f>
        <v>0</v>
      </c>
      <c r="D31" s="459">
        <f>'Oport-Pré'!D30</f>
        <v>0</v>
      </c>
      <c r="E31" s="418"/>
      <c r="F31" s="129">
        <f>'Resposta-Oport'!J33</f>
        <v>0</v>
      </c>
      <c r="G31" s="132">
        <f>'Resposta-Oport'!K33</f>
        <v>0</v>
      </c>
      <c r="H31" s="133">
        <f t="shared" si="1"/>
        <v>0</v>
      </c>
      <c r="I31" s="133">
        <f t="shared" si="0"/>
        <v>0</v>
      </c>
      <c r="J31" s="260" t="str">
        <f>'Oport-Pré'!Q30</f>
        <v/>
      </c>
    </row>
    <row r="32" spans="1:10" ht="13">
      <c r="A32" s="126">
        <f>'Oport-Pré'!A31</f>
        <v>24</v>
      </c>
      <c r="B32" s="271">
        <f>'Oport-Pré'!B31</f>
        <v>0</v>
      </c>
      <c r="C32" s="128">
        <f>'Oport-Pré'!C31</f>
        <v>0</v>
      </c>
      <c r="D32" s="459">
        <f>'Oport-Pré'!D31</f>
        <v>0</v>
      </c>
      <c r="E32" s="418"/>
      <c r="F32" s="129">
        <f>'Resposta-Oport'!J34</f>
        <v>0</v>
      </c>
      <c r="G32" s="132">
        <f>'Resposta-Oport'!K34</f>
        <v>0</v>
      </c>
      <c r="H32" s="133">
        <f t="shared" si="1"/>
        <v>0</v>
      </c>
      <c r="I32" s="133">
        <f t="shared" si="0"/>
        <v>0</v>
      </c>
      <c r="J32" s="260" t="str">
        <f>'Oport-Pré'!Q31</f>
        <v/>
      </c>
    </row>
    <row r="33" spans="1:10" ht="13">
      <c r="A33" s="126">
        <f>'Oport-Pré'!A32</f>
        <v>25</v>
      </c>
      <c r="B33" s="271">
        <f>'Oport-Pré'!B32</f>
        <v>0</v>
      </c>
      <c r="C33" s="128">
        <f>'Oport-Pré'!C32</f>
        <v>0</v>
      </c>
      <c r="D33" s="459">
        <f>'Oport-Pré'!D32</f>
        <v>0</v>
      </c>
      <c r="E33" s="418"/>
      <c r="F33" s="129">
        <f>'Resposta-Oport'!J35</f>
        <v>0</v>
      </c>
      <c r="G33" s="132">
        <f>'Resposta-Oport'!K35</f>
        <v>0</v>
      </c>
      <c r="H33" s="133">
        <f t="shared" si="1"/>
        <v>0</v>
      </c>
      <c r="I33" s="133">
        <f t="shared" si="0"/>
        <v>0</v>
      </c>
      <c r="J33" s="260" t="str">
        <f>'Oport-Pré'!Q32</f>
        <v/>
      </c>
    </row>
    <row r="34" spans="1:10" ht="13">
      <c r="A34" s="126">
        <f>'Oport-Pré'!A33</f>
        <v>26</v>
      </c>
      <c r="B34" s="271">
        <f>'Oport-Pré'!B33</f>
        <v>0</v>
      </c>
      <c r="C34" s="128">
        <f>'Oport-Pré'!C33</f>
        <v>0</v>
      </c>
      <c r="D34" s="459">
        <f>'Oport-Pré'!D33</f>
        <v>0</v>
      </c>
      <c r="E34" s="418"/>
      <c r="F34" s="129">
        <f>'Resposta-Oport'!J36</f>
        <v>0</v>
      </c>
      <c r="G34" s="132">
        <f>'Resposta-Oport'!K36</f>
        <v>0</v>
      </c>
      <c r="H34" s="133">
        <f t="shared" si="1"/>
        <v>0</v>
      </c>
      <c r="I34" s="133">
        <f t="shared" si="0"/>
        <v>0</v>
      </c>
      <c r="J34" s="260" t="str">
        <f>'Oport-Pré'!Q33</f>
        <v/>
      </c>
    </row>
    <row r="35" spans="1:10" ht="13">
      <c r="A35" s="126">
        <f>'Oport-Pré'!A34</f>
        <v>27</v>
      </c>
      <c r="B35" s="271">
        <f>'Oport-Pré'!B34</f>
        <v>0</v>
      </c>
      <c r="C35" s="128">
        <f>'Oport-Pré'!C34</f>
        <v>0</v>
      </c>
      <c r="D35" s="459">
        <f>'Oport-Pré'!D34</f>
        <v>0</v>
      </c>
      <c r="E35" s="418"/>
      <c r="F35" s="129">
        <f>'Resposta-Oport'!J37</f>
        <v>0</v>
      </c>
      <c r="G35" s="132">
        <f>'Resposta-Oport'!K37</f>
        <v>0</v>
      </c>
      <c r="H35" s="133">
        <f t="shared" si="1"/>
        <v>0</v>
      </c>
      <c r="I35" s="133">
        <f t="shared" si="0"/>
        <v>0</v>
      </c>
      <c r="J35" s="260" t="str">
        <f>'Oport-Pré'!Q34</f>
        <v/>
      </c>
    </row>
    <row r="36" spans="1:10" ht="13">
      <c r="A36" s="126">
        <f>'Oport-Pré'!A35</f>
        <v>28</v>
      </c>
      <c r="B36" s="271">
        <f>'Oport-Pré'!B35</f>
        <v>0</v>
      </c>
      <c r="C36" s="128">
        <f>'Oport-Pré'!C35</f>
        <v>0</v>
      </c>
      <c r="D36" s="459">
        <f>'Oport-Pré'!D35</f>
        <v>0</v>
      </c>
      <c r="E36" s="418"/>
      <c r="F36" s="129">
        <f>'Resposta-Oport'!J38</f>
        <v>0</v>
      </c>
      <c r="G36" s="132">
        <f>'Resposta-Oport'!K38</f>
        <v>0</v>
      </c>
      <c r="H36" s="133">
        <f t="shared" si="1"/>
        <v>0</v>
      </c>
      <c r="I36" s="133">
        <f t="shared" si="0"/>
        <v>0</v>
      </c>
      <c r="J36" s="260" t="str">
        <f>'Oport-Pré'!Q35</f>
        <v/>
      </c>
    </row>
    <row r="37" spans="1:10" ht="13">
      <c r="A37" s="126">
        <f>'Oport-Pré'!A36</f>
        <v>29</v>
      </c>
      <c r="B37" s="271">
        <f>'Oport-Pré'!B36</f>
        <v>0</v>
      </c>
      <c r="C37" s="128">
        <f>'Oport-Pré'!C36</f>
        <v>0</v>
      </c>
      <c r="D37" s="459">
        <f>'Oport-Pré'!D36</f>
        <v>0</v>
      </c>
      <c r="E37" s="418"/>
      <c r="F37" s="129">
        <f>'Resposta-Oport'!J39</f>
        <v>0</v>
      </c>
      <c r="G37" s="132">
        <f>'Resposta-Oport'!K39</f>
        <v>0</v>
      </c>
      <c r="H37" s="133">
        <f t="shared" si="1"/>
        <v>0</v>
      </c>
      <c r="I37" s="133">
        <f t="shared" si="0"/>
        <v>0</v>
      </c>
      <c r="J37" s="260" t="str">
        <f>'Oport-Pré'!Q36</f>
        <v/>
      </c>
    </row>
    <row r="38" spans="1:10" ht="13">
      <c r="A38" s="126">
        <f>'Oport-Pré'!A37</f>
        <v>30</v>
      </c>
      <c r="B38" s="271">
        <f>'Oport-Pré'!B37</f>
        <v>0</v>
      </c>
      <c r="C38" s="128">
        <f>'Oport-Pré'!C37</f>
        <v>0</v>
      </c>
      <c r="D38" s="459">
        <f>'Oport-Pré'!D37</f>
        <v>0</v>
      </c>
      <c r="E38" s="418"/>
      <c r="F38" s="129">
        <f>'Resposta-Oport'!J40</f>
        <v>0</v>
      </c>
      <c r="G38" s="132">
        <f>'Resposta-Oport'!K40</f>
        <v>0</v>
      </c>
      <c r="H38" s="133">
        <f t="shared" si="1"/>
        <v>0</v>
      </c>
      <c r="I38" s="133">
        <f t="shared" si="0"/>
        <v>0</v>
      </c>
      <c r="J38" s="260" t="str">
        <f>'Oport-Pré'!Q37</f>
        <v/>
      </c>
    </row>
    <row r="39" spans="1:10" ht="13">
      <c r="A39" s="126">
        <f>'Oport-Pré'!A38</f>
        <v>31</v>
      </c>
      <c r="B39" s="271">
        <f>'Oport-Pré'!B38</f>
        <v>0</v>
      </c>
      <c r="C39" s="128">
        <f>'Oport-Pré'!C38</f>
        <v>0</v>
      </c>
      <c r="D39" s="459">
        <f>'Oport-Pré'!D38</f>
        <v>0</v>
      </c>
      <c r="E39" s="418"/>
      <c r="F39" s="129">
        <f>'Resposta-Oport'!J41</f>
        <v>0</v>
      </c>
      <c r="G39" s="132">
        <f>'Resposta-Oport'!K41</f>
        <v>0</v>
      </c>
      <c r="H39" s="133">
        <f t="shared" si="1"/>
        <v>0</v>
      </c>
      <c r="I39" s="133">
        <f t="shared" ref="I39:I54" si="2">F39*H39</f>
        <v>0</v>
      </c>
      <c r="J39" s="260" t="str">
        <f>'Oport-Pré'!Q38</f>
        <v/>
      </c>
    </row>
    <row r="40" spans="1:10" ht="13">
      <c r="A40" s="126">
        <f>'Oport-Pré'!A39</f>
        <v>32</v>
      </c>
      <c r="B40" s="271">
        <f>'Oport-Pré'!B39</f>
        <v>0</v>
      </c>
      <c r="C40" s="128">
        <f>'Oport-Pré'!C39</f>
        <v>0</v>
      </c>
      <c r="D40" s="459">
        <f>'Oport-Pré'!D39</f>
        <v>0</v>
      </c>
      <c r="E40" s="418"/>
      <c r="F40" s="129">
        <f>'Resposta-Oport'!J42</f>
        <v>0</v>
      </c>
      <c r="G40" s="132">
        <f>'Resposta-Oport'!K42</f>
        <v>0</v>
      </c>
      <c r="H40" s="133">
        <f t="shared" si="1"/>
        <v>0</v>
      </c>
      <c r="I40" s="133">
        <f t="shared" si="2"/>
        <v>0</v>
      </c>
      <c r="J40" s="260" t="str">
        <f>'Oport-Pré'!Q39</f>
        <v/>
      </c>
    </row>
    <row r="41" spans="1:10" ht="13">
      <c r="A41" s="126">
        <f>'Oport-Pré'!A40</f>
        <v>33</v>
      </c>
      <c r="B41" s="271">
        <f>'Oport-Pré'!B40</f>
        <v>0</v>
      </c>
      <c r="C41" s="128">
        <f>'Oport-Pré'!C40</f>
        <v>0</v>
      </c>
      <c r="D41" s="459">
        <f>'Oport-Pré'!D40</f>
        <v>0</v>
      </c>
      <c r="E41" s="418"/>
      <c r="F41" s="129">
        <f>'Resposta-Oport'!J43</f>
        <v>0</v>
      </c>
      <c r="G41" s="132">
        <f>'Resposta-Oport'!K43</f>
        <v>0</v>
      </c>
      <c r="H41" s="133">
        <f t="shared" si="1"/>
        <v>0</v>
      </c>
      <c r="I41" s="133">
        <f t="shared" si="2"/>
        <v>0</v>
      </c>
      <c r="J41" s="260" t="str">
        <f>'Oport-Pré'!Q40</f>
        <v/>
      </c>
    </row>
    <row r="42" spans="1:10" ht="13">
      <c r="A42" s="126">
        <f>'Oport-Pré'!A41</f>
        <v>34</v>
      </c>
      <c r="B42" s="271">
        <f>'Oport-Pré'!B41</f>
        <v>0</v>
      </c>
      <c r="C42" s="128">
        <f>'Oport-Pré'!C41</f>
        <v>0</v>
      </c>
      <c r="D42" s="459">
        <f>'Oport-Pré'!D41</f>
        <v>0</v>
      </c>
      <c r="E42" s="418"/>
      <c r="F42" s="129">
        <f>'Resposta-Oport'!J44</f>
        <v>0</v>
      </c>
      <c r="G42" s="132">
        <f>'Resposta-Oport'!K44</f>
        <v>0</v>
      </c>
      <c r="H42" s="133">
        <f t="shared" si="1"/>
        <v>0</v>
      </c>
      <c r="I42" s="133">
        <f t="shared" si="2"/>
        <v>0</v>
      </c>
      <c r="J42" s="260" t="str">
        <f>'Oport-Pré'!Q41</f>
        <v/>
      </c>
    </row>
    <row r="43" spans="1:10" ht="13">
      <c r="A43" s="126">
        <f>'Oport-Pré'!A42</f>
        <v>35</v>
      </c>
      <c r="B43" s="271">
        <f>'Oport-Pré'!B42</f>
        <v>0</v>
      </c>
      <c r="C43" s="128">
        <f>'Oport-Pré'!C42</f>
        <v>0</v>
      </c>
      <c r="D43" s="459">
        <f>'Oport-Pré'!D42</f>
        <v>0</v>
      </c>
      <c r="E43" s="418"/>
      <c r="F43" s="129">
        <f>'Resposta-Oport'!J45</f>
        <v>0</v>
      </c>
      <c r="G43" s="132">
        <f>'Resposta-Oport'!K45</f>
        <v>0</v>
      </c>
      <c r="H43" s="133">
        <f t="shared" si="1"/>
        <v>0</v>
      </c>
      <c r="I43" s="133">
        <f t="shared" si="2"/>
        <v>0</v>
      </c>
      <c r="J43" s="260" t="str">
        <f>'Oport-Pré'!Q42</f>
        <v/>
      </c>
    </row>
    <row r="44" spans="1:10" ht="13">
      <c r="A44" s="126">
        <f>'Oport-Pré'!A43</f>
        <v>36</v>
      </c>
      <c r="B44" s="271">
        <f>'Oport-Pré'!B43</f>
        <v>0</v>
      </c>
      <c r="C44" s="128">
        <f>'Oport-Pré'!C43</f>
        <v>0</v>
      </c>
      <c r="D44" s="459">
        <f>'Oport-Pré'!D43</f>
        <v>0</v>
      </c>
      <c r="E44" s="418"/>
      <c r="F44" s="129">
        <f>'Resposta-Oport'!J46</f>
        <v>0</v>
      </c>
      <c r="G44" s="132">
        <f>'Resposta-Oport'!K46</f>
        <v>0</v>
      </c>
      <c r="H44" s="133">
        <f t="shared" si="1"/>
        <v>0</v>
      </c>
      <c r="I44" s="133">
        <f t="shared" si="2"/>
        <v>0</v>
      </c>
      <c r="J44" s="260" t="str">
        <f>'Oport-Pré'!Q43</f>
        <v/>
      </c>
    </row>
    <row r="45" spans="1:10" ht="13">
      <c r="A45" s="126">
        <f>'Oport-Pré'!A44</f>
        <v>37</v>
      </c>
      <c r="B45" s="271">
        <f>'Oport-Pré'!B44</f>
        <v>0</v>
      </c>
      <c r="C45" s="128">
        <f>'Oport-Pré'!C44</f>
        <v>0</v>
      </c>
      <c r="D45" s="459">
        <f>'Oport-Pré'!D44</f>
        <v>0</v>
      </c>
      <c r="E45" s="418"/>
      <c r="F45" s="129">
        <f>'Resposta-Oport'!J47</f>
        <v>0</v>
      </c>
      <c r="G45" s="132">
        <f>'Resposta-Oport'!K47</f>
        <v>0</v>
      </c>
      <c r="H45" s="133">
        <f t="shared" si="1"/>
        <v>0</v>
      </c>
      <c r="I45" s="133">
        <f t="shared" si="2"/>
        <v>0</v>
      </c>
      <c r="J45" s="260" t="str">
        <f>'Oport-Pré'!Q44</f>
        <v/>
      </c>
    </row>
    <row r="46" spans="1:10" ht="13">
      <c r="A46" s="126">
        <f>'Oport-Pré'!A45</f>
        <v>38</v>
      </c>
      <c r="B46" s="271">
        <f>'Oport-Pré'!B45</f>
        <v>0</v>
      </c>
      <c r="C46" s="128">
        <f>'Oport-Pré'!C45</f>
        <v>0</v>
      </c>
      <c r="D46" s="459">
        <f>'Oport-Pré'!D45</f>
        <v>0</v>
      </c>
      <c r="E46" s="418"/>
      <c r="F46" s="129">
        <f>'Resposta-Oport'!J48</f>
        <v>0</v>
      </c>
      <c r="G46" s="132">
        <f>'Resposta-Oport'!K48</f>
        <v>0</v>
      </c>
      <c r="H46" s="133">
        <f t="shared" si="1"/>
        <v>0</v>
      </c>
      <c r="I46" s="133">
        <f t="shared" si="2"/>
        <v>0</v>
      </c>
      <c r="J46" s="260" t="str">
        <f>'Oport-Pré'!Q45</f>
        <v/>
      </c>
    </row>
    <row r="47" spans="1:10" ht="13">
      <c r="A47" s="126">
        <f>'Oport-Pré'!A46</f>
        <v>39</v>
      </c>
      <c r="B47" s="271">
        <f>'Oport-Pré'!B46</f>
        <v>0</v>
      </c>
      <c r="C47" s="128">
        <f>'Oport-Pré'!C46</f>
        <v>0</v>
      </c>
      <c r="D47" s="459">
        <f>'Oport-Pré'!D46</f>
        <v>0</v>
      </c>
      <c r="E47" s="418"/>
      <c r="F47" s="129">
        <f>'Resposta-Oport'!J49</f>
        <v>0</v>
      </c>
      <c r="G47" s="132">
        <f>'Resposta-Oport'!K49</f>
        <v>0</v>
      </c>
      <c r="H47" s="133">
        <f t="shared" si="1"/>
        <v>0</v>
      </c>
      <c r="I47" s="133">
        <f t="shared" si="2"/>
        <v>0</v>
      </c>
      <c r="J47" s="260" t="str">
        <f>'Oport-Pré'!Q46</f>
        <v/>
      </c>
    </row>
    <row r="48" spans="1:10" ht="13">
      <c r="A48" s="126">
        <f>'Oport-Pré'!A47</f>
        <v>40</v>
      </c>
      <c r="B48" s="271">
        <f>'Oport-Pré'!B47</f>
        <v>0</v>
      </c>
      <c r="C48" s="128">
        <f>'Oport-Pré'!C47</f>
        <v>0</v>
      </c>
      <c r="D48" s="459">
        <f>'Oport-Pré'!D47</f>
        <v>0</v>
      </c>
      <c r="E48" s="418"/>
      <c r="F48" s="129">
        <f>'Resposta-Oport'!J50</f>
        <v>0</v>
      </c>
      <c r="G48" s="132">
        <f>'Resposta-Oport'!K50</f>
        <v>0</v>
      </c>
      <c r="H48" s="133">
        <f t="shared" si="1"/>
        <v>0</v>
      </c>
      <c r="I48" s="133">
        <f t="shared" si="2"/>
        <v>0</v>
      </c>
      <c r="J48" s="260" t="str">
        <f>'Oport-Pré'!Q47</f>
        <v/>
      </c>
    </row>
    <row r="49" spans="1:10" ht="13">
      <c r="A49" s="126">
        <f>'Oport-Pré'!A48</f>
        <v>41</v>
      </c>
      <c r="B49" s="271">
        <f>'Oport-Pré'!B48</f>
        <v>0</v>
      </c>
      <c r="C49" s="128">
        <f>'Oport-Pré'!C48</f>
        <v>0</v>
      </c>
      <c r="D49" s="459">
        <f>'Oport-Pré'!D48</f>
        <v>0</v>
      </c>
      <c r="E49" s="418"/>
      <c r="F49" s="129">
        <f>'Resposta-Oport'!J51</f>
        <v>0</v>
      </c>
      <c r="G49" s="132">
        <f>'Resposta-Oport'!K51</f>
        <v>0</v>
      </c>
      <c r="H49" s="133">
        <f t="shared" si="1"/>
        <v>0</v>
      </c>
      <c r="I49" s="133">
        <f t="shared" si="2"/>
        <v>0</v>
      </c>
      <c r="J49" s="260" t="str">
        <f>'Oport-Pré'!Q48</f>
        <v/>
      </c>
    </row>
    <row r="50" spans="1:10" ht="13">
      <c r="A50" s="126">
        <f>'Oport-Pré'!A49</f>
        <v>42</v>
      </c>
      <c r="B50" s="271">
        <f>'Oport-Pré'!B49</f>
        <v>0</v>
      </c>
      <c r="C50" s="128">
        <f>'Oport-Pré'!C49</f>
        <v>0</v>
      </c>
      <c r="D50" s="459">
        <f>'Oport-Pré'!D49</f>
        <v>0</v>
      </c>
      <c r="E50" s="418"/>
      <c r="F50" s="129">
        <f>'Resposta-Oport'!J52</f>
        <v>0</v>
      </c>
      <c r="G50" s="132">
        <f>'Resposta-Oport'!K52</f>
        <v>0</v>
      </c>
      <c r="H50" s="133">
        <f t="shared" si="1"/>
        <v>0</v>
      </c>
      <c r="I50" s="133">
        <f t="shared" si="2"/>
        <v>0</v>
      </c>
      <c r="J50" s="260" t="str">
        <f>'Oport-Pré'!Q49</f>
        <v/>
      </c>
    </row>
    <row r="51" spans="1:10" ht="13">
      <c r="A51" s="126">
        <f>'Oport-Pré'!A50</f>
        <v>43</v>
      </c>
      <c r="B51" s="271">
        <f>'Oport-Pré'!B50</f>
        <v>0</v>
      </c>
      <c r="C51" s="128">
        <f>'Oport-Pré'!C50</f>
        <v>0</v>
      </c>
      <c r="D51" s="459">
        <f>'Oport-Pré'!D50</f>
        <v>0</v>
      </c>
      <c r="E51" s="418"/>
      <c r="F51" s="129">
        <f>'Resposta-Oport'!J53</f>
        <v>0</v>
      </c>
      <c r="G51" s="132">
        <f>'Resposta-Oport'!K53</f>
        <v>0</v>
      </c>
      <c r="H51" s="133">
        <f t="shared" si="1"/>
        <v>0</v>
      </c>
      <c r="I51" s="133">
        <f t="shared" si="2"/>
        <v>0</v>
      </c>
      <c r="J51" s="260" t="str">
        <f>'Oport-Pré'!Q50</f>
        <v/>
      </c>
    </row>
    <row r="52" spans="1:10" ht="13">
      <c r="A52" s="126">
        <f>'Oport-Pré'!A51</f>
        <v>44</v>
      </c>
      <c r="B52" s="271">
        <f>'Oport-Pré'!B51</f>
        <v>0</v>
      </c>
      <c r="C52" s="128">
        <f>'Oport-Pré'!C51</f>
        <v>0</v>
      </c>
      <c r="D52" s="459">
        <f>'Oport-Pré'!D51</f>
        <v>0</v>
      </c>
      <c r="E52" s="418"/>
      <c r="F52" s="129">
        <f>'Resposta-Oport'!J54</f>
        <v>0</v>
      </c>
      <c r="G52" s="132">
        <f>'Resposta-Oport'!K54</f>
        <v>0</v>
      </c>
      <c r="H52" s="133">
        <f t="shared" si="1"/>
        <v>0</v>
      </c>
      <c r="I52" s="133">
        <f t="shared" si="2"/>
        <v>0</v>
      </c>
      <c r="J52" s="260" t="str">
        <f>'Oport-Pré'!Q51</f>
        <v/>
      </c>
    </row>
    <row r="53" spans="1:10" ht="13">
      <c r="A53" s="126">
        <f>'Oport-Pré'!A52</f>
        <v>45</v>
      </c>
      <c r="B53" s="271">
        <f>'Oport-Pré'!B52</f>
        <v>0</v>
      </c>
      <c r="C53" s="128">
        <f>'Oport-Pré'!C52</f>
        <v>0</v>
      </c>
      <c r="D53" s="459">
        <f>'Oport-Pré'!D52</f>
        <v>0</v>
      </c>
      <c r="E53" s="418"/>
      <c r="F53" s="129">
        <f>'Resposta-Oport'!J55</f>
        <v>0</v>
      </c>
      <c r="G53" s="132">
        <f>'Resposta-Oport'!K55</f>
        <v>0</v>
      </c>
      <c r="H53" s="133">
        <f t="shared" si="1"/>
        <v>0</v>
      </c>
      <c r="I53" s="133">
        <f t="shared" si="2"/>
        <v>0</v>
      </c>
      <c r="J53" s="260" t="str">
        <f>'Oport-Pré'!Q52</f>
        <v/>
      </c>
    </row>
    <row r="54" spans="1:10" ht="13">
      <c r="A54" s="126">
        <f>'Oport-Pré'!A53</f>
        <v>46</v>
      </c>
      <c r="B54" s="271">
        <f>'Oport-Pré'!B53</f>
        <v>0</v>
      </c>
      <c r="C54" s="128">
        <f>'Oport-Pré'!C53</f>
        <v>0</v>
      </c>
      <c r="D54" s="459">
        <f>'Oport-Pré'!D53</f>
        <v>0</v>
      </c>
      <c r="E54" s="418"/>
      <c r="F54" s="129">
        <f>'Resposta-Oport'!J56</f>
        <v>0</v>
      </c>
      <c r="G54" s="132">
        <f>'Resposta-Oport'!K56</f>
        <v>0</v>
      </c>
      <c r="H54" s="133">
        <f t="shared" si="1"/>
        <v>0</v>
      </c>
      <c r="I54" s="133">
        <f t="shared" si="2"/>
        <v>0</v>
      </c>
      <c r="J54" s="260" t="str">
        <f>'Oport-Pré'!Q53</f>
        <v/>
      </c>
    </row>
    <row r="55" spans="1:10" ht="13">
      <c r="A55" s="126">
        <f>'Oport-Pré'!A54</f>
        <v>47</v>
      </c>
      <c r="B55" s="271">
        <f>'Oport-Pré'!B54</f>
        <v>0</v>
      </c>
      <c r="C55" s="128">
        <f>'Oport-Pré'!C54</f>
        <v>0</v>
      </c>
      <c r="D55" s="459">
        <f>'Oport-Pré'!D54</f>
        <v>0</v>
      </c>
      <c r="E55" s="418"/>
      <c r="F55" s="129">
        <f>'Resposta-Oport'!J57</f>
        <v>0</v>
      </c>
      <c r="G55" s="132">
        <f>'Resposta-Oport'!K57</f>
        <v>0</v>
      </c>
      <c r="H55" s="133">
        <f t="shared" si="1"/>
        <v>0</v>
      </c>
      <c r="I55" s="133">
        <f t="shared" ref="I55:I118" si="3">F55*H55</f>
        <v>0</v>
      </c>
      <c r="J55" s="260" t="str">
        <f>'Oport-Pré'!Q54</f>
        <v/>
      </c>
    </row>
    <row r="56" spans="1:10" ht="13">
      <c r="A56" s="126">
        <f>'Oport-Pré'!A55</f>
        <v>48</v>
      </c>
      <c r="B56" s="271">
        <f>'Oport-Pré'!B55</f>
        <v>0</v>
      </c>
      <c r="C56" s="128">
        <f>'Oport-Pré'!C55</f>
        <v>0</v>
      </c>
      <c r="D56" s="459">
        <f>'Oport-Pré'!D55</f>
        <v>0</v>
      </c>
      <c r="E56" s="418"/>
      <c r="F56" s="129">
        <f>'Resposta-Oport'!J58</f>
        <v>0</v>
      </c>
      <c r="G56" s="132">
        <f>'Resposta-Oport'!K58</f>
        <v>0</v>
      </c>
      <c r="H56" s="133">
        <f t="shared" si="1"/>
        <v>0</v>
      </c>
      <c r="I56" s="133">
        <f t="shared" si="3"/>
        <v>0</v>
      </c>
      <c r="J56" s="260" t="str">
        <f>'Oport-Pré'!Q55</f>
        <v/>
      </c>
    </row>
    <row r="57" spans="1:10" ht="13">
      <c r="A57" s="126">
        <f>'Oport-Pré'!A56</f>
        <v>49</v>
      </c>
      <c r="B57" s="271">
        <f>'Oport-Pré'!B56</f>
        <v>0</v>
      </c>
      <c r="C57" s="128">
        <f>'Oport-Pré'!C56</f>
        <v>0</v>
      </c>
      <c r="D57" s="459">
        <f>'Oport-Pré'!D56</f>
        <v>0</v>
      </c>
      <c r="E57" s="418"/>
      <c r="F57" s="129">
        <f>'Resposta-Oport'!J59</f>
        <v>0</v>
      </c>
      <c r="G57" s="132">
        <f>'Resposta-Oport'!K59</f>
        <v>0</v>
      </c>
      <c r="H57" s="133">
        <f t="shared" si="1"/>
        <v>0</v>
      </c>
      <c r="I57" s="133">
        <f t="shared" si="3"/>
        <v>0</v>
      </c>
      <c r="J57" s="260" t="str">
        <f>'Oport-Pré'!Q56</f>
        <v/>
      </c>
    </row>
    <row r="58" spans="1:10" ht="13">
      <c r="A58" s="126">
        <f>'Oport-Pré'!A57</f>
        <v>50</v>
      </c>
      <c r="B58" s="271">
        <f>'Oport-Pré'!B57</f>
        <v>0</v>
      </c>
      <c r="C58" s="128">
        <f>'Oport-Pré'!C57</f>
        <v>0</v>
      </c>
      <c r="D58" s="459">
        <f>'Oport-Pré'!D57</f>
        <v>0</v>
      </c>
      <c r="E58" s="418"/>
      <c r="F58" s="129">
        <f>'Resposta-Oport'!J60</f>
        <v>0</v>
      </c>
      <c r="G58" s="132">
        <f>'Resposta-Oport'!K60</f>
        <v>0</v>
      </c>
      <c r="H58" s="133">
        <f t="shared" si="1"/>
        <v>0</v>
      </c>
      <c r="I58" s="133">
        <f t="shared" si="3"/>
        <v>0</v>
      </c>
      <c r="J58" s="260" t="str">
        <f>'Oport-Pré'!Q57</f>
        <v/>
      </c>
    </row>
    <row r="59" spans="1:10" ht="13">
      <c r="A59" s="126">
        <f>'Oport-Pré'!A58</f>
        <v>51</v>
      </c>
      <c r="B59" s="271">
        <f>'Oport-Pré'!B58</f>
        <v>0</v>
      </c>
      <c r="C59" s="128">
        <f>'Oport-Pré'!C58</f>
        <v>0</v>
      </c>
      <c r="D59" s="459">
        <f>'Oport-Pré'!D58</f>
        <v>0</v>
      </c>
      <c r="E59" s="418"/>
      <c r="F59" s="129">
        <f>'Resposta-Oport'!J61</f>
        <v>0</v>
      </c>
      <c r="G59" s="132">
        <f>'Resposta-Oport'!K61</f>
        <v>0</v>
      </c>
      <c r="H59" s="133">
        <f t="shared" si="1"/>
        <v>0</v>
      </c>
      <c r="I59" s="133">
        <f t="shared" si="3"/>
        <v>0</v>
      </c>
      <c r="J59" s="260" t="str">
        <f>'Oport-Pré'!Q58</f>
        <v/>
      </c>
    </row>
    <row r="60" spans="1:10" ht="13">
      <c r="A60" s="126">
        <f>'Oport-Pré'!A59</f>
        <v>52</v>
      </c>
      <c r="B60" s="271">
        <f>'Oport-Pré'!B59</f>
        <v>0</v>
      </c>
      <c r="C60" s="128">
        <f>'Oport-Pré'!C59</f>
        <v>0</v>
      </c>
      <c r="D60" s="459">
        <f>'Oport-Pré'!D59</f>
        <v>0</v>
      </c>
      <c r="E60" s="418"/>
      <c r="F60" s="129">
        <f>'Resposta-Oport'!J62</f>
        <v>0</v>
      </c>
      <c r="G60" s="132">
        <f>'Resposta-Oport'!K62</f>
        <v>0</v>
      </c>
      <c r="H60" s="133">
        <f t="shared" si="1"/>
        <v>0</v>
      </c>
      <c r="I60" s="133">
        <f t="shared" si="3"/>
        <v>0</v>
      </c>
      <c r="J60" s="260" t="str">
        <f>'Oport-Pré'!Q59</f>
        <v/>
      </c>
    </row>
    <row r="61" spans="1:10" ht="13">
      <c r="A61" s="126">
        <f>'Oport-Pré'!A60</f>
        <v>53</v>
      </c>
      <c r="B61" s="271">
        <f>'Oport-Pré'!B60</f>
        <v>0</v>
      </c>
      <c r="C61" s="128">
        <f>'Oport-Pré'!C60</f>
        <v>0</v>
      </c>
      <c r="D61" s="459">
        <f>'Oport-Pré'!D60</f>
        <v>0</v>
      </c>
      <c r="E61" s="418"/>
      <c r="F61" s="129">
        <f>'Resposta-Oport'!J63</f>
        <v>0</v>
      </c>
      <c r="G61" s="132">
        <f>'Resposta-Oport'!K63</f>
        <v>0</v>
      </c>
      <c r="H61" s="133">
        <f t="shared" si="1"/>
        <v>0</v>
      </c>
      <c r="I61" s="133">
        <f t="shared" si="3"/>
        <v>0</v>
      </c>
      <c r="J61" s="260" t="str">
        <f>'Oport-Pré'!Q60</f>
        <v/>
      </c>
    </row>
    <row r="62" spans="1:10" ht="13">
      <c r="A62" s="126">
        <f>'Oport-Pré'!A61</f>
        <v>54</v>
      </c>
      <c r="B62" s="271">
        <f>'Oport-Pré'!B61</f>
        <v>0</v>
      </c>
      <c r="C62" s="128">
        <f>'Oport-Pré'!C61</f>
        <v>0</v>
      </c>
      <c r="D62" s="459">
        <f>'Oport-Pré'!D61</f>
        <v>0</v>
      </c>
      <c r="E62" s="418"/>
      <c r="F62" s="129">
        <f>'Resposta-Oport'!J64</f>
        <v>0</v>
      </c>
      <c r="G62" s="132">
        <f>'Resposta-Oport'!K64</f>
        <v>0</v>
      </c>
      <c r="H62" s="133">
        <f t="shared" si="1"/>
        <v>0</v>
      </c>
      <c r="I62" s="133">
        <f t="shared" si="3"/>
        <v>0</v>
      </c>
      <c r="J62" s="260" t="str">
        <f>'Oport-Pré'!Q61</f>
        <v/>
      </c>
    </row>
    <row r="63" spans="1:10" ht="13">
      <c r="A63" s="126">
        <f>'Oport-Pré'!A62</f>
        <v>55</v>
      </c>
      <c r="B63" s="271">
        <f>'Oport-Pré'!B62</f>
        <v>0</v>
      </c>
      <c r="C63" s="128">
        <f>'Oport-Pré'!C62</f>
        <v>0</v>
      </c>
      <c r="D63" s="459">
        <f>'Oport-Pré'!D62</f>
        <v>0</v>
      </c>
      <c r="E63" s="418"/>
      <c r="F63" s="129">
        <f>'Resposta-Oport'!J65</f>
        <v>0</v>
      </c>
      <c r="G63" s="132">
        <f>'Resposta-Oport'!K65</f>
        <v>0</v>
      </c>
      <c r="H63" s="133">
        <f t="shared" si="1"/>
        <v>0</v>
      </c>
      <c r="I63" s="133">
        <f t="shared" si="3"/>
        <v>0</v>
      </c>
      <c r="J63" s="260" t="str">
        <f>'Oport-Pré'!Q62</f>
        <v/>
      </c>
    </row>
    <row r="64" spans="1:10" ht="13">
      <c r="A64" s="126">
        <f>'Oport-Pré'!A63</f>
        <v>56</v>
      </c>
      <c r="B64" s="271">
        <f>'Oport-Pré'!B63</f>
        <v>0</v>
      </c>
      <c r="C64" s="128">
        <f>'Oport-Pré'!C63</f>
        <v>0</v>
      </c>
      <c r="D64" s="459">
        <f>'Oport-Pré'!D63</f>
        <v>0</v>
      </c>
      <c r="E64" s="418"/>
      <c r="F64" s="129">
        <f>'Resposta-Oport'!J66</f>
        <v>0</v>
      </c>
      <c r="G64" s="132">
        <f>'Resposta-Oport'!K66</f>
        <v>0</v>
      </c>
      <c r="H64" s="133">
        <f t="shared" si="1"/>
        <v>0</v>
      </c>
      <c r="I64" s="133">
        <f t="shared" si="3"/>
        <v>0</v>
      </c>
      <c r="J64" s="260" t="str">
        <f>'Oport-Pré'!Q63</f>
        <v/>
      </c>
    </row>
    <row r="65" spans="1:10" ht="13">
      <c r="A65" s="126">
        <f>'Oport-Pré'!A64</f>
        <v>57</v>
      </c>
      <c r="B65" s="271">
        <f>'Oport-Pré'!B64</f>
        <v>0</v>
      </c>
      <c r="C65" s="128">
        <f>'Oport-Pré'!C64</f>
        <v>0</v>
      </c>
      <c r="D65" s="459">
        <f>'Oport-Pré'!D64</f>
        <v>0</v>
      </c>
      <c r="E65" s="418"/>
      <c r="F65" s="129">
        <f>'Resposta-Oport'!J67</f>
        <v>0</v>
      </c>
      <c r="G65" s="132">
        <f>'Resposta-Oport'!K67</f>
        <v>0</v>
      </c>
      <c r="H65" s="133">
        <f t="shared" si="1"/>
        <v>0</v>
      </c>
      <c r="I65" s="133">
        <f t="shared" si="3"/>
        <v>0</v>
      </c>
      <c r="J65" s="260" t="str">
        <f>'Oport-Pré'!Q64</f>
        <v/>
      </c>
    </row>
    <row r="66" spans="1:10" ht="13">
      <c r="A66" s="126">
        <f>'Oport-Pré'!A65</f>
        <v>58</v>
      </c>
      <c r="B66" s="271">
        <f>'Oport-Pré'!B65</f>
        <v>0</v>
      </c>
      <c r="C66" s="128">
        <f>'Oport-Pré'!C65</f>
        <v>0</v>
      </c>
      <c r="D66" s="459">
        <f>'Oport-Pré'!D65</f>
        <v>0</v>
      </c>
      <c r="E66" s="418"/>
      <c r="F66" s="129">
        <f>'Resposta-Oport'!J68</f>
        <v>0</v>
      </c>
      <c r="G66" s="132">
        <f>'Resposta-Oport'!K68</f>
        <v>0</v>
      </c>
      <c r="H66" s="133">
        <f t="shared" si="1"/>
        <v>0</v>
      </c>
      <c r="I66" s="133">
        <f t="shared" si="3"/>
        <v>0</v>
      </c>
      <c r="J66" s="260" t="str">
        <f>'Oport-Pré'!Q65</f>
        <v/>
      </c>
    </row>
    <row r="67" spans="1:10" ht="13">
      <c r="A67" s="126">
        <f>'Oport-Pré'!A66</f>
        <v>59</v>
      </c>
      <c r="B67" s="271">
        <f>'Oport-Pré'!B66</f>
        <v>0</v>
      </c>
      <c r="C67" s="128">
        <f>'Oport-Pré'!C66</f>
        <v>0</v>
      </c>
      <c r="D67" s="459">
        <f>'Oport-Pré'!D66</f>
        <v>0</v>
      </c>
      <c r="E67" s="418"/>
      <c r="F67" s="129">
        <f>'Resposta-Oport'!J69</f>
        <v>0</v>
      </c>
      <c r="G67" s="132">
        <f>'Resposta-Oport'!K69</f>
        <v>0</v>
      </c>
      <c r="H67" s="133">
        <f t="shared" si="1"/>
        <v>0</v>
      </c>
      <c r="I67" s="133">
        <f t="shared" si="3"/>
        <v>0</v>
      </c>
      <c r="J67" s="260" t="str">
        <f>'Oport-Pré'!Q66</f>
        <v/>
      </c>
    </row>
    <row r="68" spans="1:10" ht="13">
      <c r="A68" s="126">
        <f>'Oport-Pré'!A67</f>
        <v>60</v>
      </c>
      <c r="B68" s="271">
        <f>'Oport-Pré'!B67</f>
        <v>0</v>
      </c>
      <c r="C68" s="128">
        <f>'Oport-Pré'!C67</f>
        <v>0</v>
      </c>
      <c r="D68" s="459">
        <f>'Oport-Pré'!D67</f>
        <v>0</v>
      </c>
      <c r="E68" s="418"/>
      <c r="F68" s="129">
        <f>'Resposta-Oport'!J70</f>
        <v>0</v>
      </c>
      <c r="G68" s="132">
        <f>'Resposta-Oport'!K70</f>
        <v>0</v>
      </c>
      <c r="H68" s="133">
        <f t="shared" si="1"/>
        <v>0</v>
      </c>
      <c r="I68" s="133">
        <f t="shared" si="3"/>
        <v>0</v>
      </c>
      <c r="J68" s="260" t="str">
        <f>'Oport-Pré'!Q67</f>
        <v/>
      </c>
    </row>
    <row r="69" spans="1:10" ht="13">
      <c r="A69" s="126">
        <f>'Oport-Pré'!A68</f>
        <v>61</v>
      </c>
      <c r="B69" s="271">
        <f>'Oport-Pré'!B68</f>
        <v>0</v>
      </c>
      <c r="C69" s="128">
        <f>'Oport-Pré'!C68</f>
        <v>0</v>
      </c>
      <c r="D69" s="459">
        <f>'Oport-Pré'!D68</f>
        <v>0</v>
      </c>
      <c r="E69" s="418"/>
      <c r="F69" s="129">
        <f>'Resposta-Oport'!J71</f>
        <v>0</v>
      </c>
      <c r="G69" s="132">
        <f>'Resposta-Oport'!K71</f>
        <v>0</v>
      </c>
      <c r="H69" s="133">
        <f t="shared" si="1"/>
        <v>0</v>
      </c>
      <c r="I69" s="133">
        <f t="shared" si="3"/>
        <v>0</v>
      </c>
      <c r="J69" s="260" t="str">
        <f>'Oport-Pré'!Q68</f>
        <v/>
      </c>
    </row>
    <row r="70" spans="1:10" ht="13">
      <c r="A70" s="126">
        <f>'Oport-Pré'!A69</f>
        <v>62</v>
      </c>
      <c r="B70" s="271">
        <f>'Oport-Pré'!B69</f>
        <v>0</v>
      </c>
      <c r="C70" s="128">
        <f>'Oport-Pré'!C69</f>
        <v>0</v>
      </c>
      <c r="D70" s="459">
        <f>'Oport-Pré'!D69</f>
        <v>0</v>
      </c>
      <c r="E70" s="418"/>
      <c r="F70" s="129">
        <f>'Resposta-Oport'!J72</f>
        <v>0</v>
      </c>
      <c r="G70" s="132">
        <f>'Resposta-Oport'!K72</f>
        <v>0</v>
      </c>
      <c r="H70" s="133">
        <f t="shared" si="1"/>
        <v>0</v>
      </c>
      <c r="I70" s="133">
        <f t="shared" si="3"/>
        <v>0</v>
      </c>
      <c r="J70" s="260" t="str">
        <f>'Oport-Pré'!Q69</f>
        <v/>
      </c>
    </row>
    <row r="71" spans="1:10" ht="13">
      <c r="A71" s="126">
        <f>'Oport-Pré'!A70</f>
        <v>63</v>
      </c>
      <c r="B71" s="271">
        <f>'Oport-Pré'!B70</f>
        <v>0</v>
      </c>
      <c r="C71" s="128">
        <f>'Oport-Pré'!C70</f>
        <v>0</v>
      </c>
      <c r="D71" s="459">
        <f>'Oport-Pré'!D70</f>
        <v>0</v>
      </c>
      <c r="E71" s="418"/>
      <c r="F71" s="129">
        <f>'Resposta-Oport'!J73</f>
        <v>0</v>
      </c>
      <c r="G71" s="132">
        <f>'Resposta-Oport'!K73</f>
        <v>0</v>
      </c>
      <c r="H71" s="133">
        <f t="shared" si="1"/>
        <v>0</v>
      </c>
      <c r="I71" s="133">
        <f t="shared" si="3"/>
        <v>0</v>
      </c>
      <c r="J71" s="260" t="str">
        <f>'Oport-Pré'!Q70</f>
        <v/>
      </c>
    </row>
    <row r="72" spans="1:10" ht="13">
      <c r="A72" s="126">
        <f>'Oport-Pré'!A71</f>
        <v>64</v>
      </c>
      <c r="B72" s="271">
        <f>'Oport-Pré'!B71</f>
        <v>0</v>
      </c>
      <c r="C72" s="128">
        <f>'Oport-Pré'!C71</f>
        <v>0</v>
      </c>
      <c r="D72" s="459">
        <f>'Oport-Pré'!D71</f>
        <v>0</v>
      </c>
      <c r="E72" s="418"/>
      <c r="F72" s="129">
        <f>'Resposta-Oport'!J74</f>
        <v>0</v>
      </c>
      <c r="G72" s="132">
        <f>'Resposta-Oport'!K74</f>
        <v>0</v>
      </c>
      <c r="H72" s="133">
        <f t="shared" si="1"/>
        <v>0</v>
      </c>
      <c r="I72" s="133">
        <f t="shared" si="3"/>
        <v>0</v>
      </c>
      <c r="J72" s="260" t="str">
        <f>'Oport-Pré'!Q71</f>
        <v/>
      </c>
    </row>
    <row r="73" spans="1:10" ht="13">
      <c r="A73" s="126">
        <f>'Oport-Pré'!A72</f>
        <v>65</v>
      </c>
      <c r="B73" s="271">
        <f>'Oport-Pré'!B72</f>
        <v>0</v>
      </c>
      <c r="C73" s="128">
        <f>'Oport-Pré'!C72</f>
        <v>0</v>
      </c>
      <c r="D73" s="459">
        <f>'Oport-Pré'!D72</f>
        <v>0</v>
      </c>
      <c r="E73" s="418"/>
      <c r="F73" s="129">
        <f>'Resposta-Oport'!J75</f>
        <v>0</v>
      </c>
      <c r="G73" s="132">
        <f>'Resposta-Oport'!K75</f>
        <v>0</v>
      </c>
      <c r="H73" s="133">
        <f t="shared" si="1"/>
        <v>0</v>
      </c>
      <c r="I73" s="133">
        <f t="shared" si="3"/>
        <v>0</v>
      </c>
      <c r="J73" s="260" t="str">
        <f>'Oport-Pré'!Q72</f>
        <v/>
      </c>
    </row>
    <row r="74" spans="1:10" ht="13">
      <c r="A74" s="126">
        <f>'Oport-Pré'!A73</f>
        <v>66</v>
      </c>
      <c r="B74" s="271">
        <f>'Oport-Pré'!B73</f>
        <v>0</v>
      </c>
      <c r="C74" s="128">
        <f>'Oport-Pré'!C73</f>
        <v>0</v>
      </c>
      <c r="D74" s="459">
        <f>'Oport-Pré'!D73</f>
        <v>0</v>
      </c>
      <c r="E74" s="418"/>
      <c r="F74" s="129">
        <f>'Resposta-Oport'!J76</f>
        <v>0</v>
      </c>
      <c r="G74" s="132">
        <f>'Resposta-Oport'!K76</f>
        <v>0</v>
      </c>
      <c r="H74" s="133">
        <f t="shared" ref="H74:H137" si="4">G74</f>
        <v>0</v>
      </c>
      <c r="I74" s="133">
        <f t="shared" si="3"/>
        <v>0</v>
      </c>
      <c r="J74" s="260" t="str">
        <f>'Oport-Pré'!Q73</f>
        <v/>
      </c>
    </row>
    <row r="75" spans="1:10" ht="13">
      <c r="A75" s="126">
        <f>'Oport-Pré'!A74</f>
        <v>67</v>
      </c>
      <c r="B75" s="271">
        <f>'Oport-Pré'!B74</f>
        <v>0</v>
      </c>
      <c r="C75" s="128">
        <f>'Oport-Pré'!C74</f>
        <v>0</v>
      </c>
      <c r="D75" s="459">
        <f>'Oport-Pré'!D74</f>
        <v>0</v>
      </c>
      <c r="E75" s="418"/>
      <c r="F75" s="129">
        <f>'Resposta-Oport'!J77</f>
        <v>0</v>
      </c>
      <c r="G75" s="132">
        <f>'Resposta-Oport'!K77</f>
        <v>0</v>
      </c>
      <c r="H75" s="133">
        <f t="shared" si="4"/>
        <v>0</v>
      </c>
      <c r="I75" s="133">
        <f t="shared" si="3"/>
        <v>0</v>
      </c>
      <c r="J75" s="260" t="str">
        <f>'Oport-Pré'!Q74</f>
        <v/>
      </c>
    </row>
    <row r="76" spans="1:10" ht="13">
      <c r="A76" s="126">
        <f>'Oport-Pré'!A75</f>
        <v>68</v>
      </c>
      <c r="B76" s="271">
        <f>'Oport-Pré'!B75</f>
        <v>0</v>
      </c>
      <c r="C76" s="128">
        <f>'Oport-Pré'!C75</f>
        <v>0</v>
      </c>
      <c r="D76" s="459">
        <f>'Oport-Pré'!D75</f>
        <v>0</v>
      </c>
      <c r="E76" s="418"/>
      <c r="F76" s="129">
        <f>'Resposta-Oport'!J78</f>
        <v>0</v>
      </c>
      <c r="G76" s="132">
        <f>'Resposta-Oport'!K78</f>
        <v>0</v>
      </c>
      <c r="H76" s="133">
        <f t="shared" si="4"/>
        <v>0</v>
      </c>
      <c r="I76" s="133">
        <f t="shared" si="3"/>
        <v>0</v>
      </c>
      <c r="J76" s="260" t="str">
        <f>'Oport-Pré'!Q75</f>
        <v/>
      </c>
    </row>
    <row r="77" spans="1:10" ht="13">
      <c r="A77" s="126">
        <f>'Oport-Pré'!A76</f>
        <v>69</v>
      </c>
      <c r="B77" s="271">
        <f>'Oport-Pré'!B76</f>
        <v>0</v>
      </c>
      <c r="C77" s="128">
        <f>'Oport-Pré'!C76</f>
        <v>0</v>
      </c>
      <c r="D77" s="459">
        <f>'Oport-Pré'!D76</f>
        <v>0</v>
      </c>
      <c r="E77" s="418"/>
      <c r="F77" s="129">
        <f>'Resposta-Oport'!J79</f>
        <v>0</v>
      </c>
      <c r="G77" s="132">
        <f>'Resposta-Oport'!K79</f>
        <v>0</v>
      </c>
      <c r="H77" s="133">
        <f t="shared" si="4"/>
        <v>0</v>
      </c>
      <c r="I77" s="133">
        <f t="shared" si="3"/>
        <v>0</v>
      </c>
      <c r="J77" s="260" t="str">
        <f>'Oport-Pré'!Q76</f>
        <v/>
      </c>
    </row>
    <row r="78" spans="1:10" ht="13">
      <c r="A78" s="126">
        <f>'Oport-Pré'!A77</f>
        <v>70</v>
      </c>
      <c r="B78" s="271">
        <f>'Oport-Pré'!B77</f>
        <v>0</v>
      </c>
      <c r="C78" s="128">
        <f>'Oport-Pré'!C77</f>
        <v>0</v>
      </c>
      <c r="D78" s="459">
        <f>'Oport-Pré'!D77</f>
        <v>0</v>
      </c>
      <c r="E78" s="418"/>
      <c r="F78" s="129">
        <f>'Resposta-Oport'!J80</f>
        <v>0</v>
      </c>
      <c r="G78" s="132">
        <f>'Resposta-Oport'!K80</f>
        <v>0</v>
      </c>
      <c r="H78" s="133">
        <f t="shared" si="4"/>
        <v>0</v>
      </c>
      <c r="I78" s="133">
        <f t="shared" si="3"/>
        <v>0</v>
      </c>
      <c r="J78" s="260" t="str">
        <f>'Oport-Pré'!Q77</f>
        <v/>
      </c>
    </row>
    <row r="79" spans="1:10" ht="13">
      <c r="A79" s="126">
        <f>'Oport-Pré'!A78</f>
        <v>71</v>
      </c>
      <c r="B79" s="271">
        <f>'Oport-Pré'!B78</f>
        <v>0</v>
      </c>
      <c r="C79" s="128">
        <f>'Oport-Pré'!C78</f>
        <v>0</v>
      </c>
      <c r="D79" s="459">
        <f>'Oport-Pré'!D78</f>
        <v>0</v>
      </c>
      <c r="E79" s="418"/>
      <c r="F79" s="129">
        <f>'Resposta-Oport'!J81</f>
        <v>0</v>
      </c>
      <c r="G79" s="132">
        <f>'Resposta-Oport'!K81</f>
        <v>0</v>
      </c>
      <c r="H79" s="133">
        <f t="shared" si="4"/>
        <v>0</v>
      </c>
      <c r="I79" s="133">
        <f t="shared" si="3"/>
        <v>0</v>
      </c>
      <c r="J79" s="260" t="str">
        <f>'Oport-Pré'!Q78</f>
        <v/>
      </c>
    </row>
    <row r="80" spans="1:10" ht="13">
      <c r="A80" s="126">
        <f>'Oport-Pré'!A79</f>
        <v>72</v>
      </c>
      <c r="B80" s="271">
        <f>'Oport-Pré'!B79</f>
        <v>0</v>
      </c>
      <c r="C80" s="128">
        <f>'Oport-Pré'!C79</f>
        <v>0</v>
      </c>
      <c r="D80" s="459">
        <f>'Oport-Pré'!D79</f>
        <v>0</v>
      </c>
      <c r="E80" s="418"/>
      <c r="F80" s="129">
        <f>'Resposta-Oport'!J82</f>
        <v>0</v>
      </c>
      <c r="G80" s="132">
        <f>'Resposta-Oport'!K82</f>
        <v>0</v>
      </c>
      <c r="H80" s="133">
        <f t="shared" si="4"/>
        <v>0</v>
      </c>
      <c r="I80" s="133">
        <f t="shared" si="3"/>
        <v>0</v>
      </c>
      <c r="J80" s="260" t="str">
        <f>'Oport-Pré'!Q79</f>
        <v/>
      </c>
    </row>
    <row r="81" spans="1:10" ht="13">
      <c r="A81" s="126">
        <f>'Oport-Pré'!A80</f>
        <v>73</v>
      </c>
      <c r="B81" s="271">
        <f>'Oport-Pré'!B80</f>
        <v>0</v>
      </c>
      <c r="C81" s="128">
        <f>'Oport-Pré'!C80</f>
        <v>0</v>
      </c>
      <c r="D81" s="459">
        <f>'Oport-Pré'!D80</f>
        <v>0</v>
      </c>
      <c r="E81" s="418"/>
      <c r="F81" s="129">
        <f>'Resposta-Oport'!J83</f>
        <v>0</v>
      </c>
      <c r="G81" s="132">
        <f>'Resposta-Oport'!K83</f>
        <v>0</v>
      </c>
      <c r="H81" s="133">
        <f t="shared" si="4"/>
        <v>0</v>
      </c>
      <c r="I81" s="133">
        <f t="shared" si="3"/>
        <v>0</v>
      </c>
      <c r="J81" s="260" t="str">
        <f>'Oport-Pré'!Q80</f>
        <v/>
      </c>
    </row>
    <row r="82" spans="1:10" ht="13">
      <c r="A82" s="126">
        <f>'Oport-Pré'!A81</f>
        <v>74</v>
      </c>
      <c r="B82" s="271">
        <f>'Oport-Pré'!B81</f>
        <v>0</v>
      </c>
      <c r="C82" s="128">
        <f>'Oport-Pré'!C81</f>
        <v>0</v>
      </c>
      <c r="D82" s="459">
        <f>'Oport-Pré'!D81</f>
        <v>0</v>
      </c>
      <c r="E82" s="418"/>
      <c r="F82" s="129">
        <f>'Resposta-Oport'!J84</f>
        <v>0</v>
      </c>
      <c r="G82" s="132">
        <f>'Resposta-Oport'!K84</f>
        <v>0</v>
      </c>
      <c r="H82" s="133">
        <f t="shared" si="4"/>
        <v>0</v>
      </c>
      <c r="I82" s="133">
        <f t="shared" si="3"/>
        <v>0</v>
      </c>
      <c r="J82" s="260" t="str">
        <f>'Oport-Pré'!Q81</f>
        <v/>
      </c>
    </row>
    <row r="83" spans="1:10" ht="13">
      <c r="A83" s="126">
        <f>'Oport-Pré'!A82</f>
        <v>75</v>
      </c>
      <c r="B83" s="271">
        <f>'Oport-Pré'!B82</f>
        <v>0</v>
      </c>
      <c r="C83" s="128">
        <f>'Oport-Pré'!C82</f>
        <v>0</v>
      </c>
      <c r="D83" s="459">
        <f>'Oport-Pré'!D82</f>
        <v>0</v>
      </c>
      <c r="E83" s="418"/>
      <c r="F83" s="129">
        <f>'Resposta-Oport'!J85</f>
        <v>0</v>
      </c>
      <c r="G83" s="132">
        <f>'Resposta-Oport'!K85</f>
        <v>0</v>
      </c>
      <c r="H83" s="133">
        <f t="shared" si="4"/>
        <v>0</v>
      </c>
      <c r="I83" s="133">
        <f t="shared" si="3"/>
        <v>0</v>
      </c>
      <c r="J83" s="260" t="str">
        <f>'Oport-Pré'!Q82</f>
        <v/>
      </c>
    </row>
    <row r="84" spans="1:10" ht="13">
      <c r="A84" s="126">
        <f>'Oport-Pré'!A83</f>
        <v>76</v>
      </c>
      <c r="B84" s="271">
        <f>'Oport-Pré'!B83</f>
        <v>0</v>
      </c>
      <c r="C84" s="128">
        <f>'Oport-Pré'!C83</f>
        <v>0</v>
      </c>
      <c r="D84" s="459">
        <f>'Oport-Pré'!D83</f>
        <v>0</v>
      </c>
      <c r="E84" s="418"/>
      <c r="F84" s="129">
        <f>'Resposta-Oport'!J86</f>
        <v>0</v>
      </c>
      <c r="G84" s="132">
        <f>'Resposta-Oport'!K86</f>
        <v>0</v>
      </c>
      <c r="H84" s="133">
        <f t="shared" si="4"/>
        <v>0</v>
      </c>
      <c r="I84" s="133">
        <f t="shared" si="3"/>
        <v>0</v>
      </c>
      <c r="J84" s="260" t="str">
        <f>'Oport-Pré'!Q83</f>
        <v/>
      </c>
    </row>
    <row r="85" spans="1:10" ht="13">
      <c r="A85" s="126">
        <f>'Oport-Pré'!A84</f>
        <v>77</v>
      </c>
      <c r="B85" s="271">
        <f>'Oport-Pré'!B84</f>
        <v>0</v>
      </c>
      <c r="C85" s="128">
        <f>'Oport-Pré'!C84</f>
        <v>0</v>
      </c>
      <c r="D85" s="459">
        <f>'Oport-Pré'!D84</f>
        <v>0</v>
      </c>
      <c r="E85" s="418"/>
      <c r="F85" s="129">
        <f>'Resposta-Oport'!J87</f>
        <v>0</v>
      </c>
      <c r="G85" s="132">
        <f>'Resposta-Oport'!K87</f>
        <v>0</v>
      </c>
      <c r="H85" s="133">
        <f t="shared" si="4"/>
        <v>0</v>
      </c>
      <c r="I85" s="133">
        <f t="shared" si="3"/>
        <v>0</v>
      </c>
      <c r="J85" s="260" t="str">
        <f>'Oport-Pré'!Q84</f>
        <v/>
      </c>
    </row>
    <row r="86" spans="1:10" ht="13">
      <c r="A86" s="126">
        <f>'Oport-Pré'!A85</f>
        <v>78</v>
      </c>
      <c r="B86" s="271">
        <f>'Oport-Pré'!B85</f>
        <v>0</v>
      </c>
      <c r="C86" s="128">
        <f>'Oport-Pré'!C85</f>
        <v>0</v>
      </c>
      <c r="D86" s="459">
        <f>'Oport-Pré'!D85</f>
        <v>0</v>
      </c>
      <c r="E86" s="418"/>
      <c r="F86" s="129">
        <f>'Resposta-Oport'!J88</f>
        <v>0</v>
      </c>
      <c r="G86" s="132">
        <f>'Resposta-Oport'!K88</f>
        <v>0</v>
      </c>
      <c r="H86" s="133">
        <f t="shared" si="4"/>
        <v>0</v>
      </c>
      <c r="I86" s="133">
        <f t="shared" si="3"/>
        <v>0</v>
      </c>
      <c r="J86" s="260" t="str">
        <f>'Oport-Pré'!Q85</f>
        <v/>
      </c>
    </row>
    <row r="87" spans="1:10" ht="13">
      <c r="A87" s="126">
        <f>'Oport-Pré'!A86</f>
        <v>79</v>
      </c>
      <c r="B87" s="271">
        <f>'Oport-Pré'!B86</f>
        <v>0</v>
      </c>
      <c r="C87" s="128">
        <f>'Oport-Pré'!C86</f>
        <v>0</v>
      </c>
      <c r="D87" s="459">
        <f>'Oport-Pré'!D86</f>
        <v>0</v>
      </c>
      <c r="E87" s="418"/>
      <c r="F87" s="129">
        <f>'Resposta-Oport'!J89</f>
        <v>0</v>
      </c>
      <c r="G87" s="132">
        <f>'Resposta-Oport'!K89</f>
        <v>0</v>
      </c>
      <c r="H87" s="133">
        <f t="shared" si="4"/>
        <v>0</v>
      </c>
      <c r="I87" s="133">
        <f t="shared" si="3"/>
        <v>0</v>
      </c>
      <c r="J87" s="260" t="str">
        <f>'Oport-Pré'!Q86</f>
        <v/>
      </c>
    </row>
    <row r="88" spans="1:10" ht="13">
      <c r="A88" s="126">
        <f>'Oport-Pré'!A87</f>
        <v>80</v>
      </c>
      <c r="B88" s="271">
        <f>'Oport-Pré'!B87</f>
        <v>0</v>
      </c>
      <c r="C88" s="128">
        <f>'Oport-Pré'!C87</f>
        <v>0</v>
      </c>
      <c r="D88" s="459">
        <f>'Oport-Pré'!D87</f>
        <v>0</v>
      </c>
      <c r="E88" s="418"/>
      <c r="F88" s="129">
        <f>'Resposta-Oport'!J90</f>
        <v>0</v>
      </c>
      <c r="G88" s="132">
        <f>'Resposta-Oport'!K90</f>
        <v>0</v>
      </c>
      <c r="H88" s="133">
        <f t="shared" si="4"/>
        <v>0</v>
      </c>
      <c r="I88" s="133">
        <f t="shared" si="3"/>
        <v>0</v>
      </c>
      <c r="J88" s="260" t="str">
        <f>'Oport-Pré'!Q87</f>
        <v/>
      </c>
    </row>
    <row r="89" spans="1:10" ht="13">
      <c r="A89" s="126">
        <f>'Oport-Pré'!A88</f>
        <v>81</v>
      </c>
      <c r="B89" s="271">
        <f>'Oport-Pré'!B88</f>
        <v>0</v>
      </c>
      <c r="C89" s="128">
        <f>'Oport-Pré'!C88</f>
        <v>0</v>
      </c>
      <c r="D89" s="459">
        <f>'Oport-Pré'!D88</f>
        <v>0</v>
      </c>
      <c r="E89" s="418"/>
      <c r="F89" s="129">
        <f>'Resposta-Oport'!J91</f>
        <v>0</v>
      </c>
      <c r="G89" s="132">
        <f>'Resposta-Oport'!K91</f>
        <v>0</v>
      </c>
      <c r="H89" s="133">
        <f t="shared" si="4"/>
        <v>0</v>
      </c>
      <c r="I89" s="133">
        <f t="shared" si="3"/>
        <v>0</v>
      </c>
      <c r="J89" s="260" t="str">
        <f>'Oport-Pré'!Q88</f>
        <v/>
      </c>
    </row>
    <row r="90" spans="1:10" ht="13">
      <c r="A90" s="126">
        <f>'Oport-Pré'!A89</f>
        <v>82</v>
      </c>
      <c r="B90" s="271">
        <f>'Oport-Pré'!B89</f>
        <v>0</v>
      </c>
      <c r="C90" s="128">
        <f>'Oport-Pré'!C89</f>
        <v>0</v>
      </c>
      <c r="D90" s="459">
        <f>'Oport-Pré'!D89</f>
        <v>0</v>
      </c>
      <c r="E90" s="418"/>
      <c r="F90" s="129">
        <f>'Resposta-Oport'!J92</f>
        <v>0</v>
      </c>
      <c r="G90" s="132">
        <f>'Resposta-Oport'!K92</f>
        <v>0</v>
      </c>
      <c r="H90" s="133">
        <f t="shared" si="4"/>
        <v>0</v>
      </c>
      <c r="I90" s="133">
        <f t="shared" si="3"/>
        <v>0</v>
      </c>
      <c r="J90" s="260" t="str">
        <f>'Oport-Pré'!Q89</f>
        <v/>
      </c>
    </row>
    <row r="91" spans="1:10" ht="13">
      <c r="A91" s="126">
        <f>'Oport-Pré'!A90</f>
        <v>83</v>
      </c>
      <c r="B91" s="271">
        <f>'Oport-Pré'!B90</f>
        <v>0</v>
      </c>
      <c r="C91" s="128">
        <f>'Oport-Pré'!C90</f>
        <v>0</v>
      </c>
      <c r="D91" s="459">
        <f>'Oport-Pré'!D90</f>
        <v>0</v>
      </c>
      <c r="E91" s="418"/>
      <c r="F91" s="129">
        <f>'Resposta-Oport'!J93</f>
        <v>0</v>
      </c>
      <c r="G91" s="132">
        <f>'Resposta-Oport'!K93</f>
        <v>0</v>
      </c>
      <c r="H91" s="133">
        <f t="shared" si="4"/>
        <v>0</v>
      </c>
      <c r="I91" s="133">
        <f t="shared" si="3"/>
        <v>0</v>
      </c>
      <c r="J91" s="260" t="str">
        <f>'Oport-Pré'!Q90</f>
        <v/>
      </c>
    </row>
    <row r="92" spans="1:10" ht="13">
      <c r="A92" s="126">
        <f>'Oport-Pré'!A91</f>
        <v>84</v>
      </c>
      <c r="B92" s="271">
        <f>'Oport-Pré'!B91</f>
        <v>0</v>
      </c>
      <c r="C92" s="128">
        <f>'Oport-Pré'!C91</f>
        <v>0</v>
      </c>
      <c r="D92" s="459">
        <f>'Oport-Pré'!D91</f>
        <v>0</v>
      </c>
      <c r="E92" s="418"/>
      <c r="F92" s="129">
        <f>'Resposta-Oport'!J94</f>
        <v>0</v>
      </c>
      <c r="G92" s="132">
        <f>'Resposta-Oport'!K94</f>
        <v>0</v>
      </c>
      <c r="H92" s="133">
        <f t="shared" si="4"/>
        <v>0</v>
      </c>
      <c r="I92" s="133">
        <f t="shared" si="3"/>
        <v>0</v>
      </c>
      <c r="J92" s="260" t="str">
        <f>'Oport-Pré'!Q91</f>
        <v/>
      </c>
    </row>
    <row r="93" spans="1:10" ht="13">
      <c r="A93" s="126">
        <f>'Oport-Pré'!A92</f>
        <v>85</v>
      </c>
      <c r="B93" s="271">
        <f>'Oport-Pré'!B92</f>
        <v>0</v>
      </c>
      <c r="C93" s="128">
        <f>'Oport-Pré'!C92</f>
        <v>0</v>
      </c>
      <c r="D93" s="459">
        <f>'Oport-Pré'!D92</f>
        <v>0</v>
      </c>
      <c r="E93" s="418"/>
      <c r="F93" s="129">
        <f>'Resposta-Oport'!J95</f>
        <v>0</v>
      </c>
      <c r="G93" s="132">
        <f>'Resposta-Oport'!K95</f>
        <v>0</v>
      </c>
      <c r="H93" s="133">
        <f t="shared" si="4"/>
        <v>0</v>
      </c>
      <c r="I93" s="133">
        <f t="shared" si="3"/>
        <v>0</v>
      </c>
      <c r="J93" s="260" t="str">
        <f>'Oport-Pré'!Q92</f>
        <v/>
      </c>
    </row>
    <row r="94" spans="1:10" ht="13">
      <c r="A94" s="126">
        <f>'Oport-Pré'!A93</f>
        <v>86</v>
      </c>
      <c r="B94" s="271">
        <f>'Oport-Pré'!B93</f>
        <v>0</v>
      </c>
      <c r="C94" s="128">
        <f>'Oport-Pré'!C93</f>
        <v>0</v>
      </c>
      <c r="D94" s="459">
        <f>'Oport-Pré'!D93</f>
        <v>0</v>
      </c>
      <c r="E94" s="418"/>
      <c r="F94" s="129">
        <f>'Resposta-Oport'!J96</f>
        <v>0</v>
      </c>
      <c r="G94" s="132">
        <f>'Resposta-Oport'!K96</f>
        <v>0</v>
      </c>
      <c r="H94" s="133">
        <f t="shared" si="4"/>
        <v>0</v>
      </c>
      <c r="I94" s="133">
        <f t="shared" si="3"/>
        <v>0</v>
      </c>
      <c r="J94" s="260" t="str">
        <f>'Oport-Pré'!Q93</f>
        <v/>
      </c>
    </row>
    <row r="95" spans="1:10" ht="13">
      <c r="A95" s="126">
        <f>'Oport-Pré'!A94</f>
        <v>87</v>
      </c>
      <c r="B95" s="271">
        <f>'Oport-Pré'!B94</f>
        <v>0</v>
      </c>
      <c r="C95" s="128">
        <f>'Oport-Pré'!C94</f>
        <v>0</v>
      </c>
      <c r="D95" s="459">
        <f>'Oport-Pré'!D94</f>
        <v>0</v>
      </c>
      <c r="E95" s="418"/>
      <c r="F95" s="129">
        <f>'Resposta-Oport'!J97</f>
        <v>0</v>
      </c>
      <c r="G95" s="132">
        <f>'Resposta-Oport'!K97</f>
        <v>0</v>
      </c>
      <c r="H95" s="133">
        <f t="shared" si="4"/>
        <v>0</v>
      </c>
      <c r="I95" s="133">
        <f t="shared" si="3"/>
        <v>0</v>
      </c>
      <c r="J95" s="260" t="str">
        <f>'Oport-Pré'!Q94</f>
        <v/>
      </c>
    </row>
    <row r="96" spans="1:10" ht="13">
      <c r="A96" s="126">
        <f>'Oport-Pré'!A95</f>
        <v>88</v>
      </c>
      <c r="B96" s="271">
        <f>'Oport-Pré'!B95</f>
        <v>0</v>
      </c>
      <c r="C96" s="128">
        <f>'Oport-Pré'!C95</f>
        <v>0</v>
      </c>
      <c r="D96" s="459">
        <f>'Oport-Pré'!D95</f>
        <v>0</v>
      </c>
      <c r="E96" s="418"/>
      <c r="F96" s="129">
        <f>'Resposta-Oport'!J98</f>
        <v>0</v>
      </c>
      <c r="G96" s="132">
        <f>'Resposta-Oport'!K98</f>
        <v>0</v>
      </c>
      <c r="H96" s="133">
        <f t="shared" si="4"/>
        <v>0</v>
      </c>
      <c r="I96" s="133">
        <f t="shared" si="3"/>
        <v>0</v>
      </c>
      <c r="J96" s="260" t="str">
        <f>'Oport-Pré'!Q95</f>
        <v/>
      </c>
    </row>
    <row r="97" spans="1:10" ht="13">
      <c r="A97" s="126">
        <f>'Oport-Pré'!A96</f>
        <v>89</v>
      </c>
      <c r="B97" s="271">
        <f>'Oport-Pré'!B96</f>
        <v>0</v>
      </c>
      <c r="C97" s="128">
        <f>'Oport-Pré'!C96</f>
        <v>0</v>
      </c>
      <c r="D97" s="459">
        <f>'Oport-Pré'!D96</f>
        <v>0</v>
      </c>
      <c r="E97" s="418"/>
      <c r="F97" s="129">
        <f>'Resposta-Oport'!J99</f>
        <v>0</v>
      </c>
      <c r="G97" s="132">
        <f>'Resposta-Oport'!K99</f>
        <v>0</v>
      </c>
      <c r="H97" s="133">
        <f t="shared" si="4"/>
        <v>0</v>
      </c>
      <c r="I97" s="133">
        <f t="shared" si="3"/>
        <v>0</v>
      </c>
      <c r="J97" s="260" t="str">
        <f>'Oport-Pré'!Q96</f>
        <v/>
      </c>
    </row>
    <row r="98" spans="1:10" ht="13">
      <c r="A98" s="126">
        <f>'Oport-Pré'!A97</f>
        <v>90</v>
      </c>
      <c r="B98" s="271">
        <f>'Oport-Pré'!B97</f>
        <v>0</v>
      </c>
      <c r="C98" s="128">
        <f>'Oport-Pré'!C97</f>
        <v>0</v>
      </c>
      <c r="D98" s="459">
        <f>'Oport-Pré'!D97</f>
        <v>0</v>
      </c>
      <c r="E98" s="418"/>
      <c r="F98" s="129">
        <f>'Resposta-Oport'!J100</f>
        <v>0</v>
      </c>
      <c r="G98" s="132">
        <f>'Resposta-Oport'!K100</f>
        <v>0</v>
      </c>
      <c r="H98" s="133">
        <f t="shared" si="4"/>
        <v>0</v>
      </c>
      <c r="I98" s="133">
        <f t="shared" si="3"/>
        <v>0</v>
      </c>
      <c r="J98" s="260" t="str">
        <f>'Oport-Pré'!Q97</f>
        <v/>
      </c>
    </row>
    <row r="99" spans="1:10" ht="13">
      <c r="A99" s="126">
        <f>'Oport-Pré'!A98</f>
        <v>91</v>
      </c>
      <c r="B99" s="271">
        <f>'Oport-Pré'!B98</f>
        <v>0</v>
      </c>
      <c r="C99" s="128">
        <f>'Oport-Pré'!C98</f>
        <v>0</v>
      </c>
      <c r="D99" s="459">
        <f>'Oport-Pré'!D98</f>
        <v>0</v>
      </c>
      <c r="E99" s="418"/>
      <c r="F99" s="129">
        <f>'Resposta-Oport'!J101</f>
        <v>0</v>
      </c>
      <c r="G99" s="132">
        <f>'Resposta-Oport'!K101</f>
        <v>0</v>
      </c>
      <c r="H99" s="133">
        <f t="shared" si="4"/>
        <v>0</v>
      </c>
      <c r="I99" s="133">
        <f t="shared" si="3"/>
        <v>0</v>
      </c>
      <c r="J99" s="260" t="str">
        <f>'Oport-Pré'!Q98</f>
        <v/>
      </c>
    </row>
    <row r="100" spans="1:10" ht="13">
      <c r="A100" s="126">
        <f>'Oport-Pré'!A99</f>
        <v>92</v>
      </c>
      <c r="B100" s="271">
        <f>'Oport-Pré'!B99</f>
        <v>0</v>
      </c>
      <c r="C100" s="128">
        <f>'Oport-Pré'!C99</f>
        <v>0</v>
      </c>
      <c r="D100" s="459">
        <f>'Oport-Pré'!D99</f>
        <v>0</v>
      </c>
      <c r="E100" s="418"/>
      <c r="F100" s="129">
        <f>'Resposta-Oport'!J102</f>
        <v>0</v>
      </c>
      <c r="G100" s="132">
        <f>'Resposta-Oport'!K102</f>
        <v>0</v>
      </c>
      <c r="H100" s="133">
        <f t="shared" si="4"/>
        <v>0</v>
      </c>
      <c r="I100" s="133">
        <f t="shared" si="3"/>
        <v>0</v>
      </c>
      <c r="J100" s="260" t="str">
        <f>'Oport-Pré'!Q99</f>
        <v/>
      </c>
    </row>
    <row r="101" spans="1:10" ht="13">
      <c r="A101" s="126">
        <f>'Oport-Pré'!A100</f>
        <v>93</v>
      </c>
      <c r="B101" s="271">
        <f>'Oport-Pré'!B100</f>
        <v>0</v>
      </c>
      <c r="C101" s="128">
        <f>'Oport-Pré'!C100</f>
        <v>0</v>
      </c>
      <c r="D101" s="459">
        <f>'Oport-Pré'!D100</f>
        <v>0</v>
      </c>
      <c r="E101" s="418"/>
      <c r="F101" s="129">
        <f>'Resposta-Oport'!J103</f>
        <v>0</v>
      </c>
      <c r="G101" s="132">
        <f>'Resposta-Oport'!K103</f>
        <v>0</v>
      </c>
      <c r="H101" s="133">
        <f t="shared" si="4"/>
        <v>0</v>
      </c>
      <c r="I101" s="133">
        <f t="shared" si="3"/>
        <v>0</v>
      </c>
      <c r="J101" s="260" t="str">
        <f>'Oport-Pré'!Q100</f>
        <v/>
      </c>
    </row>
    <row r="102" spans="1:10" ht="13">
      <c r="A102" s="126">
        <f>'Oport-Pré'!A101</f>
        <v>94</v>
      </c>
      <c r="B102" s="271">
        <f>'Oport-Pré'!B101</f>
        <v>0</v>
      </c>
      <c r="C102" s="128">
        <f>'Oport-Pré'!C101</f>
        <v>0</v>
      </c>
      <c r="D102" s="459">
        <f>'Oport-Pré'!D101</f>
        <v>0</v>
      </c>
      <c r="E102" s="418"/>
      <c r="F102" s="129">
        <f>'Resposta-Oport'!J104</f>
        <v>0</v>
      </c>
      <c r="G102" s="132">
        <f>'Resposta-Oport'!K104</f>
        <v>0</v>
      </c>
      <c r="H102" s="133">
        <f t="shared" si="4"/>
        <v>0</v>
      </c>
      <c r="I102" s="133">
        <f t="shared" si="3"/>
        <v>0</v>
      </c>
      <c r="J102" s="260" t="str">
        <f>'Oport-Pré'!Q101</f>
        <v/>
      </c>
    </row>
    <row r="103" spans="1:10" ht="13">
      <c r="A103" s="126">
        <f>'Oport-Pré'!A102</f>
        <v>95</v>
      </c>
      <c r="B103" s="271">
        <f>'Oport-Pré'!B102</f>
        <v>0</v>
      </c>
      <c r="C103" s="128">
        <f>'Oport-Pré'!C102</f>
        <v>0</v>
      </c>
      <c r="D103" s="459">
        <f>'Oport-Pré'!D102</f>
        <v>0</v>
      </c>
      <c r="E103" s="418"/>
      <c r="F103" s="129">
        <f>'Resposta-Oport'!J105</f>
        <v>0</v>
      </c>
      <c r="G103" s="132">
        <f>'Resposta-Oport'!K105</f>
        <v>0</v>
      </c>
      <c r="H103" s="133">
        <f t="shared" si="4"/>
        <v>0</v>
      </c>
      <c r="I103" s="133">
        <f t="shared" si="3"/>
        <v>0</v>
      </c>
      <c r="J103" s="260" t="str">
        <f>'Oport-Pré'!Q102</f>
        <v/>
      </c>
    </row>
    <row r="104" spans="1:10" ht="13">
      <c r="A104" s="126">
        <f>'Oport-Pré'!A103</f>
        <v>96</v>
      </c>
      <c r="B104" s="271">
        <f>'Oport-Pré'!B103</f>
        <v>0</v>
      </c>
      <c r="C104" s="128">
        <f>'Oport-Pré'!C103</f>
        <v>0</v>
      </c>
      <c r="D104" s="459">
        <f>'Oport-Pré'!D103</f>
        <v>0</v>
      </c>
      <c r="E104" s="418"/>
      <c r="F104" s="129">
        <f>'Resposta-Oport'!J106</f>
        <v>0</v>
      </c>
      <c r="G104" s="132">
        <f>'Resposta-Oport'!K106</f>
        <v>0</v>
      </c>
      <c r="H104" s="133">
        <f t="shared" si="4"/>
        <v>0</v>
      </c>
      <c r="I104" s="133">
        <f t="shared" si="3"/>
        <v>0</v>
      </c>
      <c r="J104" s="260" t="str">
        <f>'Oport-Pré'!Q103</f>
        <v/>
      </c>
    </row>
    <row r="105" spans="1:10" ht="13">
      <c r="A105" s="126">
        <f>'Oport-Pré'!A104</f>
        <v>97</v>
      </c>
      <c r="B105" s="271">
        <f>'Oport-Pré'!B104</f>
        <v>0</v>
      </c>
      <c r="C105" s="128">
        <f>'Oport-Pré'!C104</f>
        <v>0</v>
      </c>
      <c r="D105" s="459">
        <f>'Oport-Pré'!D104</f>
        <v>0</v>
      </c>
      <c r="E105" s="418"/>
      <c r="F105" s="129">
        <f>'Resposta-Oport'!J107</f>
        <v>0</v>
      </c>
      <c r="G105" s="132">
        <f>'Resposta-Oport'!K107</f>
        <v>0</v>
      </c>
      <c r="H105" s="133">
        <f t="shared" si="4"/>
        <v>0</v>
      </c>
      <c r="I105" s="133">
        <f t="shared" si="3"/>
        <v>0</v>
      </c>
      <c r="J105" s="260" t="str">
        <f>'Oport-Pré'!Q104</f>
        <v/>
      </c>
    </row>
    <row r="106" spans="1:10" ht="13">
      <c r="A106" s="126">
        <f>'Oport-Pré'!A105</f>
        <v>98</v>
      </c>
      <c r="B106" s="271">
        <f>'Oport-Pré'!B105</f>
        <v>0</v>
      </c>
      <c r="C106" s="128">
        <f>'Oport-Pré'!C105</f>
        <v>0</v>
      </c>
      <c r="D106" s="459">
        <f>'Oport-Pré'!D105</f>
        <v>0</v>
      </c>
      <c r="E106" s="418"/>
      <c r="F106" s="129">
        <f>'Resposta-Oport'!J108</f>
        <v>0</v>
      </c>
      <c r="G106" s="132">
        <f>'Resposta-Oport'!K108</f>
        <v>0</v>
      </c>
      <c r="H106" s="133">
        <f t="shared" si="4"/>
        <v>0</v>
      </c>
      <c r="I106" s="133">
        <f t="shared" si="3"/>
        <v>0</v>
      </c>
      <c r="J106" s="260" t="str">
        <f>'Oport-Pré'!Q105</f>
        <v/>
      </c>
    </row>
    <row r="107" spans="1:10" ht="13">
      <c r="A107" s="126">
        <f>'Oport-Pré'!A106</f>
        <v>99</v>
      </c>
      <c r="B107" s="271">
        <f>'Oport-Pré'!B106</f>
        <v>0</v>
      </c>
      <c r="C107" s="128">
        <f>'Oport-Pré'!C106</f>
        <v>0</v>
      </c>
      <c r="D107" s="459">
        <f>'Oport-Pré'!D106</f>
        <v>0</v>
      </c>
      <c r="E107" s="418"/>
      <c r="F107" s="129">
        <f>'Resposta-Oport'!J109</f>
        <v>0</v>
      </c>
      <c r="G107" s="132">
        <f>'Resposta-Oport'!K109</f>
        <v>0</v>
      </c>
      <c r="H107" s="133">
        <f t="shared" si="4"/>
        <v>0</v>
      </c>
      <c r="I107" s="133">
        <f t="shared" si="3"/>
        <v>0</v>
      </c>
      <c r="J107" s="260" t="str">
        <f>'Oport-Pré'!Q106</f>
        <v/>
      </c>
    </row>
    <row r="108" spans="1:10" ht="13">
      <c r="A108" s="126">
        <f>'Oport-Pré'!A107</f>
        <v>100</v>
      </c>
      <c r="B108" s="271">
        <f>'Oport-Pré'!B107</f>
        <v>0</v>
      </c>
      <c r="C108" s="128">
        <f>'Oport-Pré'!C107</f>
        <v>0</v>
      </c>
      <c r="D108" s="459">
        <f>'Oport-Pré'!D107</f>
        <v>0</v>
      </c>
      <c r="E108" s="418"/>
      <c r="F108" s="129">
        <f>'Resposta-Oport'!J110</f>
        <v>0</v>
      </c>
      <c r="G108" s="132">
        <f>'Resposta-Oport'!K110</f>
        <v>0</v>
      </c>
      <c r="H108" s="133">
        <f t="shared" si="4"/>
        <v>0</v>
      </c>
      <c r="I108" s="133">
        <f t="shared" si="3"/>
        <v>0</v>
      </c>
      <c r="J108" s="260" t="str">
        <f>'Oport-Pré'!Q107</f>
        <v/>
      </c>
    </row>
    <row r="109" spans="1:10" ht="13">
      <c r="A109" s="126">
        <f>'Oport-Pré'!A108</f>
        <v>101</v>
      </c>
      <c r="B109" s="271">
        <f>'Oport-Pré'!B108</f>
        <v>0</v>
      </c>
      <c r="C109" s="128">
        <f>'Oport-Pré'!C108</f>
        <v>0</v>
      </c>
      <c r="D109" s="459">
        <f>'Oport-Pré'!D108</f>
        <v>0</v>
      </c>
      <c r="E109" s="418"/>
      <c r="F109" s="129">
        <f>'Resposta-Oport'!J111</f>
        <v>0</v>
      </c>
      <c r="G109" s="132">
        <f>'Resposta-Oport'!K111</f>
        <v>0</v>
      </c>
      <c r="H109" s="133">
        <f t="shared" si="4"/>
        <v>0</v>
      </c>
      <c r="I109" s="133">
        <f t="shared" si="3"/>
        <v>0</v>
      </c>
      <c r="J109" s="260" t="str">
        <f>'Oport-Pré'!Q108</f>
        <v/>
      </c>
    </row>
    <row r="110" spans="1:10" ht="13">
      <c r="A110" s="126">
        <f>'Oport-Pré'!A109</f>
        <v>102</v>
      </c>
      <c r="B110" s="271">
        <f>'Oport-Pré'!B109</f>
        <v>0</v>
      </c>
      <c r="C110" s="128">
        <f>'Oport-Pré'!C109</f>
        <v>0</v>
      </c>
      <c r="D110" s="459">
        <f>'Oport-Pré'!D109</f>
        <v>0</v>
      </c>
      <c r="E110" s="418"/>
      <c r="F110" s="129">
        <f>'Resposta-Oport'!J112</f>
        <v>0</v>
      </c>
      <c r="G110" s="132">
        <f>'Resposta-Oport'!K112</f>
        <v>0</v>
      </c>
      <c r="H110" s="133">
        <f t="shared" si="4"/>
        <v>0</v>
      </c>
      <c r="I110" s="133">
        <f t="shared" si="3"/>
        <v>0</v>
      </c>
      <c r="J110" s="260" t="str">
        <f>'Oport-Pré'!Q109</f>
        <v/>
      </c>
    </row>
    <row r="111" spans="1:10" ht="13">
      <c r="A111" s="126">
        <f>'Oport-Pré'!A110</f>
        <v>103</v>
      </c>
      <c r="B111" s="271">
        <f>'Oport-Pré'!B110</f>
        <v>0</v>
      </c>
      <c r="C111" s="128">
        <f>'Oport-Pré'!C110</f>
        <v>0</v>
      </c>
      <c r="D111" s="459">
        <f>'Oport-Pré'!D110</f>
        <v>0</v>
      </c>
      <c r="E111" s="418"/>
      <c r="F111" s="129">
        <f>'Resposta-Oport'!J113</f>
        <v>0</v>
      </c>
      <c r="G111" s="132">
        <f>'Resposta-Oport'!K113</f>
        <v>0</v>
      </c>
      <c r="H111" s="133">
        <f t="shared" si="4"/>
        <v>0</v>
      </c>
      <c r="I111" s="133">
        <f t="shared" si="3"/>
        <v>0</v>
      </c>
      <c r="J111" s="260" t="str">
        <f>'Oport-Pré'!Q110</f>
        <v/>
      </c>
    </row>
    <row r="112" spans="1:10" ht="13">
      <c r="A112" s="126">
        <f>'Oport-Pré'!A111</f>
        <v>104</v>
      </c>
      <c r="B112" s="271">
        <f>'Oport-Pré'!B111</f>
        <v>0</v>
      </c>
      <c r="C112" s="128">
        <f>'Oport-Pré'!C111</f>
        <v>0</v>
      </c>
      <c r="D112" s="459">
        <f>'Oport-Pré'!D111</f>
        <v>0</v>
      </c>
      <c r="E112" s="418"/>
      <c r="F112" s="129">
        <f>'Resposta-Oport'!J114</f>
        <v>0</v>
      </c>
      <c r="G112" s="132">
        <f>'Resposta-Oport'!K114</f>
        <v>0</v>
      </c>
      <c r="H112" s="133">
        <f t="shared" si="4"/>
        <v>0</v>
      </c>
      <c r="I112" s="133">
        <f t="shared" si="3"/>
        <v>0</v>
      </c>
      <c r="J112" s="260" t="str">
        <f>'Oport-Pré'!Q111</f>
        <v/>
      </c>
    </row>
    <row r="113" spans="1:10" ht="13">
      <c r="A113" s="126">
        <f>'Oport-Pré'!A112</f>
        <v>105</v>
      </c>
      <c r="B113" s="271">
        <f>'Oport-Pré'!B112</f>
        <v>0</v>
      </c>
      <c r="C113" s="128">
        <f>'Oport-Pré'!C112</f>
        <v>0</v>
      </c>
      <c r="D113" s="459">
        <f>'Oport-Pré'!D112</f>
        <v>0</v>
      </c>
      <c r="E113" s="418"/>
      <c r="F113" s="129">
        <f>'Resposta-Oport'!J115</f>
        <v>0</v>
      </c>
      <c r="G113" s="132">
        <f>'Resposta-Oport'!K115</f>
        <v>0</v>
      </c>
      <c r="H113" s="133">
        <f t="shared" si="4"/>
        <v>0</v>
      </c>
      <c r="I113" s="133">
        <f t="shared" si="3"/>
        <v>0</v>
      </c>
      <c r="J113" s="260" t="str">
        <f>'Oport-Pré'!Q112</f>
        <v/>
      </c>
    </row>
    <row r="114" spans="1:10" ht="13">
      <c r="A114" s="126">
        <f>'Oport-Pré'!A113</f>
        <v>106</v>
      </c>
      <c r="B114" s="271">
        <f>'Oport-Pré'!B113</f>
        <v>0</v>
      </c>
      <c r="C114" s="128">
        <f>'Oport-Pré'!C113</f>
        <v>0</v>
      </c>
      <c r="D114" s="459">
        <f>'Oport-Pré'!D113</f>
        <v>0</v>
      </c>
      <c r="E114" s="418"/>
      <c r="F114" s="129">
        <f>'Resposta-Oport'!J116</f>
        <v>0</v>
      </c>
      <c r="G114" s="132">
        <f>'Resposta-Oport'!K116</f>
        <v>0</v>
      </c>
      <c r="H114" s="133">
        <f t="shared" si="4"/>
        <v>0</v>
      </c>
      <c r="I114" s="133">
        <f t="shared" si="3"/>
        <v>0</v>
      </c>
      <c r="J114" s="260" t="str">
        <f>'Oport-Pré'!Q113</f>
        <v/>
      </c>
    </row>
    <row r="115" spans="1:10" ht="13">
      <c r="A115" s="126">
        <f>'Oport-Pré'!A114</f>
        <v>107</v>
      </c>
      <c r="B115" s="271">
        <f>'Oport-Pré'!B114</f>
        <v>0</v>
      </c>
      <c r="C115" s="128">
        <f>'Oport-Pré'!C114</f>
        <v>0</v>
      </c>
      <c r="D115" s="459">
        <f>'Oport-Pré'!D114</f>
        <v>0</v>
      </c>
      <c r="E115" s="418"/>
      <c r="F115" s="129">
        <f>'Resposta-Oport'!J117</f>
        <v>0</v>
      </c>
      <c r="G115" s="132">
        <f>'Resposta-Oport'!K117</f>
        <v>0</v>
      </c>
      <c r="H115" s="133">
        <f t="shared" si="4"/>
        <v>0</v>
      </c>
      <c r="I115" s="133">
        <f t="shared" si="3"/>
        <v>0</v>
      </c>
      <c r="J115" s="260" t="str">
        <f>'Oport-Pré'!Q114</f>
        <v/>
      </c>
    </row>
    <row r="116" spans="1:10" ht="13">
      <c r="A116" s="126">
        <f>'Oport-Pré'!A115</f>
        <v>108</v>
      </c>
      <c r="B116" s="271">
        <f>'Oport-Pré'!B115</f>
        <v>0</v>
      </c>
      <c r="C116" s="128">
        <f>'Oport-Pré'!C115</f>
        <v>0</v>
      </c>
      <c r="D116" s="459">
        <f>'Oport-Pré'!D115</f>
        <v>0</v>
      </c>
      <c r="E116" s="418"/>
      <c r="F116" s="129">
        <f>'Resposta-Oport'!J118</f>
        <v>0</v>
      </c>
      <c r="G116" s="132">
        <f>'Resposta-Oport'!K118</f>
        <v>0</v>
      </c>
      <c r="H116" s="133">
        <f t="shared" si="4"/>
        <v>0</v>
      </c>
      <c r="I116" s="133">
        <f t="shared" si="3"/>
        <v>0</v>
      </c>
      <c r="J116" s="260" t="str">
        <f>'Oport-Pré'!Q115</f>
        <v/>
      </c>
    </row>
    <row r="117" spans="1:10" ht="13">
      <c r="A117" s="126">
        <f>'Oport-Pré'!A116</f>
        <v>109</v>
      </c>
      <c r="B117" s="271">
        <f>'Oport-Pré'!B116</f>
        <v>0</v>
      </c>
      <c r="C117" s="128">
        <f>'Oport-Pré'!C116</f>
        <v>0</v>
      </c>
      <c r="D117" s="459">
        <f>'Oport-Pré'!D116</f>
        <v>0</v>
      </c>
      <c r="E117" s="418"/>
      <c r="F117" s="129">
        <f>'Resposta-Oport'!J119</f>
        <v>0</v>
      </c>
      <c r="G117" s="132">
        <f>'Resposta-Oport'!K119</f>
        <v>0</v>
      </c>
      <c r="H117" s="133">
        <f t="shared" si="4"/>
        <v>0</v>
      </c>
      <c r="I117" s="133">
        <f t="shared" si="3"/>
        <v>0</v>
      </c>
      <c r="J117" s="260" t="str">
        <f>'Oport-Pré'!Q116</f>
        <v/>
      </c>
    </row>
    <row r="118" spans="1:10" ht="13">
      <c r="A118" s="126">
        <f>'Oport-Pré'!A117</f>
        <v>110</v>
      </c>
      <c r="B118" s="271">
        <f>'Oport-Pré'!B117</f>
        <v>0</v>
      </c>
      <c r="C118" s="128">
        <f>'Oport-Pré'!C117</f>
        <v>0</v>
      </c>
      <c r="D118" s="459">
        <f>'Oport-Pré'!D117</f>
        <v>0</v>
      </c>
      <c r="E118" s="418"/>
      <c r="F118" s="129">
        <f>'Resposta-Oport'!J120</f>
        <v>0</v>
      </c>
      <c r="G118" s="132">
        <f>'Resposta-Oport'!K120</f>
        <v>0</v>
      </c>
      <c r="H118" s="133">
        <f t="shared" si="4"/>
        <v>0</v>
      </c>
      <c r="I118" s="133">
        <f t="shared" si="3"/>
        <v>0</v>
      </c>
      <c r="J118" s="260" t="str">
        <f>'Oport-Pré'!Q117</f>
        <v/>
      </c>
    </row>
    <row r="119" spans="1:10" ht="13">
      <c r="A119" s="126">
        <f>'Oport-Pré'!A118</f>
        <v>111</v>
      </c>
      <c r="B119" s="271">
        <f>'Oport-Pré'!B118</f>
        <v>0</v>
      </c>
      <c r="C119" s="128">
        <f>'Oport-Pré'!C118</f>
        <v>0</v>
      </c>
      <c r="D119" s="459">
        <f>'Oport-Pré'!D118</f>
        <v>0</v>
      </c>
      <c r="E119" s="418"/>
      <c r="F119" s="129">
        <f>'Resposta-Oport'!J121</f>
        <v>0</v>
      </c>
      <c r="G119" s="132">
        <f>'Resposta-Oport'!K121</f>
        <v>0</v>
      </c>
      <c r="H119" s="133">
        <f t="shared" si="4"/>
        <v>0</v>
      </c>
      <c r="I119" s="133">
        <f t="shared" ref="I119:I182" si="5">F119*H119</f>
        <v>0</v>
      </c>
      <c r="J119" s="260" t="str">
        <f>'Oport-Pré'!Q118</f>
        <v/>
      </c>
    </row>
    <row r="120" spans="1:10" ht="13">
      <c r="A120" s="126">
        <f>'Oport-Pré'!A119</f>
        <v>112</v>
      </c>
      <c r="B120" s="271">
        <f>'Oport-Pré'!B119</f>
        <v>0</v>
      </c>
      <c r="C120" s="128">
        <f>'Oport-Pré'!C119</f>
        <v>0</v>
      </c>
      <c r="D120" s="459">
        <f>'Oport-Pré'!D119</f>
        <v>0</v>
      </c>
      <c r="E120" s="418"/>
      <c r="F120" s="129">
        <f>'Resposta-Oport'!J122</f>
        <v>0</v>
      </c>
      <c r="G120" s="132">
        <f>'Resposta-Oport'!K122</f>
        <v>0</v>
      </c>
      <c r="H120" s="133">
        <f t="shared" si="4"/>
        <v>0</v>
      </c>
      <c r="I120" s="133">
        <f t="shared" si="5"/>
        <v>0</v>
      </c>
      <c r="J120" s="260" t="str">
        <f>'Oport-Pré'!Q119</f>
        <v/>
      </c>
    </row>
    <row r="121" spans="1:10" ht="13">
      <c r="A121" s="126">
        <f>'Oport-Pré'!A120</f>
        <v>113</v>
      </c>
      <c r="B121" s="271">
        <f>'Oport-Pré'!B120</f>
        <v>0</v>
      </c>
      <c r="C121" s="128">
        <f>'Oport-Pré'!C120</f>
        <v>0</v>
      </c>
      <c r="D121" s="459">
        <f>'Oport-Pré'!D120</f>
        <v>0</v>
      </c>
      <c r="E121" s="418"/>
      <c r="F121" s="129">
        <f>'Resposta-Oport'!J123</f>
        <v>0</v>
      </c>
      <c r="G121" s="132">
        <f>'Resposta-Oport'!K123</f>
        <v>0</v>
      </c>
      <c r="H121" s="133">
        <f t="shared" si="4"/>
        <v>0</v>
      </c>
      <c r="I121" s="133">
        <f t="shared" si="5"/>
        <v>0</v>
      </c>
      <c r="J121" s="260" t="str">
        <f>'Oport-Pré'!Q120</f>
        <v/>
      </c>
    </row>
    <row r="122" spans="1:10" ht="13">
      <c r="A122" s="126">
        <f>'Oport-Pré'!A121</f>
        <v>114</v>
      </c>
      <c r="B122" s="271">
        <f>'Oport-Pré'!B121</f>
        <v>0</v>
      </c>
      <c r="C122" s="128">
        <f>'Oport-Pré'!C121</f>
        <v>0</v>
      </c>
      <c r="D122" s="459">
        <f>'Oport-Pré'!D121</f>
        <v>0</v>
      </c>
      <c r="E122" s="418"/>
      <c r="F122" s="129">
        <f>'Resposta-Oport'!J124</f>
        <v>0</v>
      </c>
      <c r="G122" s="132">
        <f>'Resposta-Oport'!K124</f>
        <v>0</v>
      </c>
      <c r="H122" s="133">
        <f t="shared" si="4"/>
        <v>0</v>
      </c>
      <c r="I122" s="133">
        <f t="shared" si="5"/>
        <v>0</v>
      </c>
      <c r="J122" s="260" t="str">
        <f>'Oport-Pré'!Q121</f>
        <v/>
      </c>
    </row>
    <row r="123" spans="1:10" ht="13">
      <c r="A123" s="126">
        <f>'Oport-Pré'!A122</f>
        <v>115</v>
      </c>
      <c r="B123" s="271">
        <f>'Oport-Pré'!B122</f>
        <v>0</v>
      </c>
      <c r="C123" s="128">
        <f>'Oport-Pré'!C122</f>
        <v>0</v>
      </c>
      <c r="D123" s="459">
        <f>'Oport-Pré'!D122</f>
        <v>0</v>
      </c>
      <c r="E123" s="418"/>
      <c r="F123" s="129">
        <f>'Resposta-Oport'!J125</f>
        <v>0</v>
      </c>
      <c r="G123" s="132">
        <f>'Resposta-Oport'!K125</f>
        <v>0</v>
      </c>
      <c r="H123" s="133">
        <f t="shared" si="4"/>
        <v>0</v>
      </c>
      <c r="I123" s="133">
        <f t="shared" si="5"/>
        <v>0</v>
      </c>
      <c r="J123" s="260" t="str">
        <f>'Oport-Pré'!Q122</f>
        <v/>
      </c>
    </row>
    <row r="124" spans="1:10" ht="13">
      <c r="A124" s="126">
        <f>'Oport-Pré'!A123</f>
        <v>116</v>
      </c>
      <c r="B124" s="271">
        <f>'Oport-Pré'!B123</f>
        <v>0</v>
      </c>
      <c r="C124" s="128">
        <f>'Oport-Pré'!C123</f>
        <v>0</v>
      </c>
      <c r="D124" s="459">
        <f>'Oport-Pré'!D123</f>
        <v>0</v>
      </c>
      <c r="E124" s="418"/>
      <c r="F124" s="129">
        <f>'Resposta-Oport'!J126</f>
        <v>0</v>
      </c>
      <c r="G124" s="132">
        <f>'Resposta-Oport'!K126</f>
        <v>0</v>
      </c>
      <c r="H124" s="133">
        <f t="shared" si="4"/>
        <v>0</v>
      </c>
      <c r="I124" s="133">
        <f t="shared" si="5"/>
        <v>0</v>
      </c>
      <c r="J124" s="260" t="str">
        <f>'Oport-Pré'!Q123</f>
        <v/>
      </c>
    </row>
    <row r="125" spans="1:10" ht="13">
      <c r="A125" s="126">
        <f>'Oport-Pré'!A124</f>
        <v>117</v>
      </c>
      <c r="B125" s="271">
        <f>'Oport-Pré'!B124</f>
        <v>0</v>
      </c>
      <c r="C125" s="128">
        <f>'Oport-Pré'!C124</f>
        <v>0</v>
      </c>
      <c r="D125" s="459">
        <f>'Oport-Pré'!D124</f>
        <v>0</v>
      </c>
      <c r="E125" s="418"/>
      <c r="F125" s="129">
        <f>'Resposta-Oport'!J127</f>
        <v>0</v>
      </c>
      <c r="G125" s="132">
        <f>'Resposta-Oport'!K127</f>
        <v>0</v>
      </c>
      <c r="H125" s="133">
        <f t="shared" si="4"/>
        <v>0</v>
      </c>
      <c r="I125" s="133">
        <f t="shared" si="5"/>
        <v>0</v>
      </c>
      <c r="J125" s="260" t="str">
        <f>'Oport-Pré'!Q124</f>
        <v/>
      </c>
    </row>
    <row r="126" spans="1:10" ht="13">
      <c r="A126" s="126">
        <f>'Oport-Pré'!A125</f>
        <v>118</v>
      </c>
      <c r="B126" s="271">
        <f>'Oport-Pré'!B125</f>
        <v>0</v>
      </c>
      <c r="C126" s="128">
        <f>'Oport-Pré'!C125</f>
        <v>0</v>
      </c>
      <c r="D126" s="459">
        <f>'Oport-Pré'!D125</f>
        <v>0</v>
      </c>
      <c r="E126" s="418"/>
      <c r="F126" s="129">
        <f>'Resposta-Oport'!J128</f>
        <v>0</v>
      </c>
      <c r="G126" s="132">
        <f>'Resposta-Oport'!K128</f>
        <v>0</v>
      </c>
      <c r="H126" s="133">
        <f t="shared" si="4"/>
        <v>0</v>
      </c>
      <c r="I126" s="133">
        <f t="shared" si="5"/>
        <v>0</v>
      </c>
      <c r="J126" s="260" t="str">
        <f>'Oport-Pré'!Q125</f>
        <v/>
      </c>
    </row>
    <row r="127" spans="1:10" ht="13">
      <c r="A127" s="126">
        <f>'Oport-Pré'!A126</f>
        <v>119</v>
      </c>
      <c r="B127" s="271">
        <f>'Oport-Pré'!B126</f>
        <v>0</v>
      </c>
      <c r="C127" s="128">
        <f>'Oport-Pré'!C126</f>
        <v>0</v>
      </c>
      <c r="D127" s="459">
        <f>'Oport-Pré'!D126</f>
        <v>0</v>
      </c>
      <c r="E127" s="418"/>
      <c r="F127" s="129">
        <f>'Resposta-Oport'!J129</f>
        <v>0</v>
      </c>
      <c r="G127" s="132">
        <f>'Resposta-Oport'!K129</f>
        <v>0</v>
      </c>
      <c r="H127" s="133">
        <f t="shared" si="4"/>
        <v>0</v>
      </c>
      <c r="I127" s="133">
        <f t="shared" si="5"/>
        <v>0</v>
      </c>
      <c r="J127" s="260" t="str">
        <f>'Oport-Pré'!Q126</f>
        <v/>
      </c>
    </row>
    <row r="128" spans="1:10" ht="13">
      <c r="A128" s="126">
        <f>'Oport-Pré'!A127</f>
        <v>120</v>
      </c>
      <c r="B128" s="271">
        <f>'Oport-Pré'!B127</f>
        <v>0</v>
      </c>
      <c r="C128" s="128">
        <f>'Oport-Pré'!C127</f>
        <v>0</v>
      </c>
      <c r="D128" s="459">
        <f>'Oport-Pré'!D127</f>
        <v>0</v>
      </c>
      <c r="E128" s="418"/>
      <c r="F128" s="129">
        <f>'Resposta-Oport'!J130</f>
        <v>0</v>
      </c>
      <c r="G128" s="132">
        <f>'Resposta-Oport'!K130</f>
        <v>0</v>
      </c>
      <c r="H128" s="133">
        <f t="shared" si="4"/>
        <v>0</v>
      </c>
      <c r="I128" s="133">
        <f t="shared" si="5"/>
        <v>0</v>
      </c>
      <c r="J128" s="260" t="str">
        <f>'Oport-Pré'!Q127</f>
        <v/>
      </c>
    </row>
    <row r="129" spans="1:10" ht="13">
      <c r="A129" s="126">
        <f>'Oport-Pré'!A128</f>
        <v>121</v>
      </c>
      <c r="B129" s="271">
        <f>'Oport-Pré'!B128</f>
        <v>0</v>
      </c>
      <c r="C129" s="128">
        <f>'Oport-Pré'!C128</f>
        <v>0</v>
      </c>
      <c r="D129" s="459">
        <f>'Oport-Pré'!D128</f>
        <v>0</v>
      </c>
      <c r="E129" s="418"/>
      <c r="F129" s="129">
        <f>'Resposta-Oport'!J131</f>
        <v>0</v>
      </c>
      <c r="G129" s="132">
        <f>'Resposta-Oport'!K131</f>
        <v>0</v>
      </c>
      <c r="H129" s="133">
        <f t="shared" si="4"/>
        <v>0</v>
      </c>
      <c r="I129" s="133">
        <f t="shared" si="5"/>
        <v>0</v>
      </c>
      <c r="J129" s="260" t="str">
        <f>'Oport-Pré'!Q128</f>
        <v/>
      </c>
    </row>
    <row r="130" spans="1:10" ht="13">
      <c r="A130" s="126">
        <f>'Oport-Pré'!A129</f>
        <v>122</v>
      </c>
      <c r="B130" s="271">
        <f>'Oport-Pré'!B129</f>
        <v>0</v>
      </c>
      <c r="C130" s="128">
        <f>'Oport-Pré'!C129</f>
        <v>0</v>
      </c>
      <c r="D130" s="459">
        <f>'Oport-Pré'!D129</f>
        <v>0</v>
      </c>
      <c r="E130" s="418"/>
      <c r="F130" s="129">
        <f>'Resposta-Oport'!J132</f>
        <v>0</v>
      </c>
      <c r="G130" s="132">
        <f>'Resposta-Oport'!K132</f>
        <v>0</v>
      </c>
      <c r="H130" s="133">
        <f t="shared" si="4"/>
        <v>0</v>
      </c>
      <c r="I130" s="133">
        <f t="shared" si="5"/>
        <v>0</v>
      </c>
      <c r="J130" s="260" t="str">
        <f>'Oport-Pré'!Q129</f>
        <v/>
      </c>
    </row>
    <row r="131" spans="1:10" ht="13">
      <c r="A131" s="126">
        <f>'Oport-Pré'!A130</f>
        <v>123</v>
      </c>
      <c r="B131" s="271">
        <f>'Oport-Pré'!B130</f>
        <v>0</v>
      </c>
      <c r="C131" s="128">
        <f>'Oport-Pré'!C130</f>
        <v>0</v>
      </c>
      <c r="D131" s="459">
        <f>'Oport-Pré'!D130</f>
        <v>0</v>
      </c>
      <c r="E131" s="418"/>
      <c r="F131" s="129">
        <f>'Resposta-Oport'!J133</f>
        <v>0</v>
      </c>
      <c r="G131" s="132">
        <f>'Resposta-Oport'!K133</f>
        <v>0</v>
      </c>
      <c r="H131" s="133">
        <f t="shared" si="4"/>
        <v>0</v>
      </c>
      <c r="I131" s="133">
        <f t="shared" si="5"/>
        <v>0</v>
      </c>
      <c r="J131" s="260" t="str">
        <f>'Oport-Pré'!Q130</f>
        <v/>
      </c>
    </row>
    <row r="132" spans="1:10" ht="13">
      <c r="A132" s="126">
        <f>'Oport-Pré'!A131</f>
        <v>124</v>
      </c>
      <c r="B132" s="271">
        <f>'Oport-Pré'!B131</f>
        <v>0</v>
      </c>
      <c r="C132" s="128">
        <f>'Oport-Pré'!C131</f>
        <v>0</v>
      </c>
      <c r="D132" s="459">
        <f>'Oport-Pré'!D131</f>
        <v>0</v>
      </c>
      <c r="E132" s="418"/>
      <c r="F132" s="129">
        <f>'Resposta-Oport'!J134</f>
        <v>0</v>
      </c>
      <c r="G132" s="132">
        <f>'Resposta-Oport'!K134</f>
        <v>0</v>
      </c>
      <c r="H132" s="133">
        <f t="shared" si="4"/>
        <v>0</v>
      </c>
      <c r="I132" s="133">
        <f t="shared" si="5"/>
        <v>0</v>
      </c>
      <c r="J132" s="260" t="str">
        <f>'Oport-Pré'!Q131</f>
        <v/>
      </c>
    </row>
    <row r="133" spans="1:10" ht="13">
      <c r="A133" s="126">
        <f>'Oport-Pré'!A132</f>
        <v>125</v>
      </c>
      <c r="B133" s="271">
        <f>'Oport-Pré'!B132</f>
        <v>0</v>
      </c>
      <c r="C133" s="128">
        <f>'Oport-Pré'!C132</f>
        <v>0</v>
      </c>
      <c r="D133" s="459">
        <f>'Oport-Pré'!D132</f>
        <v>0</v>
      </c>
      <c r="E133" s="418"/>
      <c r="F133" s="129">
        <f>'Resposta-Oport'!J135</f>
        <v>0</v>
      </c>
      <c r="G133" s="132">
        <f>'Resposta-Oport'!K135</f>
        <v>0</v>
      </c>
      <c r="H133" s="133">
        <f t="shared" si="4"/>
        <v>0</v>
      </c>
      <c r="I133" s="133">
        <f t="shared" si="5"/>
        <v>0</v>
      </c>
      <c r="J133" s="260" t="str">
        <f>'Oport-Pré'!Q132</f>
        <v/>
      </c>
    </row>
    <row r="134" spans="1:10" ht="13">
      <c r="A134" s="126">
        <f>'Oport-Pré'!A133</f>
        <v>126</v>
      </c>
      <c r="B134" s="271">
        <f>'Oport-Pré'!B133</f>
        <v>0</v>
      </c>
      <c r="C134" s="128">
        <f>'Oport-Pré'!C133</f>
        <v>0</v>
      </c>
      <c r="D134" s="459">
        <f>'Oport-Pré'!D133</f>
        <v>0</v>
      </c>
      <c r="E134" s="418"/>
      <c r="F134" s="129">
        <f>'Resposta-Oport'!J136</f>
        <v>0</v>
      </c>
      <c r="G134" s="132">
        <f>'Resposta-Oport'!K136</f>
        <v>0</v>
      </c>
      <c r="H134" s="133">
        <f t="shared" si="4"/>
        <v>0</v>
      </c>
      <c r="I134" s="133">
        <f t="shared" si="5"/>
        <v>0</v>
      </c>
      <c r="J134" s="260" t="str">
        <f>'Oport-Pré'!Q133</f>
        <v/>
      </c>
    </row>
    <row r="135" spans="1:10" ht="13">
      <c r="A135" s="126">
        <f>'Oport-Pré'!A134</f>
        <v>127</v>
      </c>
      <c r="B135" s="271">
        <f>'Oport-Pré'!B134</f>
        <v>0</v>
      </c>
      <c r="C135" s="128">
        <f>'Oport-Pré'!C134</f>
        <v>0</v>
      </c>
      <c r="D135" s="459">
        <f>'Oport-Pré'!D134</f>
        <v>0</v>
      </c>
      <c r="E135" s="418"/>
      <c r="F135" s="129">
        <f>'Resposta-Oport'!J137</f>
        <v>0</v>
      </c>
      <c r="G135" s="132">
        <f>'Resposta-Oport'!K137</f>
        <v>0</v>
      </c>
      <c r="H135" s="133">
        <f t="shared" si="4"/>
        <v>0</v>
      </c>
      <c r="I135" s="133">
        <f t="shared" si="5"/>
        <v>0</v>
      </c>
      <c r="J135" s="260" t="str">
        <f>'Oport-Pré'!Q134</f>
        <v/>
      </c>
    </row>
    <row r="136" spans="1:10" ht="13">
      <c r="A136" s="126">
        <f>'Oport-Pré'!A135</f>
        <v>128</v>
      </c>
      <c r="B136" s="271">
        <f>'Oport-Pré'!B135</f>
        <v>0</v>
      </c>
      <c r="C136" s="128">
        <f>'Oport-Pré'!C135</f>
        <v>0</v>
      </c>
      <c r="D136" s="459">
        <f>'Oport-Pré'!D135</f>
        <v>0</v>
      </c>
      <c r="E136" s="418"/>
      <c r="F136" s="129">
        <f>'Resposta-Oport'!J138</f>
        <v>0</v>
      </c>
      <c r="G136" s="132">
        <f>'Resposta-Oport'!K138</f>
        <v>0</v>
      </c>
      <c r="H136" s="133">
        <f t="shared" si="4"/>
        <v>0</v>
      </c>
      <c r="I136" s="133">
        <f t="shared" si="5"/>
        <v>0</v>
      </c>
      <c r="J136" s="260" t="str">
        <f>'Oport-Pré'!Q135</f>
        <v/>
      </c>
    </row>
    <row r="137" spans="1:10" ht="13">
      <c r="A137" s="126">
        <f>'Oport-Pré'!A136</f>
        <v>129</v>
      </c>
      <c r="B137" s="271">
        <f>'Oport-Pré'!B136</f>
        <v>0</v>
      </c>
      <c r="C137" s="128">
        <f>'Oport-Pré'!C136</f>
        <v>0</v>
      </c>
      <c r="D137" s="459">
        <f>'Oport-Pré'!D136</f>
        <v>0</v>
      </c>
      <c r="E137" s="418"/>
      <c r="F137" s="129">
        <f>'Resposta-Oport'!J139</f>
        <v>0</v>
      </c>
      <c r="G137" s="132">
        <f>'Resposta-Oport'!K139</f>
        <v>0</v>
      </c>
      <c r="H137" s="133">
        <f t="shared" si="4"/>
        <v>0</v>
      </c>
      <c r="I137" s="133">
        <f t="shared" si="5"/>
        <v>0</v>
      </c>
      <c r="J137" s="260" t="str">
        <f>'Oport-Pré'!Q136</f>
        <v/>
      </c>
    </row>
    <row r="138" spans="1:10" ht="13">
      <c r="A138" s="126">
        <f>'Oport-Pré'!A137</f>
        <v>130</v>
      </c>
      <c r="B138" s="271">
        <f>'Oport-Pré'!B137</f>
        <v>0</v>
      </c>
      <c r="C138" s="128">
        <f>'Oport-Pré'!C137</f>
        <v>0</v>
      </c>
      <c r="D138" s="459">
        <f>'Oport-Pré'!D137</f>
        <v>0</v>
      </c>
      <c r="E138" s="418"/>
      <c r="F138" s="129">
        <f>'Resposta-Oport'!J140</f>
        <v>0</v>
      </c>
      <c r="G138" s="132">
        <f>'Resposta-Oport'!K140</f>
        <v>0</v>
      </c>
      <c r="H138" s="133">
        <f t="shared" ref="H138:H201" si="6">G138</f>
        <v>0</v>
      </c>
      <c r="I138" s="133">
        <f t="shared" si="5"/>
        <v>0</v>
      </c>
      <c r="J138" s="260" t="str">
        <f>'Oport-Pré'!Q137</f>
        <v/>
      </c>
    </row>
    <row r="139" spans="1:10" ht="13">
      <c r="A139" s="126">
        <f>'Oport-Pré'!A138</f>
        <v>131</v>
      </c>
      <c r="B139" s="271">
        <f>'Oport-Pré'!B138</f>
        <v>0</v>
      </c>
      <c r="C139" s="128">
        <f>'Oport-Pré'!C138</f>
        <v>0</v>
      </c>
      <c r="D139" s="459">
        <f>'Oport-Pré'!D138</f>
        <v>0</v>
      </c>
      <c r="E139" s="418"/>
      <c r="F139" s="129">
        <f>'Resposta-Oport'!J141</f>
        <v>0</v>
      </c>
      <c r="G139" s="132">
        <f>'Resposta-Oport'!K141</f>
        <v>0</v>
      </c>
      <c r="H139" s="133">
        <f t="shared" si="6"/>
        <v>0</v>
      </c>
      <c r="I139" s="133">
        <f t="shared" si="5"/>
        <v>0</v>
      </c>
      <c r="J139" s="260" t="str">
        <f>'Oport-Pré'!Q138</f>
        <v/>
      </c>
    </row>
    <row r="140" spans="1:10" ht="13">
      <c r="A140" s="126">
        <f>'Oport-Pré'!A139</f>
        <v>132</v>
      </c>
      <c r="B140" s="271">
        <f>'Oport-Pré'!B139</f>
        <v>0</v>
      </c>
      <c r="C140" s="128">
        <f>'Oport-Pré'!C139</f>
        <v>0</v>
      </c>
      <c r="D140" s="459">
        <f>'Oport-Pré'!D139</f>
        <v>0</v>
      </c>
      <c r="E140" s="418"/>
      <c r="F140" s="129">
        <f>'Resposta-Oport'!J142</f>
        <v>0</v>
      </c>
      <c r="G140" s="132">
        <f>'Resposta-Oport'!K142</f>
        <v>0</v>
      </c>
      <c r="H140" s="133">
        <f t="shared" si="6"/>
        <v>0</v>
      </c>
      <c r="I140" s="133">
        <f t="shared" si="5"/>
        <v>0</v>
      </c>
      <c r="J140" s="260" t="str">
        <f>'Oport-Pré'!Q139</f>
        <v/>
      </c>
    </row>
    <row r="141" spans="1:10" ht="13">
      <c r="A141" s="126">
        <f>'Oport-Pré'!A140</f>
        <v>133</v>
      </c>
      <c r="B141" s="271">
        <f>'Oport-Pré'!B140</f>
        <v>0</v>
      </c>
      <c r="C141" s="128">
        <f>'Oport-Pré'!C140</f>
        <v>0</v>
      </c>
      <c r="D141" s="459">
        <f>'Oport-Pré'!D140</f>
        <v>0</v>
      </c>
      <c r="E141" s="418"/>
      <c r="F141" s="129">
        <f>'Resposta-Oport'!J143</f>
        <v>0</v>
      </c>
      <c r="G141" s="132">
        <f>'Resposta-Oport'!K143</f>
        <v>0</v>
      </c>
      <c r="H141" s="133">
        <f t="shared" si="6"/>
        <v>0</v>
      </c>
      <c r="I141" s="133">
        <f t="shared" si="5"/>
        <v>0</v>
      </c>
      <c r="J141" s="260" t="str">
        <f>'Oport-Pré'!Q140</f>
        <v/>
      </c>
    </row>
    <row r="142" spans="1:10" ht="13">
      <c r="A142" s="126">
        <f>'Oport-Pré'!A141</f>
        <v>134</v>
      </c>
      <c r="B142" s="271">
        <f>'Oport-Pré'!B141</f>
        <v>0</v>
      </c>
      <c r="C142" s="128">
        <f>'Oport-Pré'!C141</f>
        <v>0</v>
      </c>
      <c r="D142" s="459">
        <f>'Oport-Pré'!D141</f>
        <v>0</v>
      </c>
      <c r="E142" s="418"/>
      <c r="F142" s="129">
        <f>'Resposta-Oport'!J144</f>
        <v>0</v>
      </c>
      <c r="G142" s="132">
        <f>'Resposta-Oport'!K144</f>
        <v>0</v>
      </c>
      <c r="H142" s="133">
        <f t="shared" si="6"/>
        <v>0</v>
      </c>
      <c r="I142" s="133">
        <f t="shared" si="5"/>
        <v>0</v>
      </c>
      <c r="J142" s="260" t="str">
        <f>'Oport-Pré'!Q141</f>
        <v/>
      </c>
    </row>
    <row r="143" spans="1:10" ht="13">
      <c r="A143" s="126">
        <f>'Oport-Pré'!A142</f>
        <v>135</v>
      </c>
      <c r="B143" s="271">
        <f>'Oport-Pré'!B142</f>
        <v>0</v>
      </c>
      <c r="C143" s="128">
        <f>'Oport-Pré'!C142</f>
        <v>0</v>
      </c>
      <c r="D143" s="459">
        <f>'Oport-Pré'!D142</f>
        <v>0</v>
      </c>
      <c r="E143" s="418"/>
      <c r="F143" s="129">
        <f>'Resposta-Oport'!J145</f>
        <v>0</v>
      </c>
      <c r="G143" s="132">
        <f>'Resposta-Oport'!K145</f>
        <v>0</v>
      </c>
      <c r="H143" s="133">
        <f t="shared" si="6"/>
        <v>0</v>
      </c>
      <c r="I143" s="133">
        <f t="shared" si="5"/>
        <v>0</v>
      </c>
      <c r="J143" s="260" t="str">
        <f>'Oport-Pré'!Q142</f>
        <v/>
      </c>
    </row>
    <row r="144" spans="1:10" ht="13">
      <c r="A144" s="126">
        <f>'Oport-Pré'!A143</f>
        <v>136</v>
      </c>
      <c r="B144" s="271">
        <f>'Oport-Pré'!B143</f>
        <v>0</v>
      </c>
      <c r="C144" s="128">
        <f>'Oport-Pré'!C143</f>
        <v>0</v>
      </c>
      <c r="D144" s="459">
        <f>'Oport-Pré'!D143</f>
        <v>0</v>
      </c>
      <c r="E144" s="418"/>
      <c r="F144" s="129">
        <f>'Resposta-Oport'!J146</f>
        <v>0</v>
      </c>
      <c r="G144" s="132">
        <f>'Resposta-Oport'!K146</f>
        <v>0</v>
      </c>
      <c r="H144" s="133">
        <f t="shared" si="6"/>
        <v>0</v>
      </c>
      <c r="I144" s="133">
        <f t="shared" si="5"/>
        <v>0</v>
      </c>
      <c r="J144" s="260" t="str">
        <f>'Oport-Pré'!Q143</f>
        <v/>
      </c>
    </row>
    <row r="145" spans="1:10" ht="13">
      <c r="A145" s="126">
        <f>'Oport-Pré'!A144</f>
        <v>137</v>
      </c>
      <c r="B145" s="271">
        <f>'Oport-Pré'!B144</f>
        <v>0</v>
      </c>
      <c r="C145" s="128">
        <f>'Oport-Pré'!C144</f>
        <v>0</v>
      </c>
      <c r="D145" s="459">
        <f>'Oport-Pré'!D144</f>
        <v>0</v>
      </c>
      <c r="E145" s="418"/>
      <c r="F145" s="129">
        <f>'Resposta-Oport'!J147</f>
        <v>0</v>
      </c>
      <c r="G145" s="132">
        <f>'Resposta-Oport'!K147</f>
        <v>0</v>
      </c>
      <c r="H145" s="133">
        <f t="shared" si="6"/>
        <v>0</v>
      </c>
      <c r="I145" s="133">
        <f t="shared" si="5"/>
        <v>0</v>
      </c>
      <c r="J145" s="260" t="str">
        <f>'Oport-Pré'!Q144</f>
        <v/>
      </c>
    </row>
    <row r="146" spans="1:10" ht="13">
      <c r="A146" s="126">
        <f>'Oport-Pré'!A145</f>
        <v>138</v>
      </c>
      <c r="B146" s="271">
        <f>'Oport-Pré'!B145</f>
        <v>0</v>
      </c>
      <c r="C146" s="128">
        <f>'Oport-Pré'!C145</f>
        <v>0</v>
      </c>
      <c r="D146" s="459">
        <f>'Oport-Pré'!D145</f>
        <v>0</v>
      </c>
      <c r="E146" s="418"/>
      <c r="F146" s="129">
        <f>'Resposta-Oport'!J148</f>
        <v>0</v>
      </c>
      <c r="G146" s="132">
        <f>'Resposta-Oport'!K148</f>
        <v>0</v>
      </c>
      <c r="H146" s="133">
        <f t="shared" si="6"/>
        <v>0</v>
      </c>
      <c r="I146" s="133">
        <f t="shared" si="5"/>
        <v>0</v>
      </c>
      <c r="J146" s="260" t="str">
        <f>'Oport-Pré'!Q145</f>
        <v/>
      </c>
    </row>
    <row r="147" spans="1:10" ht="13">
      <c r="A147" s="126">
        <f>'Oport-Pré'!A146</f>
        <v>139</v>
      </c>
      <c r="B147" s="271">
        <f>'Oport-Pré'!B146</f>
        <v>0</v>
      </c>
      <c r="C147" s="128">
        <f>'Oport-Pré'!C146</f>
        <v>0</v>
      </c>
      <c r="D147" s="459">
        <f>'Oport-Pré'!D146</f>
        <v>0</v>
      </c>
      <c r="E147" s="418"/>
      <c r="F147" s="129">
        <f>'Resposta-Oport'!J149</f>
        <v>0</v>
      </c>
      <c r="G147" s="132">
        <f>'Resposta-Oport'!K149</f>
        <v>0</v>
      </c>
      <c r="H147" s="133">
        <f t="shared" si="6"/>
        <v>0</v>
      </c>
      <c r="I147" s="133">
        <f t="shared" si="5"/>
        <v>0</v>
      </c>
      <c r="J147" s="260" t="str">
        <f>'Oport-Pré'!Q146</f>
        <v/>
      </c>
    </row>
    <row r="148" spans="1:10" ht="13">
      <c r="A148" s="126">
        <f>'Oport-Pré'!A147</f>
        <v>140</v>
      </c>
      <c r="B148" s="271">
        <f>'Oport-Pré'!B147</f>
        <v>0</v>
      </c>
      <c r="C148" s="128">
        <f>'Oport-Pré'!C147</f>
        <v>0</v>
      </c>
      <c r="D148" s="459">
        <f>'Oport-Pré'!D147</f>
        <v>0</v>
      </c>
      <c r="E148" s="418"/>
      <c r="F148" s="129">
        <f>'Resposta-Oport'!J150</f>
        <v>0</v>
      </c>
      <c r="G148" s="132">
        <f>'Resposta-Oport'!K150</f>
        <v>0</v>
      </c>
      <c r="H148" s="133">
        <f t="shared" si="6"/>
        <v>0</v>
      </c>
      <c r="I148" s="133">
        <f t="shared" si="5"/>
        <v>0</v>
      </c>
      <c r="J148" s="260" t="str">
        <f>'Oport-Pré'!Q147</f>
        <v/>
      </c>
    </row>
    <row r="149" spans="1:10" ht="13">
      <c r="A149" s="126">
        <f>'Oport-Pré'!A148</f>
        <v>141</v>
      </c>
      <c r="B149" s="271">
        <f>'Oport-Pré'!B148</f>
        <v>0</v>
      </c>
      <c r="C149" s="128">
        <f>'Oport-Pré'!C148</f>
        <v>0</v>
      </c>
      <c r="D149" s="459">
        <f>'Oport-Pré'!D148</f>
        <v>0</v>
      </c>
      <c r="E149" s="418"/>
      <c r="F149" s="129">
        <f>'Resposta-Oport'!J151</f>
        <v>0</v>
      </c>
      <c r="G149" s="132">
        <f>'Resposta-Oport'!K151</f>
        <v>0</v>
      </c>
      <c r="H149" s="133">
        <f t="shared" si="6"/>
        <v>0</v>
      </c>
      <c r="I149" s="133">
        <f t="shared" si="5"/>
        <v>0</v>
      </c>
      <c r="J149" s="260" t="str">
        <f>'Oport-Pré'!Q148</f>
        <v/>
      </c>
    </row>
    <row r="150" spans="1:10" ht="13">
      <c r="A150" s="126">
        <f>'Oport-Pré'!A149</f>
        <v>142</v>
      </c>
      <c r="B150" s="271">
        <f>'Oport-Pré'!B149</f>
        <v>0</v>
      </c>
      <c r="C150" s="128">
        <f>'Oport-Pré'!C149</f>
        <v>0</v>
      </c>
      <c r="D150" s="459">
        <f>'Oport-Pré'!D149</f>
        <v>0</v>
      </c>
      <c r="E150" s="418"/>
      <c r="F150" s="129">
        <f>'Resposta-Oport'!J152</f>
        <v>0</v>
      </c>
      <c r="G150" s="132">
        <f>'Resposta-Oport'!K152</f>
        <v>0</v>
      </c>
      <c r="H150" s="133">
        <f t="shared" si="6"/>
        <v>0</v>
      </c>
      <c r="I150" s="133">
        <f t="shared" si="5"/>
        <v>0</v>
      </c>
      <c r="J150" s="260" t="str">
        <f>'Oport-Pré'!Q149</f>
        <v/>
      </c>
    </row>
    <row r="151" spans="1:10" ht="13">
      <c r="A151" s="126">
        <f>'Oport-Pré'!A150</f>
        <v>143</v>
      </c>
      <c r="B151" s="271">
        <f>'Oport-Pré'!B150</f>
        <v>0</v>
      </c>
      <c r="C151" s="128">
        <f>'Oport-Pré'!C150</f>
        <v>0</v>
      </c>
      <c r="D151" s="459">
        <f>'Oport-Pré'!D150</f>
        <v>0</v>
      </c>
      <c r="E151" s="418"/>
      <c r="F151" s="129">
        <f>'Resposta-Oport'!J153</f>
        <v>0</v>
      </c>
      <c r="G151" s="132">
        <f>'Resposta-Oport'!K153</f>
        <v>0</v>
      </c>
      <c r="H151" s="133">
        <f t="shared" si="6"/>
        <v>0</v>
      </c>
      <c r="I151" s="133">
        <f t="shared" si="5"/>
        <v>0</v>
      </c>
      <c r="J151" s="260" t="str">
        <f>'Oport-Pré'!Q150</f>
        <v/>
      </c>
    </row>
    <row r="152" spans="1:10" ht="13">
      <c r="A152" s="126">
        <f>'Oport-Pré'!A151</f>
        <v>144</v>
      </c>
      <c r="B152" s="271">
        <f>'Oport-Pré'!B151</f>
        <v>0</v>
      </c>
      <c r="C152" s="128">
        <f>'Oport-Pré'!C151</f>
        <v>0</v>
      </c>
      <c r="D152" s="459">
        <f>'Oport-Pré'!D151</f>
        <v>0</v>
      </c>
      <c r="E152" s="418"/>
      <c r="F152" s="129">
        <f>'Resposta-Oport'!J154</f>
        <v>0</v>
      </c>
      <c r="G152" s="132">
        <f>'Resposta-Oport'!K154</f>
        <v>0</v>
      </c>
      <c r="H152" s="133">
        <f t="shared" si="6"/>
        <v>0</v>
      </c>
      <c r="I152" s="133">
        <f t="shared" si="5"/>
        <v>0</v>
      </c>
      <c r="J152" s="260" t="str">
        <f>'Oport-Pré'!Q151</f>
        <v/>
      </c>
    </row>
    <row r="153" spans="1:10" ht="13">
      <c r="A153" s="126">
        <f>'Oport-Pré'!A152</f>
        <v>145</v>
      </c>
      <c r="B153" s="271">
        <f>'Oport-Pré'!B152</f>
        <v>0</v>
      </c>
      <c r="C153" s="128">
        <f>'Oport-Pré'!C152</f>
        <v>0</v>
      </c>
      <c r="D153" s="459">
        <f>'Oport-Pré'!D152</f>
        <v>0</v>
      </c>
      <c r="E153" s="418"/>
      <c r="F153" s="129">
        <f>'Resposta-Oport'!J155</f>
        <v>0</v>
      </c>
      <c r="G153" s="132">
        <f>'Resposta-Oport'!K155</f>
        <v>0</v>
      </c>
      <c r="H153" s="133">
        <f t="shared" si="6"/>
        <v>0</v>
      </c>
      <c r="I153" s="133">
        <f t="shared" si="5"/>
        <v>0</v>
      </c>
      <c r="J153" s="260" t="str">
        <f>'Oport-Pré'!Q152</f>
        <v/>
      </c>
    </row>
    <row r="154" spans="1:10" ht="13">
      <c r="A154" s="126">
        <f>'Oport-Pré'!A153</f>
        <v>146</v>
      </c>
      <c r="B154" s="271">
        <f>'Oport-Pré'!B153</f>
        <v>0</v>
      </c>
      <c r="C154" s="128">
        <f>'Oport-Pré'!C153</f>
        <v>0</v>
      </c>
      <c r="D154" s="459">
        <f>'Oport-Pré'!D153</f>
        <v>0</v>
      </c>
      <c r="E154" s="418"/>
      <c r="F154" s="129">
        <f>'Resposta-Oport'!J156</f>
        <v>0</v>
      </c>
      <c r="G154" s="132">
        <f>'Resposta-Oport'!K156</f>
        <v>0</v>
      </c>
      <c r="H154" s="133">
        <f t="shared" si="6"/>
        <v>0</v>
      </c>
      <c r="I154" s="133">
        <f t="shared" si="5"/>
        <v>0</v>
      </c>
      <c r="J154" s="260" t="str">
        <f>'Oport-Pré'!Q153</f>
        <v/>
      </c>
    </row>
    <row r="155" spans="1:10" ht="13">
      <c r="A155" s="126">
        <f>'Oport-Pré'!A154</f>
        <v>147</v>
      </c>
      <c r="B155" s="271">
        <f>'Oport-Pré'!B154</f>
        <v>0</v>
      </c>
      <c r="C155" s="128">
        <f>'Oport-Pré'!C154</f>
        <v>0</v>
      </c>
      <c r="D155" s="459">
        <f>'Oport-Pré'!D154</f>
        <v>0</v>
      </c>
      <c r="E155" s="418"/>
      <c r="F155" s="129">
        <f>'Resposta-Oport'!J157</f>
        <v>0</v>
      </c>
      <c r="G155" s="132">
        <f>'Resposta-Oport'!K157</f>
        <v>0</v>
      </c>
      <c r="H155" s="133">
        <f t="shared" si="6"/>
        <v>0</v>
      </c>
      <c r="I155" s="133">
        <f t="shared" si="5"/>
        <v>0</v>
      </c>
      <c r="J155" s="260" t="str">
        <f>'Oport-Pré'!Q154</f>
        <v/>
      </c>
    </row>
    <row r="156" spans="1:10" ht="13">
      <c r="A156" s="126">
        <f>'Oport-Pré'!A155</f>
        <v>148</v>
      </c>
      <c r="B156" s="271">
        <f>'Oport-Pré'!B155</f>
        <v>0</v>
      </c>
      <c r="C156" s="128">
        <f>'Oport-Pré'!C155</f>
        <v>0</v>
      </c>
      <c r="D156" s="459">
        <f>'Oport-Pré'!D155</f>
        <v>0</v>
      </c>
      <c r="E156" s="418"/>
      <c r="F156" s="129">
        <f>'Resposta-Oport'!J158</f>
        <v>0</v>
      </c>
      <c r="G156" s="132">
        <f>'Resposta-Oport'!K158</f>
        <v>0</v>
      </c>
      <c r="H156" s="133">
        <f t="shared" si="6"/>
        <v>0</v>
      </c>
      <c r="I156" s="133">
        <f t="shared" si="5"/>
        <v>0</v>
      </c>
      <c r="J156" s="260" t="str">
        <f>'Oport-Pré'!Q155</f>
        <v/>
      </c>
    </row>
    <row r="157" spans="1:10" ht="13">
      <c r="A157" s="126">
        <f>'Oport-Pré'!A156</f>
        <v>149</v>
      </c>
      <c r="B157" s="271">
        <f>'Oport-Pré'!B156</f>
        <v>0</v>
      </c>
      <c r="C157" s="128">
        <f>'Oport-Pré'!C156</f>
        <v>0</v>
      </c>
      <c r="D157" s="459">
        <f>'Oport-Pré'!D156</f>
        <v>0</v>
      </c>
      <c r="E157" s="418"/>
      <c r="F157" s="129">
        <f>'Resposta-Oport'!J159</f>
        <v>0</v>
      </c>
      <c r="G157" s="132">
        <f>'Resposta-Oport'!K159</f>
        <v>0</v>
      </c>
      <c r="H157" s="133">
        <f t="shared" si="6"/>
        <v>0</v>
      </c>
      <c r="I157" s="133">
        <f t="shared" si="5"/>
        <v>0</v>
      </c>
      <c r="J157" s="260" t="str">
        <f>'Oport-Pré'!Q156</f>
        <v/>
      </c>
    </row>
    <row r="158" spans="1:10" ht="13">
      <c r="A158" s="126">
        <f>'Oport-Pré'!A157</f>
        <v>150</v>
      </c>
      <c r="B158" s="271">
        <f>'Oport-Pré'!B157</f>
        <v>0</v>
      </c>
      <c r="C158" s="128">
        <f>'Oport-Pré'!C157</f>
        <v>0</v>
      </c>
      <c r="D158" s="459">
        <f>'Oport-Pré'!D157</f>
        <v>0</v>
      </c>
      <c r="E158" s="418"/>
      <c r="F158" s="129">
        <f>'Resposta-Oport'!J160</f>
        <v>0</v>
      </c>
      <c r="G158" s="132">
        <f>'Resposta-Oport'!K160</f>
        <v>0</v>
      </c>
      <c r="H158" s="133">
        <f t="shared" si="6"/>
        <v>0</v>
      </c>
      <c r="I158" s="133">
        <f t="shared" si="5"/>
        <v>0</v>
      </c>
      <c r="J158" s="260" t="str">
        <f>'Oport-Pré'!Q157</f>
        <v/>
      </c>
    </row>
    <row r="159" spans="1:10" ht="13">
      <c r="A159" s="126">
        <f>'Oport-Pré'!A158</f>
        <v>151</v>
      </c>
      <c r="B159" s="271">
        <f>'Oport-Pré'!B158</f>
        <v>0</v>
      </c>
      <c r="C159" s="128">
        <f>'Oport-Pré'!C158</f>
        <v>0</v>
      </c>
      <c r="D159" s="459">
        <f>'Oport-Pré'!D158</f>
        <v>0</v>
      </c>
      <c r="E159" s="418"/>
      <c r="F159" s="129">
        <f>'Resposta-Oport'!J161</f>
        <v>0</v>
      </c>
      <c r="G159" s="132">
        <f>'Resposta-Oport'!K161</f>
        <v>0</v>
      </c>
      <c r="H159" s="133">
        <f t="shared" si="6"/>
        <v>0</v>
      </c>
      <c r="I159" s="133">
        <f t="shared" si="5"/>
        <v>0</v>
      </c>
      <c r="J159" s="260" t="str">
        <f>'Oport-Pré'!Q158</f>
        <v/>
      </c>
    </row>
    <row r="160" spans="1:10" ht="13">
      <c r="A160" s="126">
        <f>'Oport-Pré'!A159</f>
        <v>152</v>
      </c>
      <c r="B160" s="271">
        <f>'Oport-Pré'!B159</f>
        <v>0</v>
      </c>
      <c r="C160" s="128">
        <f>'Oport-Pré'!C159</f>
        <v>0</v>
      </c>
      <c r="D160" s="459">
        <f>'Oport-Pré'!D159</f>
        <v>0</v>
      </c>
      <c r="E160" s="418"/>
      <c r="F160" s="129">
        <f>'Resposta-Oport'!J162</f>
        <v>0</v>
      </c>
      <c r="G160" s="132">
        <f>'Resposta-Oport'!K162</f>
        <v>0</v>
      </c>
      <c r="H160" s="133">
        <f t="shared" si="6"/>
        <v>0</v>
      </c>
      <c r="I160" s="133">
        <f t="shared" si="5"/>
        <v>0</v>
      </c>
      <c r="J160" s="260" t="str">
        <f>'Oport-Pré'!Q159</f>
        <v/>
      </c>
    </row>
    <row r="161" spans="1:10" ht="13">
      <c r="A161" s="126">
        <f>'Oport-Pré'!A160</f>
        <v>153</v>
      </c>
      <c r="B161" s="271">
        <f>'Oport-Pré'!B160</f>
        <v>0</v>
      </c>
      <c r="C161" s="128">
        <f>'Oport-Pré'!C160</f>
        <v>0</v>
      </c>
      <c r="D161" s="459">
        <f>'Oport-Pré'!D160</f>
        <v>0</v>
      </c>
      <c r="E161" s="418"/>
      <c r="F161" s="129">
        <f>'Resposta-Oport'!J163</f>
        <v>0</v>
      </c>
      <c r="G161" s="132">
        <f>'Resposta-Oport'!K163</f>
        <v>0</v>
      </c>
      <c r="H161" s="133">
        <f t="shared" si="6"/>
        <v>0</v>
      </c>
      <c r="I161" s="133">
        <f t="shared" si="5"/>
        <v>0</v>
      </c>
      <c r="J161" s="260" t="str">
        <f>'Oport-Pré'!Q160</f>
        <v/>
      </c>
    </row>
    <row r="162" spans="1:10" ht="13">
      <c r="A162" s="126">
        <f>'Oport-Pré'!A161</f>
        <v>154</v>
      </c>
      <c r="B162" s="271">
        <f>'Oport-Pré'!B161</f>
        <v>0</v>
      </c>
      <c r="C162" s="128">
        <f>'Oport-Pré'!C161</f>
        <v>0</v>
      </c>
      <c r="D162" s="459">
        <f>'Oport-Pré'!D161</f>
        <v>0</v>
      </c>
      <c r="E162" s="418"/>
      <c r="F162" s="129">
        <f>'Resposta-Oport'!J164</f>
        <v>0</v>
      </c>
      <c r="G162" s="132">
        <f>'Resposta-Oport'!K164</f>
        <v>0</v>
      </c>
      <c r="H162" s="133">
        <f t="shared" si="6"/>
        <v>0</v>
      </c>
      <c r="I162" s="133">
        <f t="shared" si="5"/>
        <v>0</v>
      </c>
      <c r="J162" s="260" t="str">
        <f>'Oport-Pré'!Q161</f>
        <v/>
      </c>
    </row>
    <row r="163" spans="1:10" ht="13">
      <c r="A163" s="126">
        <f>'Oport-Pré'!A162</f>
        <v>155</v>
      </c>
      <c r="B163" s="271">
        <f>'Oport-Pré'!B162</f>
        <v>0</v>
      </c>
      <c r="C163" s="128">
        <f>'Oport-Pré'!C162</f>
        <v>0</v>
      </c>
      <c r="D163" s="459">
        <f>'Oport-Pré'!D162</f>
        <v>0</v>
      </c>
      <c r="E163" s="418"/>
      <c r="F163" s="129">
        <f>'Resposta-Oport'!J165</f>
        <v>0</v>
      </c>
      <c r="G163" s="132">
        <f>'Resposta-Oport'!K165</f>
        <v>0</v>
      </c>
      <c r="H163" s="133">
        <f t="shared" si="6"/>
        <v>0</v>
      </c>
      <c r="I163" s="133">
        <f t="shared" si="5"/>
        <v>0</v>
      </c>
      <c r="J163" s="260" t="str">
        <f>'Oport-Pré'!Q162</f>
        <v/>
      </c>
    </row>
    <row r="164" spans="1:10" ht="13">
      <c r="A164" s="126">
        <f>'Oport-Pré'!A163</f>
        <v>156</v>
      </c>
      <c r="B164" s="271">
        <f>'Oport-Pré'!B163</f>
        <v>0</v>
      </c>
      <c r="C164" s="128">
        <f>'Oport-Pré'!C163</f>
        <v>0</v>
      </c>
      <c r="D164" s="459">
        <f>'Oport-Pré'!D163</f>
        <v>0</v>
      </c>
      <c r="E164" s="418"/>
      <c r="F164" s="129">
        <f>'Resposta-Oport'!J166</f>
        <v>0</v>
      </c>
      <c r="G164" s="132">
        <f>'Resposta-Oport'!K166</f>
        <v>0</v>
      </c>
      <c r="H164" s="133">
        <f t="shared" si="6"/>
        <v>0</v>
      </c>
      <c r="I164" s="133">
        <f t="shared" si="5"/>
        <v>0</v>
      </c>
      <c r="J164" s="260" t="str">
        <f>'Oport-Pré'!Q163</f>
        <v/>
      </c>
    </row>
    <row r="165" spans="1:10" ht="13">
      <c r="A165" s="126">
        <f>'Oport-Pré'!A164</f>
        <v>157</v>
      </c>
      <c r="B165" s="271">
        <f>'Oport-Pré'!B164</f>
        <v>0</v>
      </c>
      <c r="C165" s="128">
        <f>'Oport-Pré'!C164</f>
        <v>0</v>
      </c>
      <c r="D165" s="459">
        <f>'Oport-Pré'!D164</f>
        <v>0</v>
      </c>
      <c r="E165" s="418"/>
      <c r="F165" s="129">
        <f>'Resposta-Oport'!J167</f>
        <v>0</v>
      </c>
      <c r="G165" s="132">
        <f>'Resposta-Oport'!K167</f>
        <v>0</v>
      </c>
      <c r="H165" s="133">
        <f t="shared" si="6"/>
        <v>0</v>
      </c>
      <c r="I165" s="133">
        <f t="shared" si="5"/>
        <v>0</v>
      </c>
      <c r="J165" s="260" t="str">
        <f>'Oport-Pré'!Q164</f>
        <v/>
      </c>
    </row>
    <row r="166" spans="1:10" ht="13">
      <c r="A166" s="126">
        <f>'Oport-Pré'!A165</f>
        <v>158</v>
      </c>
      <c r="B166" s="271">
        <f>'Oport-Pré'!B165</f>
        <v>0</v>
      </c>
      <c r="C166" s="128">
        <f>'Oport-Pré'!C165</f>
        <v>0</v>
      </c>
      <c r="D166" s="459">
        <f>'Oport-Pré'!D165</f>
        <v>0</v>
      </c>
      <c r="E166" s="418"/>
      <c r="F166" s="129">
        <f>'Resposta-Oport'!J168</f>
        <v>0</v>
      </c>
      <c r="G166" s="132">
        <f>'Resposta-Oport'!K168</f>
        <v>0</v>
      </c>
      <c r="H166" s="133">
        <f t="shared" si="6"/>
        <v>0</v>
      </c>
      <c r="I166" s="133">
        <f t="shared" si="5"/>
        <v>0</v>
      </c>
      <c r="J166" s="260" t="str">
        <f>'Oport-Pré'!Q165</f>
        <v/>
      </c>
    </row>
    <row r="167" spans="1:10" ht="13">
      <c r="A167" s="126">
        <f>'Oport-Pré'!A166</f>
        <v>159</v>
      </c>
      <c r="B167" s="271">
        <f>'Oport-Pré'!B166</f>
        <v>0</v>
      </c>
      <c r="C167" s="128">
        <f>'Oport-Pré'!C166</f>
        <v>0</v>
      </c>
      <c r="D167" s="459">
        <f>'Oport-Pré'!D166</f>
        <v>0</v>
      </c>
      <c r="E167" s="418"/>
      <c r="F167" s="129">
        <f>'Resposta-Oport'!J169</f>
        <v>0</v>
      </c>
      <c r="G167" s="132">
        <f>'Resposta-Oport'!K169</f>
        <v>0</v>
      </c>
      <c r="H167" s="133">
        <f t="shared" si="6"/>
        <v>0</v>
      </c>
      <c r="I167" s="133">
        <f t="shared" si="5"/>
        <v>0</v>
      </c>
      <c r="J167" s="260" t="str">
        <f>'Oport-Pré'!Q166</f>
        <v/>
      </c>
    </row>
    <row r="168" spans="1:10" ht="13">
      <c r="A168" s="126">
        <f>'Oport-Pré'!A167</f>
        <v>160</v>
      </c>
      <c r="B168" s="271">
        <f>'Oport-Pré'!B167</f>
        <v>0</v>
      </c>
      <c r="C168" s="128">
        <f>'Oport-Pré'!C167</f>
        <v>0</v>
      </c>
      <c r="D168" s="459">
        <f>'Oport-Pré'!D167</f>
        <v>0</v>
      </c>
      <c r="E168" s="418"/>
      <c r="F168" s="129">
        <f>'Resposta-Oport'!J170</f>
        <v>0</v>
      </c>
      <c r="G168" s="132">
        <f>'Resposta-Oport'!K170</f>
        <v>0</v>
      </c>
      <c r="H168" s="133">
        <f t="shared" si="6"/>
        <v>0</v>
      </c>
      <c r="I168" s="133">
        <f t="shared" si="5"/>
        <v>0</v>
      </c>
      <c r="J168" s="260" t="str">
        <f>'Oport-Pré'!Q167</f>
        <v/>
      </c>
    </row>
    <row r="169" spans="1:10" ht="13">
      <c r="A169" s="126">
        <f>'Oport-Pré'!A168</f>
        <v>161</v>
      </c>
      <c r="B169" s="271">
        <f>'Oport-Pré'!B168</f>
        <v>0</v>
      </c>
      <c r="C169" s="128">
        <f>'Oport-Pré'!C168</f>
        <v>0</v>
      </c>
      <c r="D169" s="459">
        <f>'Oport-Pré'!D168</f>
        <v>0</v>
      </c>
      <c r="E169" s="418"/>
      <c r="F169" s="129">
        <f>'Resposta-Oport'!J171</f>
        <v>0</v>
      </c>
      <c r="G169" s="132">
        <f>'Resposta-Oport'!K171</f>
        <v>0</v>
      </c>
      <c r="H169" s="133">
        <f t="shared" si="6"/>
        <v>0</v>
      </c>
      <c r="I169" s="133">
        <f t="shared" si="5"/>
        <v>0</v>
      </c>
      <c r="J169" s="260" t="str">
        <f>'Oport-Pré'!Q168</f>
        <v/>
      </c>
    </row>
    <row r="170" spans="1:10" ht="13">
      <c r="A170" s="126">
        <f>'Oport-Pré'!A169</f>
        <v>162</v>
      </c>
      <c r="B170" s="271">
        <f>'Oport-Pré'!B169</f>
        <v>0</v>
      </c>
      <c r="C170" s="128">
        <f>'Oport-Pré'!C169</f>
        <v>0</v>
      </c>
      <c r="D170" s="459">
        <f>'Oport-Pré'!D169</f>
        <v>0</v>
      </c>
      <c r="E170" s="418"/>
      <c r="F170" s="129">
        <f>'Resposta-Oport'!J172</f>
        <v>0</v>
      </c>
      <c r="G170" s="132">
        <f>'Resposta-Oport'!K172</f>
        <v>0</v>
      </c>
      <c r="H170" s="133">
        <f t="shared" si="6"/>
        <v>0</v>
      </c>
      <c r="I170" s="133">
        <f t="shared" si="5"/>
        <v>0</v>
      </c>
      <c r="J170" s="260" t="str">
        <f>'Oport-Pré'!Q169</f>
        <v/>
      </c>
    </row>
    <row r="171" spans="1:10" ht="13">
      <c r="A171" s="126">
        <f>'Oport-Pré'!A170</f>
        <v>163</v>
      </c>
      <c r="B171" s="271">
        <f>'Oport-Pré'!B170</f>
        <v>0</v>
      </c>
      <c r="C171" s="128">
        <f>'Oport-Pré'!C170</f>
        <v>0</v>
      </c>
      <c r="D171" s="459">
        <f>'Oport-Pré'!D170</f>
        <v>0</v>
      </c>
      <c r="E171" s="418"/>
      <c r="F171" s="129">
        <f>'Resposta-Oport'!J173</f>
        <v>0</v>
      </c>
      <c r="G171" s="132">
        <f>'Resposta-Oport'!K173</f>
        <v>0</v>
      </c>
      <c r="H171" s="133">
        <f t="shared" si="6"/>
        <v>0</v>
      </c>
      <c r="I171" s="133">
        <f t="shared" si="5"/>
        <v>0</v>
      </c>
      <c r="J171" s="260" t="str">
        <f>'Oport-Pré'!Q170</f>
        <v/>
      </c>
    </row>
    <row r="172" spans="1:10" ht="13">
      <c r="A172" s="126">
        <f>'Oport-Pré'!A171</f>
        <v>164</v>
      </c>
      <c r="B172" s="271">
        <f>'Oport-Pré'!B171</f>
        <v>0</v>
      </c>
      <c r="C172" s="128">
        <f>'Oport-Pré'!C171</f>
        <v>0</v>
      </c>
      <c r="D172" s="459">
        <f>'Oport-Pré'!D171</f>
        <v>0</v>
      </c>
      <c r="E172" s="418"/>
      <c r="F172" s="129">
        <f>'Resposta-Oport'!J174</f>
        <v>0</v>
      </c>
      <c r="G172" s="132">
        <f>'Resposta-Oport'!K174</f>
        <v>0</v>
      </c>
      <c r="H172" s="133">
        <f t="shared" si="6"/>
        <v>0</v>
      </c>
      <c r="I172" s="133">
        <f t="shared" si="5"/>
        <v>0</v>
      </c>
      <c r="J172" s="260" t="str">
        <f>'Oport-Pré'!Q171</f>
        <v/>
      </c>
    </row>
    <row r="173" spans="1:10" ht="13">
      <c r="A173" s="126">
        <f>'Oport-Pré'!A172</f>
        <v>165</v>
      </c>
      <c r="B173" s="271">
        <f>'Oport-Pré'!B172</f>
        <v>0</v>
      </c>
      <c r="C173" s="128">
        <f>'Oport-Pré'!C172</f>
        <v>0</v>
      </c>
      <c r="D173" s="459">
        <f>'Oport-Pré'!D172</f>
        <v>0</v>
      </c>
      <c r="E173" s="418"/>
      <c r="F173" s="129">
        <f>'Resposta-Oport'!J175</f>
        <v>0</v>
      </c>
      <c r="G173" s="132">
        <f>'Resposta-Oport'!K175</f>
        <v>0</v>
      </c>
      <c r="H173" s="133">
        <f t="shared" si="6"/>
        <v>0</v>
      </c>
      <c r="I173" s="133">
        <f t="shared" si="5"/>
        <v>0</v>
      </c>
      <c r="J173" s="260" t="str">
        <f>'Oport-Pré'!Q172</f>
        <v/>
      </c>
    </row>
    <row r="174" spans="1:10" ht="13">
      <c r="A174" s="126">
        <f>'Oport-Pré'!A173</f>
        <v>166</v>
      </c>
      <c r="B174" s="271">
        <f>'Oport-Pré'!B173</f>
        <v>0</v>
      </c>
      <c r="C174" s="128">
        <f>'Oport-Pré'!C173</f>
        <v>0</v>
      </c>
      <c r="D174" s="459">
        <f>'Oport-Pré'!D173</f>
        <v>0</v>
      </c>
      <c r="E174" s="418"/>
      <c r="F174" s="129">
        <f>'Resposta-Oport'!J176</f>
        <v>0</v>
      </c>
      <c r="G174" s="132">
        <f>'Resposta-Oport'!K176</f>
        <v>0</v>
      </c>
      <c r="H174" s="133">
        <f t="shared" si="6"/>
        <v>0</v>
      </c>
      <c r="I174" s="133">
        <f t="shared" si="5"/>
        <v>0</v>
      </c>
      <c r="J174" s="260" t="str">
        <f>'Oport-Pré'!Q173</f>
        <v/>
      </c>
    </row>
    <row r="175" spans="1:10" ht="13">
      <c r="A175" s="126">
        <f>'Oport-Pré'!A174</f>
        <v>167</v>
      </c>
      <c r="B175" s="271">
        <f>'Oport-Pré'!B174</f>
        <v>0</v>
      </c>
      <c r="C175" s="128">
        <f>'Oport-Pré'!C174</f>
        <v>0</v>
      </c>
      <c r="D175" s="459">
        <f>'Oport-Pré'!D174</f>
        <v>0</v>
      </c>
      <c r="E175" s="418"/>
      <c r="F175" s="129">
        <f>'Resposta-Oport'!J177</f>
        <v>0</v>
      </c>
      <c r="G175" s="132">
        <f>'Resposta-Oport'!K177</f>
        <v>0</v>
      </c>
      <c r="H175" s="133">
        <f t="shared" si="6"/>
        <v>0</v>
      </c>
      <c r="I175" s="133">
        <f t="shared" si="5"/>
        <v>0</v>
      </c>
      <c r="J175" s="260" t="str">
        <f>'Oport-Pré'!Q174</f>
        <v/>
      </c>
    </row>
    <row r="176" spans="1:10" ht="13">
      <c r="A176" s="126">
        <f>'Oport-Pré'!A175</f>
        <v>168</v>
      </c>
      <c r="B176" s="271">
        <f>'Oport-Pré'!B175</f>
        <v>0</v>
      </c>
      <c r="C176" s="128">
        <f>'Oport-Pré'!C175</f>
        <v>0</v>
      </c>
      <c r="D176" s="459">
        <f>'Oport-Pré'!D175</f>
        <v>0</v>
      </c>
      <c r="E176" s="418"/>
      <c r="F176" s="129">
        <f>'Resposta-Oport'!J178</f>
        <v>0</v>
      </c>
      <c r="G176" s="132">
        <f>'Resposta-Oport'!K178</f>
        <v>0</v>
      </c>
      <c r="H176" s="133">
        <f t="shared" si="6"/>
        <v>0</v>
      </c>
      <c r="I176" s="133">
        <f t="shared" si="5"/>
        <v>0</v>
      </c>
      <c r="J176" s="260" t="str">
        <f>'Oport-Pré'!Q175</f>
        <v/>
      </c>
    </row>
    <row r="177" spans="1:10" ht="13">
      <c r="A177" s="126">
        <f>'Oport-Pré'!A176</f>
        <v>169</v>
      </c>
      <c r="B177" s="271">
        <f>'Oport-Pré'!B176</f>
        <v>0</v>
      </c>
      <c r="C177" s="128">
        <f>'Oport-Pré'!C176</f>
        <v>0</v>
      </c>
      <c r="D177" s="459">
        <f>'Oport-Pré'!D176</f>
        <v>0</v>
      </c>
      <c r="E177" s="418"/>
      <c r="F177" s="129">
        <f>'Resposta-Oport'!J179</f>
        <v>0</v>
      </c>
      <c r="G177" s="132">
        <f>'Resposta-Oport'!K179</f>
        <v>0</v>
      </c>
      <c r="H177" s="133">
        <f t="shared" si="6"/>
        <v>0</v>
      </c>
      <c r="I177" s="133">
        <f t="shared" si="5"/>
        <v>0</v>
      </c>
      <c r="J177" s="260" t="str">
        <f>'Oport-Pré'!Q176</f>
        <v/>
      </c>
    </row>
    <row r="178" spans="1:10" ht="13">
      <c r="A178" s="126">
        <f>'Oport-Pré'!A177</f>
        <v>170</v>
      </c>
      <c r="B178" s="271">
        <f>'Oport-Pré'!B177</f>
        <v>0</v>
      </c>
      <c r="C178" s="128">
        <f>'Oport-Pré'!C177</f>
        <v>0</v>
      </c>
      <c r="D178" s="459">
        <f>'Oport-Pré'!D177</f>
        <v>0</v>
      </c>
      <c r="E178" s="418"/>
      <c r="F178" s="129">
        <f>'Resposta-Oport'!J180</f>
        <v>0</v>
      </c>
      <c r="G178" s="132">
        <f>'Resposta-Oport'!K180</f>
        <v>0</v>
      </c>
      <c r="H178" s="133">
        <f t="shared" si="6"/>
        <v>0</v>
      </c>
      <c r="I178" s="133">
        <f t="shared" si="5"/>
        <v>0</v>
      </c>
      <c r="J178" s="260" t="str">
        <f>'Oport-Pré'!Q177</f>
        <v/>
      </c>
    </row>
    <row r="179" spans="1:10" ht="13">
      <c r="A179" s="126">
        <f>'Oport-Pré'!A178</f>
        <v>171</v>
      </c>
      <c r="B179" s="271">
        <f>'Oport-Pré'!B178</f>
        <v>0</v>
      </c>
      <c r="C179" s="128">
        <f>'Oport-Pré'!C178</f>
        <v>0</v>
      </c>
      <c r="D179" s="459">
        <f>'Oport-Pré'!D178</f>
        <v>0</v>
      </c>
      <c r="E179" s="418"/>
      <c r="F179" s="129">
        <f>'Resposta-Oport'!J181</f>
        <v>0</v>
      </c>
      <c r="G179" s="132">
        <f>'Resposta-Oport'!K181</f>
        <v>0</v>
      </c>
      <c r="H179" s="133">
        <f t="shared" si="6"/>
        <v>0</v>
      </c>
      <c r="I179" s="133">
        <f t="shared" si="5"/>
        <v>0</v>
      </c>
      <c r="J179" s="260" t="str">
        <f>'Oport-Pré'!Q178</f>
        <v/>
      </c>
    </row>
    <row r="180" spans="1:10" ht="13">
      <c r="A180" s="126">
        <f>'Oport-Pré'!A179</f>
        <v>172</v>
      </c>
      <c r="B180" s="271">
        <f>'Oport-Pré'!B179</f>
        <v>0</v>
      </c>
      <c r="C180" s="128">
        <f>'Oport-Pré'!C179</f>
        <v>0</v>
      </c>
      <c r="D180" s="459">
        <f>'Oport-Pré'!D179</f>
        <v>0</v>
      </c>
      <c r="E180" s="418"/>
      <c r="F180" s="129">
        <f>'Resposta-Oport'!J182</f>
        <v>0</v>
      </c>
      <c r="G180" s="132">
        <f>'Resposta-Oport'!K182</f>
        <v>0</v>
      </c>
      <c r="H180" s="133">
        <f t="shared" si="6"/>
        <v>0</v>
      </c>
      <c r="I180" s="133">
        <f t="shared" si="5"/>
        <v>0</v>
      </c>
      <c r="J180" s="260" t="str">
        <f>'Oport-Pré'!Q179</f>
        <v/>
      </c>
    </row>
    <row r="181" spans="1:10" ht="13">
      <c r="A181" s="126">
        <f>'Oport-Pré'!A180</f>
        <v>173</v>
      </c>
      <c r="B181" s="271">
        <f>'Oport-Pré'!B180</f>
        <v>0</v>
      </c>
      <c r="C181" s="128">
        <f>'Oport-Pré'!C180</f>
        <v>0</v>
      </c>
      <c r="D181" s="459">
        <f>'Oport-Pré'!D180</f>
        <v>0</v>
      </c>
      <c r="E181" s="418"/>
      <c r="F181" s="129">
        <f>'Resposta-Oport'!J183</f>
        <v>0</v>
      </c>
      <c r="G181" s="132">
        <f>'Resposta-Oport'!K183</f>
        <v>0</v>
      </c>
      <c r="H181" s="133">
        <f t="shared" si="6"/>
        <v>0</v>
      </c>
      <c r="I181" s="133">
        <f t="shared" si="5"/>
        <v>0</v>
      </c>
      <c r="J181" s="260" t="str">
        <f>'Oport-Pré'!Q180</f>
        <v/>
      </c>
    </row>
    <row r="182" spans="1:10" ht="13">
      <c r="A182" s="126">
        <f>'Oport-Pré'!A181</f>
        <v>174</v>
      </c>
      <c r="B182" s="271">
        <f>'Oport-Pré'!B181</f>
        <v>0</v>
      </c>
      <c r="C182" s="128">
        <f>'Oport-Pré'!C181</f>
        <v>0</v>
      </c>
      <c r="D182" s="459">
        <f>'Oport-Pré'!D181</f>
        <v>0</v>
      </c>
      <c r="E182" s="418"/>
      <c r="F182" s="129">
        <f>'Resposta-Oport'!J184</f>
        <v>0</v>
      </c>
      <c r="G182" s="132">
        <f>'Resposta-Oport'!K184</f>
        <v>0</v>
      </c>
      <c r="H182" s="133">
        <f t="shared" si="6"/>
        <v>0</v>
      </c>
      <c r="I182" s="133">
        <f t="shared" si="5"/>
        <v>0</v>
      </c>
      <c r="J182" s="260" t="str">
        <f>'Oport-Pré'!Q181</f>
        <v/>
      </c>
    </row>
    <row r="183" spans="1:10" ht="13">
      <c r="A183" s="126">
        <f>'Oport-Pré'!A182</f>
        <v>175</v>
      </c>
      <c r="B183" s="271">
        <f>'Oport-Pré'!B182</f>
        <v>0</v>
      </c>
      <c r="C183" s="128">
        <f>'Oport-Pré'!C182</f>
        <v>0</v>
      </c>
      <c r="D183" s="459">
        <f>'Oport-Pré'!D182</f>
        <v>0</v>
      </c>
      <c r="E183" s="418"/>
      <c r="F183" s="129">
        <f>'Resposta-Oport'!J185</f>
        <v>0</v>
      </c>
      <c r="G183" s="132">
        <f>'Resposta-Oport'!K185</f>
        <v>0</v>
      </c>
      <c r="H183" s="133">
        <f t="shared" si="6"/>
        <v>0</v>
      </c>
      <c r="I183" s="133">
        <f t="shared" ref="I183:I208" si="7">F183*H183</f>
        <v>0</v>
      </c>
      <c r="J183" s="260" t="str">
        <f>'Oport-Pré'!Q182</f>
        <v/>
      </c>
    </row>
    <row r="184" spans="1:10" ht="13">
      <c r="A184" s="126">
        <f>'Oport-Pré'!A183</f>
        <v>176</v>
      </c>
      <c r="B184" s="271">
        <f>'Oport-Pré'!B183</f>
        <v>0</v>
      </c>
      <c r="C184" s="128">
        <f>'Oport-Pré'!C183</f>
        <v>0</v>
      </c>
      <c r="D184" s="459">
        <f>'Oport-Pré'!D183</f>
        <v>0</v>
      </c>
      <c r="E184" s="418"/>
      <c r="F184" s="129">
        <f>'Resposta-Oport'!J186</f>
        <v>0</v>
      </c>
      <c r="G184" s="132">
        <f>'Resposta-Oport'!K186</f>
        <v>0</v>
      </c>
      <c r="H184" s="133">
        <f t="shared" si="6"/>
        <v>0</v>
      </c>
      <c r="I184" s="133">
        <f t="shared" si="7"/>
        <v>0</v>
      </c>
      <c r="J184" s="260" t="str">
        <f>'Oport-Pré'!Q183</f>
        <v/>
      </c>
    </row>
    <row r="185" spans="1:10" ht="13">
      <c r="A185" s="126">
        <f>'Oport-Pré'!A184</f>
        <v>177</v>
      </c>
      <c r="B185" s="271">
        <f>'Oport-Pré'!B184</f>
        <v>0</v>
      </c>
      <c r="C185" s="128">
        <f>'Oport-Pré'!C184</f>
        <v>0</v>
      </c>
      <c r="D185" s="459">
        <f>'Oport-Pré'!D184</f>
        <v>0</v>
      </c>
      <c r="E185" s="418"/>
      <c r="F185" s="129">
        <f>'Resposta-Oport'!J187</f>
        <v>0</v>
      </c>
      <c r="G185" s="132">
        <f>'Resposta-Oport'!K187</f>
        <v>0</v>
      </c>
      <c r="H185" s="133">
        <f t="shared" si="6"/>
        <v>0</v>
      </c>
      <c r="I185" s="133">
        <f t="shared" si="7"/>
        <v>0</v>
      </c>
      <c r="J185" s="260" t="str">
        <f>'Oport-Pré'!Q184</f>
        <v/>
      </c>
    </row>
    <row r="186" spans="1:10" ht="13">
      <c r="A186" s="126">
        <f>'Oport-Pré'!A185</f>
        <v>178</v>
      </c>
      <c r="B186" s="271">
        <f>'Oport-Pré'!B185</f>
        <v>0</v>
      </c>
      <c r="C186" s="128">
        <f>'Oport-Pré'!C185</f>
        <v>0</v>
      </c>
      <c r="D186" s="459">
        <f>'Oport-Pré'!D185</f>
        <v>0</v>
      </c>
      <c r="E186" s="418"/>
      <c r="F186" s="129">
        <f>'Resposta-Oport'!J188</f>
        <v>0</v>
      </c>
      <c r="G186" s="132">
        <f>'Resposta-Oport'!K188</f>
        <v>0</v>
      </c>
      <c r="H186" s="133">
        <f t="shared" si="6"/>
        <v>0</v>
      </c>
      <c r="I186" s="133">
        <f t="shared" si="7"/>
        <v>0</v>
      </c>
      <c r="J186" s="260" t="str">
        <f>'Oport-Pré'!Q185</f>
        <v/>
      </c>
    </row>
    <row r="187" spans="1:10" ht="13">
      <c r="A187" s="126">
        <f>'Oport-Pré'!A186</f>
        <v>179</v>
      </c>
      <c r="B187" s="271">
        <f>'Oport-Pré'!B186</f>
        <v>0</v>
      </c>
      <c r="C187" s="128">
        <f>'Oport-Pré'!C186</f>
        <v>0</v>
      </c>
      <c r="D187" s="459">
        <f>'Oport-Pré'!D186</f>
        <v>0</v>
      </c>
      <c r="E187" s="418"/>
      <c r="F187" s="129">
        <f>'Resposta-Oport'!J189</f>
        <v>0</v>
      </c>
      <c r="G187" s="132">
        <f>'Resposta-Oport'!K189</f>
        <v>0</v>
      </c>
      <c r="H187" s="133">
        <f t="shared" si="6"/>
        <v>0</v>
      </c>
      <c r="I187" s="133">
        <f t="shared" si="7"/>
        <v>0</v>
      </c>
      <c r="J187" s="260" t="str">
        <f>'Oport-Pré'!Q186</f>
        <v/>
      </c>
    </row>
    <row r="188" spans="1:10" ht="13">
      <c r="A188" s="126">
        <f>'Oport-Pré'!A187</f>
        <v>180</v>
      </c>
      <c r="B188" s="271">
        <f>'Oport-Pré'!B187</f>
        <v>0</v>
      </c>
      <c r="C188" s="128">
        <f>'Oport-Pré'!C187</f>
        <v>0</v>
      </c>
      <c r="D188" s="459">
        <f>'Oport-Pré'!D187</f>
        <v>0</v>
      </c>
      <c r="E188" s="418"/>
      <c r="F188" s="129">
        <f>'Resposta-Oport'!J190</f>
        <v>0</v>
      </c>
      <c r="G188" s="132">
        <f>'Resposta-Oport'!K190</f>
        <v>0</v>
      </c>
      <c r="H188" s="133">
        <f t="shared" si="6"/>
        <v>0</v>
      </c>
      <c r="I188" s="133">
        <f t="shared" si="7"/>
        <v>0</v>
      </c>
      <c r="J188" s="260" t="str">
        <f>'Oport-Pré'!Q187</f>
        <v/>
      </c>
    </row>
    <row r="189" spans="1:10" ht="13">
      <c r="A189" s="126">
        <f>'Oport-Pré'!A188</f>
        <v>181</v>
      </c>
      <c r="B189" s="271">
        <f>'Oport-Pré'!B188</f>
        <v>0</v>
      </c>
      <c r="C189" s="128">
        <f>'Oport-Pré'!C188</f>
        <v>0</v>
      </c>
      <c r="D189" s="459">
        <f>'Oport-Pré'!D188</f>
        <v>0</v>
      </c>
      <c r="E189" s="418"/>
      <c r="F189" s="129">
        <f>'Resposta-Oport'!J191</f>
        <v>0</v>
      </c>
      <c r="G189" s="132">
        <f>'Resposta-Oport'!K191</f>
        <v>0</v>
      </c>
      <c r="H189" s="133">
        <f t="shared" si="6"/>
        <v>0</v>
      </c>
      <c r="I189" s="133">
        <f t="shared" si="7"/>
        <v>0</v>
      </c>
      <c r="J189" s="260" t="str">
        <f>'Oport-Pré'!Q188</f>
        <v/>
      </c>
    </row>
    <row r="190" spans="1:10" ht="13">
      <c r="A190" s="126">
        <f>'Oport-Pré'!A189</f>
        <v>182</v>
      </c>
      <c r="B190" s="271">
        <f>'Oport-Pré'!B189</f>
        <v>0</v>
      </c>
      <c r="C190" s="128">
        <f>'Oport-Pré'!C189</f>
        <v>0</v>
      </c>
      <c r="D190" s="459">
        <f>'Oport-Pré'!D189</f>
        <v>0</v>
      </c>
      <c r="E190" s="418"/>
      <c r="F190" s="129">
        <f>'Resposta-Oport'!J192</f>
        <v>0</v>
      </c>
      <c r="G190" s="132">
        <f>'Resposta-Oport'!K192</f>
        <v>0</v>
      </c>
      <c r="H190" s="133">
        <f t="shared" si="6"/>
        <v>0</v>
      </c>
      <c r="I190" s="133">
        <f t="shared" si="7"/>
        <v>0</v>
      </c>
      <c r="J190" s="260" t="str">
        <f>'Oport-Pré'!Q189</f>
        <v/>
      </c>
    </row>
    <row r="191" spans="1:10" ht="13">
      <c r="A191" s="126">
        <f>'Oport-Pré'!A190</f>
        <v>183</v>
      </c>
      <c r="B191" s="271">
        <f>'Oport-Pré'!B190</f>
        <v>0</v>
      </c>
      <c r="C191" s="128">
        <f>'Oport-Pré'!C190</f>
        <v>0</v>
      </c>
      <c r="D191" s="459">
        <f>'Oport-Pré'!D190</f>
        <v>0</v>
      </c>
      <c r="E191" s="418"/>
      <c r="F191" s="129">
        <f>'Resposta-Oport'!J193</f>
        <v>0</v>
      </c>
      <c r="G191" s="132">
        <f>'Resposta-Oport'!K193</f>
        <v>0</v>
      </c>
      <c r="H191" s="133">
        <f t="shared" si="6"/>
        <v>0</v>
      </c>
      <c r="I191" s="133">
        <f t="shared" si="7"/>
        <v>0</v>
      </c>
      <c r="J191" s="260" t="str">
        <f>'Oport-Pré'!Q190</f>
        <v/>
      </c>
    </row>
    <row r="192" spans="1:10" ht="13">
      <c r="A192" s="126">
        <f>'Oport-Pré'!A191</f>
        <v>184</v>
      </c>
      <c r="B192" s="271">
        <f>'Oport-Pré'!B191</f>
        <v>0</v>
      </c>
      <c r="C192" s="128">
        <f>'Oport-Pré'!C191</f>
        <v>0</v>
      </c>
      <c r="D192" s="459">
        <f>'Oport-Pré'!D191</f>
        <v>0</v>
      </c>
      <c r="E192" s="418"/>
      <c r="F192" s="129">
        <f>'Resposta-Oport'!J194</f>
        <v>0</v>
      </c>
      <c r="G192" s="132">
        <f>'Resposta-Oport'!K194</f>
        <v>0</v>
      </c>
      <c r="H192" s="133">
        <f t="shared" si="6"/>
        <v>0</v>
      </c>
      <c r="I192" s="133">
        <f t="shared" si="7"/>
        <v>0</v>
      </c>
      <c r="J192" s="260" t="str">
        <f>'Oport-Pré'!Q191</f>
        <v/>
      </c>
    </row>
    <row r="193" spans="1:10" ht="13">
      <c r="A193" s="126">
        <f>'Oport-Pré'!A192</f>
        <v>185</v>
      </c>
      <c r="B193" s="271">
        <f>'Oport-Pré'!B192</f>
        <v>0</v>
      </c>
      <c r="C193" s="128">
        <f>'Oport-Pré'!C192</f>
        <v>0</v>
      </c>
      <c r="D193" s="459">
        <f>'Oport-Pré'!D192</f>
        <v>0</v>
      </c>
      <c r="E193" s="418"/>
      <c r="F193" s="129">
        <f>'Resposta-Oport'!J195</f>
        <v>0</v>
      </c>
      <c r="G193" s="132">
        <f>'Resposta-Oport'!K195</f>
        <v>0</v>
      </c>
      <c r="H193" s="133">
        <f t="shared" si="6"/>
        <v>0</v>
      </c>
      <c r="I193" s="133">
        <f t="shared" si="7"/>
        <v>0</v>
      </c>
      <c r="J193" s="260" t="str">
        <f>'Oport-Pré'!Q192</f>
        <v/>
      </c>
    </row>
    <row r="194" spans="1:10" ht="13">
      <c r="A194" s="126">
        <f>'Oport-Pré'!A193</f>
        <v>186</v>
      </c>
      <c r="B194" s="271">
        <f>'Oport-Pré'!B193</f>
        <v>0</v>
      </c>
      <c r="C194" s="128">
        <f>'Oport-Pré'!C193</f>
        <v>0</v>
      </c>
      <c r="D194" s="459">
        <f>'Oport-Pré'!D193</f>
        <v>0</v>
      </c>
      <c r="E194" s="418"/>
      <c r="F194" s="129">
        <f>'Resposta-Oport'!J196</f>
        <v>0</v>
      </c>
      <c r="G194" s="132">
        <f>'Resposta-Oport'!K196</f>
        <v>0</v>
      </c>
      <c r="H194" s="133">
        <f t="shared" si="6"/>
        <v>0</v>
      </c>
      <c r="I194" s="133">
        <f t="shared" si="7"/>
        <v>0</v>
      </c>
      <c r="J194" s="260" t="str">
        <f>'Oport-Pré'!Q193</f>
        <v/>
      </c>
    </row>
    <row r="195" spans="1:10" ht="13">
      <c r="A195" s="126">
        <f>'Oport-Pré'!A194</f>
        <v>187</v>
      </c>
      <c r="B195" s="271">
        <f>'Oport-Pré'!B194</f>
        <v>0</v>
      </c>
      <c r="C195" s="128">
        <f>'Oport-Pré'!C194</f>
        <v>0</v>
      </c>
      <c r="D195" s="459">
        <f>'Oport-Pré'!D194</f>
        <v>0</v>
      </c>
      <c r="E195" s="418"/>
      <c r="F195" s="129">
        <f>'Resposta-Oport'!J197</f>
        <v>0</v>
      </c>
      <c r="G195" s="132">
        <f>'Resposta-Oport'!K197</f>
        <v>0</v>
      </c>
      <c r="H195" s="133">
        <f t="shared" si="6"/>
        <v>0</v>
      </c>
      <c r="I195" s="133">
        <f t="shared" si="7"/>
        <v>0</v>
      </c>
      <c r="J195" s="260" t="str">
        <f>'Oport-Pré'!Q194</f>
        <v/>
      </c>
    </row>
    <row r="196" spans="1:10" ht="13">
      <c r="A196" s="126">
        <f>'Oport-Pré'!A195</f>
        <v>188</v>
      </c>
      <c r="B196" s="271">
        <f>'Oport-Pré'!B195</f>
        <v>0</v>
      </c>
      <c r="C196" s="128">
        <f>'Oport-Pré'!C195</f>
        <v>0</v>
      </c>
      <c r="D196" s="459">
        <f>'Oport-Pré'!D195</f>
        <v>0</v>
      </c>
      <c r="E196" s="418"/>
      <c r="F196" s="129">
        <f>'Resposta-Oport'!J198</f>
        <v>0</v>
      </c>
      <c r="G196" s="132">
        <f>'Resposta-Oport'!K198</f>
        <v>0</v>
      </c>
      <c r="H196" s="133">
        <f t="shared" si="6"/>
        <v>0</v>
      </c>
      <c r="I196" s="133">
        <f t="shared" si="7"/>
        <v>0</v>
      </c>
      <c r="J196" s="260" t="str">
        <f>'Oport-Pré'!Q195</f>
        <v/>
      </c>
    </row>
    <row r="197" spans="1:10" ht="13">
      <c r="A197" s="126">
        <f>'Oport-Pré'!A196</f>
        <v>189</v>
      </c>
      <c r="B197" s="271">
        <f>'Oport-Pré'!B196</f>
        <v>0</v>
      </c>
      <c r="C197" s="128">
        <f>'Oport-Pré'!C196</f>
        <v>0</v>
      </c>
      <c r="D197" s="459">
        <f>'Oport-Pré'!D196</f>
        <v>0</v>
      </c>
      <c r="E197" s="418"/>
      <c r="F197" s="129">
        <f>'Resposta-Oport'!J199</f>
        <v>0</v>
      </c>
      <c r="G197" s="132">
        <f>'Resposta-Oport'!K199</f>
        <v>0</v>
      </c>
      <c r="H197" s="133">
        <f t="shared" si="6"/>
        <v>0</v>
      </c>
      <c r="I197" s="133">
        <f t="shared" si="7"/>
        <v>0</v>
      </c>
      <c r="J197" s="260" t="str">
        <f>'Oport-Pré'!Q196</f>
        <v/>
      </c>
    </row>
    <row r="198" spans="1:10" ht="13">
      <c r="A198" s="126">
        <f>'Oport-Pré'!A197</f>
        <v>190</v>
      </c>
      <c r="B198" s="271">
        <f>'Oport-Pré'!B197</f>
        <v>0</v>
      </c>
      <c r="C198" s="128">
        <f>'Oport-Pré'!C197</f>
        <v>0</v>
      </c>
      <c r="D198" s="459">
        <f>'Oport-Pré'!D197</f>
        <v>0</v>
      </c>
      <c r="E198" s="418"/>
      <c r="F198" s="129">
        <f>'Resposta-Oport'!J200</f>
        <v>0</v>
      </c>
      <c r="G198" s="132">
        <f>'Resposta-Oport'!K200</f>
        <v>0</v>
      </c>
      <c r="H198" s="133">
        <f t="shared" si="6"/>
        <v>0</v>
      </c>
      <c r="I198" s="133">
        <f t="shared" si="7"/>
        <v>0</v>
      </c>
      <c r="J198" s="260" t="str">
        <f>'Oport-Pré'!Q197</f>
        <v/>
      </c>
    </row>
    <row r="199" spans="1:10" ht="13">
      <c r="A199" s="126">
        <f>'Oport-Pré'!A198</f>
        <v>191</v>
      </c>
      <c r="B199" s="271">
        <f>'Oport-Pré'!B198</f>
        <v>0</v>
      </c>
      <c r="C199" s="128">
        <f>'Oport-Pré'!C198</f>
        <v>0</v>
      </c>
      <c r="D199" s="459">
        <f>'Oport-Pré'!D198</f>
        <v>0</v>
      </c>
      <c r="E199" s="418"/>
      <c r="F199" s="129">
        <f>'Resposta-Oport'!J201</f>
        <v>0</v>
      </c>
      <c r="G199" s="132">
        <f>'Resposta-Oport'!K201</f>
        <v>0</v>
      </c>
      <c r="H199" s="133">
        <f t="shared" si="6"/>
        <v>0</v>
      </c>
      <c r="I199" s="133">
        <f t="shared" si="7"/>
        <v>0</v>
      </c>
      <c r="J199" s="260" t="str">
        <f>'Oport-Pré'!Q198</f>
        <v/>
      </c>
    </row>
    <row r="200" spans="1:10" ht="13">
      <c r="A200" s="126">
        <f>'Oport-Pré'!A199</f>
        <v>192</v>
      </c>
      <c r="B200" s="271">
        <f>'Oport-Pré'!B199</f>
        <v>0</v>
      </c>
      <c r="C200" s="128">
        <f>'Oport-Pré'!C199</f>
        <v>0</v>
      </c>
      <c r="D200" s="459">
        <f>'Oport-Pré'!D199</f>
        <v>0</v>
      </c>
      <c r="E200" s="418"/>
      <c r="F200" s="129">
        <f>'Resposta-Oport'!J202</f>
        <v>0</v>
      </c>
      <c r="G200" s="132">
        <f>'Resposta-Oport'!K202</f>
        <v>0</v>
      </c>
      <c r="H200" s="133">
        <f t="shared" si="6"/>
        <v>0</v>
      </c>
      <c r="I200" s="133">
        <f t="shared" si="7"/>
        <v>0</v>
      </c>
      <c r="J200" s="260" t="str">
        <f>'Oport-Pré'!Q199</f>
        <v/>
      </c>
    </row>
    <row r="201" spans="1:10" ht="13">
      <c r="A201" s="126">
        <f>'Oport-Pré'!A200</f>
        <v>193</v>
      </c>
      <c r="B201" s="271">
        <f>'Oport-Pré'!B200</f>
        <v>0</v>
      </c>
      <c r="C201" s="128">
        <f>'Oport-Pré'!C200</f>
        <v>0</v>
      </c>
      <c r="D201" s="459">
        <f>'Oport-Pré'!D200</f>
        <v>0</v>
      </c>
      <c r="E201" s="418"/>
      <c r="F201" s="129">
        <f>'Resposta-Oport'!J203</f>
        <v>0</v>
      </c>
      <c r="G201" s="132">
        <f>'Resposta-Oport'!K203</f>
        <v>0</v>
      </c>
      <c r="H201" s="133">
        <f t="shared" si="6"/>
        <v>0</v>
      </c>
      <c r="I201" s="133">
        <f t="shared" si="7"/>
        <v>0</v>
      </c>
      <c r="J201" s="260" t="str">
        <f>'Oport-Pré'!Q200</f>
        <v/>
      </c>
    </row>
    <row r="202" spans="1:10" ht="13">
      <c r="A202" s="126">
        <f>'Oport-Pré'!A201</f>
        <v>194</v>
      </c>
      <c r="B202" s="271">
        <f>'Oport-Pré'!B201</f>
        <v>0</v>
      </c>
      <c r="C202" s="128">
        <f>'Oport-Pré'!C201</f>
        <v>0</v>
      </c>
      <c r="D202" s="459">
        <f>'Oport-Pré'!D201</f>
        <v>0</v>
      </c>
      <c r="E202" s="418"/>
      <c r="F202" s="129">
        <f>'Resposta-Oport'!J204</f>
        <v>0</v>
      </c>
      <c r="G202" s="132">
        <f>'Resposta-Oport'!K204</f>
        <v>0</v>
      </c>
      <c r="H202" s="133">
        <f t="shared" ref="H202:H208" si="8">G202</f>
        <v>0</v>
      </c>
      <c r="I202" s="133">
        <f t="shared" si="7"/>
        <v>0</v>
      </c>
      <c r="J202" s="260" t="str">
        <f>'Oport-Pré'!Q201</f>
        <v/>
      </c>
    </row>
    <row r="203" spans="1:10" ht="13">
      <c r="A203" s="126">
        <f>'Oport-Pré'!A202</f>
        <v>195</v>
      </c>
      <c r="B203" s="271">
        <f>'Oport-Pré'!B202</f>
        <v>0</v>
      </c>
      <c r="C203" s="128">
        <f>'Oport-Pré'!C202</f>
        <v>0</v>
      </c>
      <c r="D203" s="459">
        <f>'Oport-Pré'!D202</f>
        <v>0</v>
      </c>
      <c r="E203" s="418"/>
      <c r="F203" s="129">
        <f>'Resposta-Oport'!J205</f>
        <v>0</v>
      </c>
      <c r="G203" s="132">
        <f>'Resposta-Oport'!K205</f>
        <v>0</v>
      </c>
      <c r="H203" s="133">
        <f t="shared" si="8"/>
        <v>0</v>
      </c>
      <c r="I203" s="133">
        <f t="shared" si="7"/>
        <v>0</v>
      </c>
      <c r="J203" s="260" t="str">
        <f>'Oport-Pré'!Q202</f>
        <v/>
      </c>
    </row>
    <row r="204" spans="1:10" ht="13">
      <c r="A204" s="126">
        <f>'Oport-Pré'!A203</f>
        <v>196</v>
      </c>
      <c r="B204" s="271">
        <f>'Oport-Pré'!B203</f>
        <v>0</v>
      </c>
      <c r="C204" s="128">
        <f>'Oport-Pré'!C203</f>
        <v>0</v>
      </c>
      <c r="D204" s="459">
        <f>'Oport-Pré'!D203</f>
        <v>0</v>
      </c>
      <c r="E204" s="418"/>
      <c r="F204" s="129">
        <f>'Resposta-Oport'!J206</f>
        <v>0</v>
      </c>
      <c r="G204" s="132">
        <f>'Resposta-Oport'!K206</f>
        <v>0</v>
      </c>
      <c r="H204" s="133">
        <f t="shared" si="8"/>
        <v>0</v>
      </c>
      <c r="I204" s="133">
        <f t="shared" si="7"/>
        <v>0</v>
      </c>
      <c r="J204" s="260" t="str">
        <f>'Oport-Pré'!Q203</f>
        <v/>
      </c>
    </row>
    <row r="205" spans="1:10" ht="13">
      <c r="A205" s="126">
        <f>'Oport-Pré'!A204</f>
        <v>197</v>
      </c>
      <c r="B205" s="271">
        <f>'Oport-Pré'!B204</f>
        <v>0</v>
      </c>
      <c r="C205" s="128">
        <f>'Oport-Pré'!C204</f>
        <v>0</v>
      </c>
      <c r="D205" s="459">
        <f>'Oport-Pré'!D204</f>
        <v>0</v>
      </c>
      <c r="E205" s="418"/>
      <c r="F205" s="129">
        <f>'Resposta-Oport'!J207</f>
        <v>0</v>
      </c>
      <c r="G205" s="132">
        <f>'Resposta-Oport'!K207</f>
        <v>0</v>
      </c>
      <c r="H205" s="133">
        <f t="shared" si="8"/>
        <v>0</v>
      </c>
      <c r="I205" s="133">
        <f t="shared" si="7"/>
        <v>0</v>
      </c>
      <c r="J205" s="260" t="str">
        <f>'Oport-Pré'!Q204</f>
        <v/>
      </c>
    </row>
    <row r="206" spans="1:10" ht="13">
      <c r="A206" s="126">
        <f>'Oport-Pré'!A205</f>
        <v>198</v>
      </c>
      <c r="B206" s="271">
        <f>'Oport-Pré'!B205</f>
        <v>0</v>
      </c>
      <c r="C206" s="128">
        <f>'Oport-Pré'!C205</f>
        <v>0</v>
      </c>
      <c r="D206" s="459">
        <f>'Oport-Pré'!D205</f>
        <v>0</v>
      </c>
      <c r="E206" s="418"/>
      <c r="F206" s="129">
        <f>'Resposta-Oport'!J208</f>
        <v>0</v>
      </c>
      <c r="G206" s="132">
        <f>'Resposta-Oport'!K208</f>
        <v>0</v>
      </c>
      <c r="H206" s="133">
        <f t="shared" si="8"/>
        <v>0</v>
      </c>
      <c r="I206" s="133">
        <f t="shared" si="7"/>
        <v>0</v>
      </c>
      <c r="J206" s="260" t="str">
        <f>'Oport-Pré'!Q205</f>
        <v/>
      </c>
    </row>
    <row r="207" spans="1:10" ht="13">
      <c r="A207" s="126">
        <f>'Oport-Pré'!A206</f>
        <v>199</v>
      </c>
      <c r="B207" s="271">
        <f>'Oport-Pré'!B206</f>
        <v>0</v>
      </c>
      <c r="C207" s="128">
        <f>'Oport-Pré'!C206</f>
        <v>0</v>
      </c>
      <c r="D207" s="459">
        <f>'Oport-Pré'!D206</f>
        <v>0</v>
      </c>
      <c r="E207" s="418"/>
      <c r="F207" s="129">
        <f>'Resposta-Oport'!J209</f>
        <v>0</v>
      </c>
      <c r="G207" s="132">
        <f>'Resposta-Oport'!K209</f>
        <v>0</v>
      </c>
      <c r="H207" s="133">
        <f t="shared" si="8"/>
        <v>0</v>
      </c>
      <c r="I207" s="133">
        <f t="shared" si="7"/>
        <v>0</v>
      </c>
      <c r="J207" s="260" t="str">
        <f>'Oport-Pré'!Q206</f>
        <v/>
      </c>
    </row>
    <row r="208" spans="1:10" ht="13">
      <c r="A208" s="126">
        <f>'Oport-Pré'!A207</f>
        <v>200</v>
      </c>
      <c r="B208" s="271">
        <f>'Oport-Pré'!B207</f>
        <v>0</v>
      </c>
      <c r="C208" s="128">
        <f>'Oport-Pré'!C207</f>
        <v>0</v>
      </c>
      <c r="D208" s="459">
        <f>'Oport-Pré'!D207</f>
        <v>0</v>
      </c>
      <c r="E208" s="418"/>
      <c r="F208" s="129">
        <f>'Resposta-Oport'!J210</f>
        <v>0</v>
      </c>
      <c r="G208" s="132">
        <f>'Resposta-Oport'!K210</f>
        <v>0</v>
      </c>
      <c r="H208" s="133">
        <f t="shared" si="8"/>
        <v>0</v>
      </c>
      <c r="I208" s="133">
        <f t="shared" si="7"/>
        <v>0</v>
      </c>
      <c r="J208" s="260" t="str">
        <f>'Oport-Pré'!Q207</f>
        <v/>
      </c>
    </row>
    <row r="210" spans="1:8" ht="13">
      <c r="A210" s="187" t="s">
        <v>28</v>
      </c>
      <c r="B210" s="272"/>
      <c r="C210" s="263"/>
      <c r="D210" s="138" t="s">
        <v>13</v>
      </c>
      <c r="E210" s="138"/>
      <c r="F210" s="138"/>
      <c r="G210" s="138"/>
      <c r="H210" s="138"/>
    </row>
    <row r="211" spans="1:8">
      <c r="D211" s="138"/>
      <c r="E211" s="138"/>
      <c r="F211" s="138"/>
      <c r="G211" s="138"/>
      <c r="H211" s="138"/>
    </row>
    <row r="212" spans="1:8" ht="13">
      <c r="A212" s="187" t="s">
        <v>10</v>
      </c>
      <c r="B212" s="272"/>
      <c r="C212" s="263"/>
      <c r="D212" s="138" t="s">
        <v>17</v>
      </c>
      <c r="E212" s="138"/>
      <c r="F212" s="138"/>
      <c r="G212" s="138"/>
      <c r="H212" s="138"/>
    </row>
  </sheetData>
  <mergeCells count="201">
    <mergeCell ref="D14:E14"/>
    <mergeCell ref="D15:E15"/>
    <mergeCell ref="D16:E16"/>
    <mergeCell ref="D17:E17"/>
    <mergeCell ref="D18:E18"/>
    <mergeCell ref="D19:E19"/>
    <mergeCell ref="D8:E8"/>
    <mergeCell ref="D9:E9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86:E86"/>
    <mergeCell ref="D87:E87"/>
    <mergeCell ref="D88:E88"/>
    <mergeCell ref="D89:E89"/>
    <mergeCell ref="D90:E90"/>
    <mergeCell ref="D91:E91"/>
    <mergeCell ref="D80:E80"/>
    <mergeCell ref="D81:E81"/>
    <mergeCell ref="D82:E82"/>
    <mergeCell ref="D83:E83"/>
    <mergeCell ref="D84:E84"/>
    <mergeCell ref="D85:E85"/>
    <mergeCell ref="D98:E98"/>
    <mergeCell ref="D99:E99"/>
    <mergeCell ref="D100:E100"/>
    <mergeCell ref="D101:E101"/>
    <mergeCell ref="D102:E102"/>
    <mergeCell ref="D103:E103"/>
    <mergeCell ref="D92:E92"/>
    <mergeCell ref="D93:E93"/>
    <mergeCell ref="D94:E94"/>
    <mergeCell ref="D95:E95"/>
    <mergeCell ref="D96:E96"/>
    <mergeCell ref="D97:E97"/>
    <mergeCell ref="D110:E110"/>
    <mergeCell ref="D111:E111"/>
    <mergeCell ref="D112:E112"/>
    <mergeCell ref="D113:E113"/>
    <mergeCell ref="D114:E114"/>
    <mergeCell ref="D115:E115"/>
    <mergeCell ref="D104:E104"/>
    <mergeCell ref="D105:E105"/>
    <mergeCell ref="D106:E106"/>
    <mergeCell ref="D107:E107"/>
    <mergeCell ref="D108:E108"/>
    <mergeCell ref="D109:E109"/>
    <mergeCell ref="D122:E122"/>
    <mergeCell ref="D123:E123"/>
    <mergeCell ref="D124:E124"/>
    <mergeCell ref="D125:E125"/>
    <mergeCell ref="D126:E126"/>
    <mergeCell ref="D127:E127"/>
    <mergeCell ref="D116:E116"/>
    <mergeCell ref="D117:E117"/>
    <mergeCell ref="D118:E118"/>
    <mergeCell ref="D119:E119"/>
    <mergeCell ref="D120:E120"/>
    <mergeCell ref="D121:E121"/>
    <mergeCell ref="D134:E134"/>
    <mergeCell ref="D135:E135"/>
    <mergeCell ref="D136:E136"/>
    <mergeCell ref="D137:E137"/>
    <mergeCell ref="D138:E138"/>
    <mergeCell ref="D139:E139"/>
    <mergeCell ref="D128:E128"/>
    <mergeCell ref="D129:E129"/>
    <mergeCell ref="D130:E130"/>
    <mergeCell ref="D131:E131"/>
    <mergeCell ref="D132:E132"/>
    <mergeCell ref="D133:E133"/>
    <mergeCell ref="D146:E146"/>
    <mergeCell ref="D147:E147"/>
    <mergeCell ref="D148:E148"/>
    <mergeCell ref="D149:E149"/>
    <mergeCell ref="D150:E150"/>
    <mergeCell ref="D151:E151"/>
    <mergeCell ref="D140:E140"/>
    <mergeCell ref="D141:E141"/>
    <mergeCell ref="D142:E142"/>
    <mergeCell ref="D143:E143"/>
    <mergeCell ref="D144:E144"/>
    <mergeCell ref="D145:E145"/>
    <mergeCell ref="D158:E158"/>
    <mergeCell ref="D159:E159"/>
    <mergeCell ref="D160:E160"/>
    <mergeCell ref="D161:E161"/>
    <mergeCell ref="D162:E162"/>
    <mergeCell ref="D163:E163"/>
    <mergeCell ref="D152:E152"/>
    <mergeCell ref="D153:E153"/>
    <mergeCell ref="D154:E154"/>
    <mergeCell ref="D155:E155"/>
    <mergeCell ref="D156:E156"/>
    <mergeCell ref="D157:E157"/>
    <mergeCell ref="D170:E170"/>
    <mergeCell ref="D171:E171"/>
    <mergeCell ref="D172:E172"/>
    <mergeCell ref="D173:E173"/>
    <mergeCell ref="D174:E174"/>
    <mergeCell ref="D175:E175"/>
    <mergeCell ref="D164:E164"/>
    <mergeCell ref="D165:E165"/>
    <mergeCell ref="D166:E166"/>
    <mergeCell ref="D167:E167"/>
    <mergeCell ref="D168:E168"/>
    <mergeCell ref="D169:E169"/>
    <mergeCell ref="D182:E182"/>
    <mergeCell ref="D183:E183"/>
    <mergeCell ref="D184:E184"/>
    <mergeCell ref="D185:E185"/>
    <mergeCell ref="D186:E186"/>
    <mergeCell ref="D187:E187"/>
    <mergeCell ref="D176:E176"/>
    <mergeCell ref="D177:E177"/>
    <mergeCell ref="D178:E178"/>
    <mergeCell ref="D179:E179"/>
    <mergeCell ref="D180:E180"/>
    <mergeCell ref="D181:E181"/>
    <mergeCell ref="D194:E194"/>
    <mergeCell ref="D195:E195"/>
    <mergeCell ref="D196:E196"/>
    <mergeCell ref="D197:E197"/>
    <mergeCell ref="D198:E198"/>
    <mergeCell ref="D199:E199"/>
    <mergeCell ref="D188:E188"/>
    <mergeCell ref="D189:E189"/>
    <mergeCell ref="D190:E190"/>
    <mergeCell ref="D191:E191"/>
    <mergeCell ref="D192:E192"/>
    <mergeCell ref="D193:E193"/>
    <mergeCell ref="D200:E200"/>
    <mergeCell ref="D207:E207"/>
    <mergeCell ref="D208:E208"/>
    <mergeCell ref="D201:E201"/>
    <mergeCell ref="D202:E202"/>
    <mergeCell ref="D203:E203"/>
    <mergeCell ref="D204:E204"/>
    <mergeCell ref="D205:E205"/>
    <mergeCell ref="D206:E206"/>
  </mergeCells>
  <phoneticPr fontId="0" type="noConversion"/>
  <pageMargins left="0.78740157499999996" right="0.78740157499999996" top="0.984251969" bottom="0.984251969" header="0.49212598499999999" footer="0.49212598499999999"/>
  <pageSetup paperSize="9" scale="75" orientation="landscape" horizontalDpi="360" verticalDpi="36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1"/>
  <dimension ref="A1:DI210"/>
  <sheetViews>
    <sheetView zoomScale="75" workbookViewId="0">
      <pane ySplit="5" topLeftCell="A6" activePane="bottomLeft" state="frozen"/>
      <selection pane="bottomLeft" activeCell="D8" sqref="D8:E8"/>
    </sheetView>
  </sheetViews>
  <sheetFormatPr defaultColWidth="9.09765625" defaultRowHeight="13"/>
  <cols>
    <col min="1" max="1" width="11.8984375" style="7" customWidth="1"/>
    <col min="2" max="2" width="9.3984375" style="11" customWidth="1"/>
    <col min="3" max="3" width="10.3984375" style="7" customWidth="1"/>
    <col min="4" max="4" width="35.09765625" style="6" customWidth="1"/>
    <col min="5" max="5" width="21.8984375" style="6" customWidth="1"/>
    <col min="6" max="6" width="16.3984375" style="6" customWidth="1"/>
    <col min="7" max="7" width="35" style="7" customWidth="1"/>
    <col min="8" max="8" width="14.296875" style="7" customWidth="1"/>
    <col min="9" max="9" width="14.8984375" style="67" customWidth="1"/>
    <col min="10" max="11" width="14.296875" style="54" customWidth="1"/>
    <col min="12" max="12" width="11.3984375" style="57" customWidth="1"/>
    <col min="13" max="13" width="12.3984375" style="7" customWidth="1"/>
    <col min="14" max="14" width="43.3984375" style="54" customWidth="1"/>
    <col min="15" max="15" width="9.09765625" style="1"/>
    <col min="16" max="16" width="17.3984375" style="1" bestFit="1" customWidth="1"/>
    <col min="17" max="16384" width="9.09765625" style="1"/>
  </cols>
  <sheetData>
    <row r="1" spans="1:113" ht="18">
      <c r="A1" s="141" t="s">
        <v>160</v>
      </c>
      <c r="B1" s="264"/>
      <c r="C1" s="143"/>
      <c r="D1" s="144"/>
      <c r="E1" s="91"/>
      <c r="F1" s="91"/>
      <c r="G1" s="98"/>
      <c r="H1" s="96"/>
      <c r="I1" s="273"/>
      <c r="J1" s="146" t="s">
        <v>11</v>
      </c>
      <c r="K1" s="146"/>
      <c r="L1" s="119"/>
      <c r="M1" s="145" t="s">
        <v>11</v>
      </c>
      <c r="N1" s="96"/>
      <c r="P1" s="35" t="s">
        <v>39</v>
      </c>
    </row>
    <row r="2" spans="1:113">
      <c r="A2" s="98"/>
      <c r="B2" s="265"/>
      <c r="C2" s="147" t="s">
        <v>0</v>
      </c>
      <c r="D2" s="96" t="str">
        <f>Abertura!B6</f>
        <v>Projeto Realização do Churrasco da Turma</v>
      </c>
      <c r="E2" s="96"/>
      <c r="F2" s="91"/>
      <c r="G2" s="89"/>
      <c r="H2" s="89"/>
      <c r="I2" s="273"/>
      <c r="J2" s="274"/>
      <c r="K2" s="274"/>
      <c r="L2" s="200"/>
      <c r="M2" s="89"/>
      <c r="N2" s="274"/>
      <c r="P2" s="36"/>
    </row>
    <row r="3" spans="1:113">
      <c r="A3" s="98"/>
      <c r="B3" s="265"/>
      <c r="C3" s="147" t="s">
        <v>14</v>
      </c>
      <c r="D3" s="96" t="str">
        <f>Abertura!B7</f>
        <v>Turma MBA GP18</v>
      </c>
      <c r="E3" s="96"/>
      <c r="F3" s="91"/>
      <c r="G3" s="96"/>
      <c r="H3" s="89">
        <f>Abertura!B9</f>
        <v>45277</v>
      </c>
      <c r="I3" s="273"/>
      <c r="J3" s="274"/>
      <c r="K3" s="275"/>
      <c r="L3" s="119"/>
      <c r="M3" s="96"/>
      <c r="N3" s="275"/>
      <c r="P3" s="36" t="s">
        <v>65</v>
      </c>
    </row>
    <row r="4" spans="1:113" ht="14">
      <c r="A4" s="98"/>
      <c r="B4" s="265"/>
      <c r="C4" s="147" t="s">
        <v>15</v>
      </c>
      <c r="D4" s="96" t="str">
        <f>Abertura!B8</f>
        <v>Vicente</v>
      </c>
      <c r="E4" s="96"/>
      <c r="F4" s="331"/>
      <c r="G4" s="81" t="s">
        <v>11</v>
      </c>
      <c r="H4" s="81"/>
      <c r="I4" s="331"/>
      <c r="J4" s="274"/>
      <c r="K4" s="330"/>
      <c r="L4" s="119"/>
      <c r="M4" s="331"/>
      <c r="N4" s="330"/>
      <c r="P4" s="56" t="s">
        <v>66</v>
      </c>
    </row>
    <row r="5" spans="1:113">
      <c r="A5" s="98"/>
      <c r="B5" s="98"/>
      <c r="C5" s="96"/>
      <c r="D5" s="96"/>
      <c r="E5" s="96"/>
      <c r="F5" s="332">
        <f>SUM(F9:F208)</f>
        <v>3797.5</v>
      </c>
      <c r="G5" s="119"/>
      <c r="H5" s="119"/>
      <c r="I5" s="333">
        <f>SUM(I9:I208)</f>
        <v>0</v>
      </c>
      <c r="J5" s="330"/>
      <c r="K5" s="330"/>
      <c r="L5" s="119"/>
      <c r="M5" s="334">
        <f>SUM(M9:M208)</f>
        <v>0</v>
      </c>
      <c r="N5" s="330"/>
      <c r="P5" s="1" t="s">
        <v>11</v>
      </c>
    </row>
    <row r="6" spans="1:113" s="42" customFormat="1" ht="15.5">
      <c r="A6" s="281" t="s">
        <v>23</v>
      </c>
      <c r="B6" s="463" t="s">
        <v>161</v>
      </c>
      <c r="C6" s="464"/>
      <c r="D6" s="464"/>
      <c r="E6" s="464"/>
      <c r="F6" s="465"/>
      <c r="G6" s="297"/>
      <c r="H6" s="297"/>
      <c r="I6" s="326"/>
      <c r="J6" s="327"/>
      <c r="K6" s="327"/>
      <c r="L6" s="328"/>
      <c r="M6" s="297"/>
      <c r="N6" s="327"/>
      <c r="O6" s="15"/>
      <c r="P6" s="1" t="s">
        <v>11</v>
      </c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</row>
    <row r="7" spans="1:113">
      <c r="A7" s="276" t="s">
        <v>1</v>
      </c>
      <c r="B7" s="276" t="s">
        <v>32</v>
      </c>
      <c r="C7" s="215" t="s">
        <v>2</v>
      </c>
      <c r="D7" s="216" t="s">
        <v>16</v>
      </c>
      <c r="E7" s="216"/>
      <c r="F7" s="217" t="s">
        <v>29</v>
      </c>
      <c r="G7" s="215" t="s">
        <v>146</v>
      </c>
      <c r="H7" s="215" t="s">
        <v>61</v>
      </c>
      <c r="I7" s="277" t="s">
        <v>163</v>
      </c>
      <c r="J7" s="215" t="s">
        <v>27</v>
      </c>
      <c r="K7" s="215" t="s">
        <v>27</v>
      </c>
      <c r="L7" s="278" t="s">
        <v>30</v>
      </c>
      <c r="M7" s="218" t="s">
        <v>29</v>
      </c>
      <c r="N7" s="215" t="s">
        <v>19</v>
      </c>
      <c r="P7" s="1" t="s">
        <v>11</v>
      </c>
    </row>
    <row r="8" spans="1:113">
      <c r="A8" s="121"/>
      <c r="B8" s="279" t="s">
        <v>33</v>
      </c>
      <c r="C8" s="123"/>
      <c r="D8" s="460" t="s">
        <v>195</v>
      </c>
      <c r="E8" s="462"/>
      <c r="F8" s="220" t="s">
        <v>9</v>
      </c>
      <c r="G8" s="123" t="s">
        <v>11</v>
      </c>
      <c r="H8" s="158"/>
      <c r="I8" s="280" t="s">
        <v>146</v>
      </c>
      <c r="J8" s="158" t="s">
        <v>67</v>
      </c>
      <c r="K8" s="158" t="s">
        <v>146</v>
      </c>
      <c r="L8" s="219" t="s">
        <v>31</v>
      </c>
      <c r="M8" s="221" t="s">
        <v>31</v>
      </c>
      <c r="N8" s="158" t="s">
        <v>11</v>
      </c>
    </row>
    <row r="9" spans="1:113" ht="38.65" customHeight="1">
      <c r="A9" s="126">
        <f>Ameacas!A9</f>
        <v>1</v>
      </c>
      <c r="B9" s="282">
        <f>Ameacas!B9</f>
        <v>0</v>
      </c>
      <c r="C9" s="233" t="str">
        <f>Ameacas!C9</f>
        <v>Externo</v>
      </c>
      <c r="D9" s="434" t="str">
        <f>Ameacas!D9</f>
        <v>Dificuldade de acesso ao local - Temporal não esperado no período, ocasionando no cancelamento do churrasco</v>
      </c>
      <c r="E9" s="418"/>
      <c r="F9" s="225">
        <f>Ameacas!I9</f>
        <v>0</v>
      </c>
      <c r="G9" s="226">
        <f>'Resposta-Ameacas'!M11</f>
        <v>0</v>
      </c>
      <c r="H9" s="227"/>
      <c r="I9" s="283">
        <f>'Resposta-Ameacas'!N11</f>
        <v>0</v>
      </c>
      <c r="J9" s="284"/>
      <c r="K9" s="284"/>
      <c r="L9" s="285"/>
      <c r="M9" s="228">
        <v>0</v>
      </c>
      <c r="N9" s="284"/>
    </row>
    <row r="10" spans="1:113" ht="40.5" customHeight="1">
      <c r="A10" s="126">
        <f>Ameacas!A10</f>
        <v>2</v>
      </c>
      <c r="B10" s="282">
        <f>Ameacas!B10</f>
        <v>0</v>
      </c>
      <c r="C10" s="233" t="str">
        <f>Ameacas!C10</f>
        <v>Externo</v>
      </c>
      <c r="D10" s="434" t="str">
        <f>Ameacas!D10</f>
        <v>Aumento do custo do churrasco - Aumento do valor do churrasqueiro, ocasionando baixa adesão</v>
      </c>
      <c r="E10" s="418"/>
      <c r="F10" s="225">
        <f>Ameacas!I10</f>
        <v>0</v>
      </c>
      <c r="G10" s="226">
        <f>'Resposta-Ameacas'!M12</f>
        <v>0</v>
      </c>
      <c r="H10" s="227"/>
      <c r="I10" s="283">
        <f>'Resposta-Ameacas'!N12</f>
        <v>0</v>
      </c>
      <c r="J10" s="284"/>
      <c r="K10" s="284"/>
      <c r="L10" s="285"/>
      <c r="M10" s="228">
        <v>0</v>
      </c>
      <c r="N10" s="284"/>
    </row>
    <row r="11" spans="1:113" ht="66.400000000000006" customHeight="1">
      <c r="A11" s="126">
        <f>Ameacas!A11</f>
        <v>3</v>
      </c>
      <c r="B11" s="282">
        <f>Ameacas!B11</f>
        <v>0</v>
      </c>
      <c r="C11" s="233" t="str">
        <f>Ameacas!C11</f>
        <v>Técnico</v>
      </c>
      <c r="D11" s="434" t="str">
        <f>Ameacas!D11</f>
        <v>Reclamações - Comida insuficiente, ocasionando na insatisfação dos participantes</v>
      </c>
      <c r="E11" s="418"/>
      <c r="F11" s="225">
        <f>Ameacas!I11</f>
        <v>70</v>
      </c>
      <c r="G11" s="226">
        <f>'Resposta-Ameacas'!M13</f>
        <v>0</v>
      </c>
      <c r="H11" s="227"/>
      <c r="I11" s="283">
        <f>'Resposta-Ameacas'!N13</f>
        <v>0</v>
      </c>
      <c r="J11" s="284"/>
      <c r="K11" s="284"/>
      <c r="L11" s="285"/>
      <c r="M11" s="228">
        <v>0</v>
      </c>
      <c r="N11" s="284"/>
    </row>
    <row r="12" spans="1:113">
      <c r="A12" s="126">
        <f>Ameacas!A12</f>
        <v>4</v>
      </c>
      <c r="B12" s="282">
        <f>Ameacas!B12</f>
        <v>0</v>
      </c>
      <c r="C12" s="233" t="str">
        <f>Ameacas!C12</f>
        <v>Técnico</v>
      </c>
      <c r="D12" s="434" t="str">
        <f>Ameacas!D12</f>
        <v>Reclamações - Playlist inadequada, gerando insatisfação dos participantes</v>
      </c>
      <c r="E12" s="418"/>
      <c r="F12" s="225">
        <f>Ameacas!I12</f>
        <v>157.5</v>
      </c>
      <c r="G12" s="226">
        <f>'Resposta-Ameacas'!M14</f>
        <v>0</v>
      </c>
      <c r="H12" s="227"/>
      <c r="I12" s="283">
        <f>'Resposta-Ameacas'!N14</f>
        <v>0</v>
      </c>
      <c r="J12" s="284"/>
      <c r="K12" s="284"/>
      <c r="L12" s="285"/>
      <c r="M12" s="228">
        <v>0</v>
      </c>
      <c r="N12" s="284"/>
    </row>
    <row r="13" spans="1:113" ht="25">
      <c r="A13" s="126">
        <f>Ameacas!A13</f>
        <v>5</v>
      </c>
      <c r="B13" s="282">
        <f>Ameacas!B13</f>
        <v>0</v>
      </c>
      <c r="C13" s="233" t="str">
        <f>Ameacas!C13</f>
        <v>Organizacional</v>
      </c>
      <c r="D13" s="434" t="str">
        <f>Ameacas!D13</f>
        <v>Inadimplência - Má indole, resultando em prejuízo</v>
      </c>
      <c r="E13" s="418"/>
      <c r="F13" s="225">
        <f>Ameacas!I13</f>
        <v>0</v>
      </c>
      <c r="G13" s="226">
        <f>'Resposta-Ameacas'!M15</f>
        <v>0</v>
      </c>
      <c r="H13" s="227"/>
      <c r="I13" s="283">
        <f>'Resposta-Ameacas'!N15</f>
        <v>0</v>
      </c>
      <c r="J13" s="284"/>
      <c r="K13" s="284"/>
      <c r="L13" s="285"/>
      <c r="M13" s="228">
        <v>0</v>
      </c>
      <c r="N13" s="284"/>
    </row>
    <row r="14" spans="1:113" ht="25">
      <c r="A14" s="126">
        <f>Ameacas!A14</f>
        <v>6</v>
      </c>
      <c r="B14" s="282">
        <f>Ameacas!B14</f>
        <v>0</v>
      </c>
      <c r="C14" s="233" t="str">
        <f>Ameacas!C14</f>
        <v>Organizacional</v>
      </c>
      <c r="D14" s="434" t="str">
        <f>Ameacas!D14</f>
        <v>Baixa adesão ao churrasco, pois concorre com outros eventos e, consequentemente, resultando no cancelamento do churrasco</v>
      </c>
      <c r="E14" s="418"/>
      <c r="F14" s="225">
        <f>Ameacas!I14</f>
        <v>1050</v>
      </c>
      <c r="G14" s="226">
        <f>'Resposta-Ameacas'!M16</f>
        <v>0</v>
      </c>
      <c r="H14" s="227"/>
      <c r="I14" s="283">
        <f>'Resposta-Ameacas'!N16</f>
        <v>0</v>
      </c>
      <c r="J14" s="284"/>
      <c r="K14" s="284"/>
      <c r="L14" s="285"/>
      <c r="M14" s="228">
        <v>0</v>
      </c>
      <c r="N14" s="284"/>
    </row>
    <row r="15" spans="1:113" ht="12.75" customHeight="1">
      <c r="A15" s="126">
        <f>Ameacas!A15</f>
        <v>7</v>
      </c>
      <c r="B15" s="282">
        <f>Ameacas!B15</f>
        <v>0</v>
      </c>
      <c r="C15" s="233" t="str">
        <f>Ameacas!C15</f>
        <v>Organizacional</v>
      </c>
      <c r="D15" s="434" t="str">
        <f>Ameacas!D15</f>
        <v>Baixa adesão - devido ao conflito com data e horário, resultando no cancelamento do churrasco</v>
      </c>
      <c r="E15" s="418"/>
      <c r="F15" s="225">
        <f>Ameacas!I15</f>
        <v>2450</v>
      </c>
      <c r="G15" s="226">
        <f>'Resposta-Ameacas'!M17</f>
        <v>0</v>
      </c>
      <c r="H15" s="227"/>
      <c r="I15" s="283">
        <f>'Resposta-Ameacas'!N17</f>
        <v>0</v>
      </c>
      <c r="J15" s="284"/>
      <c r="K15" s="284"/>
      <c r="L15" s="285"/>
      <c r="M15" s="228">
        <v>0</v>
      </c>
      <c r="N15" s="284"/>
    </row>
    <row r="16" spans="1:113" ht="12.75" customHeight="1">
      <c r="A16" s="126">
        <f>Ameacas!A16</f>
        <v>8</v>
      </c>
      <c r="B16" s="282">
        <f>Ameacas!B16</f>
        <v>0</v>
      </c>
      <c r="C16" s="233" t="str">
        <f>Ameacas!C16</f>
        <v>Técnico</v>
      </c>
      <c r="D16" s="434" t="str">
        <f>Ameacas!D16</f>
        <v>Churrasqueiro ruim - Churrasqueiro sem habilidade, ocasionando insatisfação dos convidados</v>
      </c>
      <c r="E16" s="418"/>
      <c r="F16" s="225">
        <f>Ameacas!I16</f>
        <v>0</v>
      </c>
      <c r="G16" s="226">
        <f>'Resposta-Ameacas'!M18</f>
        <v>0</v>
      </c>
      <c r="H16" s="227"/>
      <c r="I16" s="283">
        <f>'Resposta-Ameacas'!N18</f>
        <v>0</v>
      </c>
      <c r="J16" s="284"/>
      <c r="K16" s="284"/>
      <c r="L16" s="285"/>
      <c r="M16" s="228">
        <v>0</v>
      </c>
      <c r="N16" s="284"/>
    </row>
    <row r="17" spans="1:14">
      <c r="A17" s="126">
        <f>Ameacas!A17</f>
        <v>9</v>
      </c>
      <c r="B17" s="282">
        <f>Ameacas!B17</f>
        <v>0</v>
      </c>
      <c r="C17" s="233" t="str">
        <f>Ameacas!C17</f>
        <v>Técnico</v>
      </c>
      <c r="D17" s="434" t="str">
        <f>Ameacas!D17</f>
        <v>Churrasqueiro não compareceu - Sofreu acidente, logo o churrasco irá atrasar</v>
      </c>
      <c r="E17" s="418"/>
      <c r="F17" s="225">
        <f>Ameacas!I17</f>
        <v>0</v>
      </c>
      <c r="G17" s="226">
        <f>'Resposta-Ameacas'!M19</f>
        <v>0</v>
      </c>
      <c r="H17" s="227"/>
      <c r="I17" s="283">
        <f>'Resposta-Ameacas'!N19</f>
        <v>0</v>
      </c>
      <c r="J17" s="284"/>
      <c r="K17" s="284"/>
      <c r="L17" s="285"/>
      <c r="M17" s="228">
        <v>0</v>
      </c>
      <c r="N17" s="284"/>
    </row>
    <row r="18" spans="1:14">
      <c r="A18" s="126">
        <f>Ameacas!A18</f>
        <v>10</v>
      </c>
      <c r="B18" s="282">
        <f>Ameacas!B18</f>
        <v>0</v>
      </c>
      <c r="C18" s="233" t="str">
        <f>Ameacas!C18</f>
        <v>Técnico</v>
      </c>
      <c r="D18" s="434" t="str">
        <f>Ameacas!D18</f>
        <v>Bebida quente - Pois a geladeira quebrou, logo gera instatisfação nos convidados</v>
      </c>
      <c r="E18" s="418"/>
      <c r="F18" s="225">
        <f>Ameacas!I18</f>
        <v>0</v>
      </c>
      <c r="G18" s="226">
        <f>'Resposta-Ameacas'!M20</f>
        <v>0</v>
      </c>
      <c r="H18" s="227"/>
      <c r="I18" s="283">
        <f>'Resposta-Ameacas'!N20</f>
        <v>0</v>
      </c>
      <c r="J18" s="284"/>
      <c r="K18" s="284"/>
      <c r="L18" s="285"/>
      <c r="M18" s="228">
        <v>0</v>
      </c>
      <c r="N18" s="284"/>
    </row>
    <row r="19" spans="1:14">
      <c r="A19" s="126">
        <f>Ameacas!A19</f>
        <v>11</v>
      </c>
      <c r="B19" s="282">
        <f>Ameacas!B19</f>
        <v>0</v>
      </c>
      <c r="C19" s="233" t="str">
        <f>Ameacas!C19</f>
        <v>Técnico</v>
      </c>
      <c r="D19" s="434" t="str">
        <f>Ameacas!D19</f>
        <v>Reclamações - Bebida insuficiente, ocasionando na insatisfação dos participantes</v>
      </c>
      <c r="E19" s="418"/>
      <c r="F19" s="225">
        <f>Ameacas!I19</f>
        <v>70</v>
      </c>
      <c r="G19" s="226">
        <f>'Resposta-Ameacas'!M21</f>
        <v>0</v>
      </c>
      <c r="H19" s="227"/>
      <c r="I19" s="283">
        <f>'Resposta-Ameacas'!N21</f>
        <v>0</v>
      </c>
      <c r="J19" s="284"/>
      <c r="K19" s="284"/>
      <c r="L19" s="285"/>
      <c r="M19" s="228">
        <v>0</v>
      </c>
      <c r="N19" s="284"/>
    </row>
    <row r="20" spans="1:14">
      <c r="A20" s="126">
        <f>Ameacas!A20</f>
        <v>12</v>
      </c>
      <c r="B20" s="282">
        <f>Ameacas!B20</f>
        <v>0</v>
      </c>
      <c r="C20" s="233">
        <f>Ameacas!C20</f>
        <v>0</v>
      </c>
      <c r="D20" s="434">
        <f>Ameacas!D20</f>
        <v>0</v>
      </c>
      <c r="E20" s="418"/>
      <c r="F20" s="225">
        <f>Ameacas!I20</f>
        <v>0</v>
      </c>
      <c r="G20" s="226">
        <f>'Resposta-Ameacas'!M22</f>
        <v>0</v>
      </c>
      <c r="H20" s="227"/>
      <c r="I20" s="283">
        <f>'Resposta-Ameacas'!N22</f>
        <v>0</v>
      </c>
      <c r="J20" s="284"/>
      <c r="K20" s="284"/>
      <c r="L20" s="285"/>
      <c r="M20" s="228">
        <v>0</v>
      </c>
      <c r="N20" s="284"/>
    </row>
    <row r="21" spans="1:14">
      <c r="A21" s="126">
        <f>Ameacas!A21</f>
        <v>13</v>
      </c>
      <c r="B21" s="282">
        <f>Ameacas!B21</f>
        <v>0</v>
      </c>
      <c r="C21" s="233">
        <f>Ameacas!C21</f>
        <v>0</v>
      </c>
      <c r="D21" s="434">
        <f>Ameacas!D21</f>
        <v>0</v>
      </c>
      <c r="E21" s="418"/>
      <c r="F21" s="225">
        <f>Ameacas!I21</f>
        <v>0</v>
      </c>
      <c r="G21" s="226">
        <f>'Resposta-Ameacas'!M23</f>
        <v>0</v>
      </c>
      <c r="H21" s="227"/>
      <c r="I21" s="283">
        <f>'Resposta-Ameacas'!N23</f>
        <v>0</v>
      </c>
      <c r="J21" s="284"/>
      <c r="K21" s="284"/>
      <c r="L21" s="285"/>
      <c r="M21" s="228">
        <v>0</v>
      </c>
      <c r="N21" s="284"/>
    </row>
    <row r="22" spans="1:14">
      <c r="A22" s="126">
        <f>Ameacas!A22</f>
        <v>14</v>
      </c>
      <c r="B22" s="282">
        <f>Ameacas!B22</f>
        <v>0</v>
      </c>
      <c r="C22" s="233">
        <f>Ameacas!C22</f>
        <v>0</v>
      </c>
      <c r="D22" s="434">
        <f>Ameacas!D22</f>
        <v>0</v>
      </c>
      <c r="E22" s="418"/>
      <c r="F22" s="225">
        <f>Ameacas!I22</f>
        <v>0</v>
      </c>
      <c r="G22" s="226">
        <f>'Resposta-Ameacas'!M24</f>
        <v>0</v>
      </c>
      <c r="H22" s="227"/>
      <c r="I22" s="283">
        <f>'Resposta-Ameacas'!N24</f>
        <v>0</v>
      </c>
      <c r="J22" s="284"/>
      <c r="K22" s="284"/>
      <c r="L22" s="285"/>
      <c r="M22" s="228">
        <v>0</v>
      </c>
      <c r="N22" s="284"/>
    </row>
    <row r="23" spans="1:14">
      <c r="A23" s="126">
        <f>Ameacas!A23</f>
        <v>15</v>
      </c>
      <c r="B23" s="282">
        <f>Ameacas!B23</f>
        <v>0</v>
      </c>
      <c r="C23" s="233">
        <f>Ameacas!C23</f>
        <v>0</v>
      </c>
      <c r="D23" s="434">
        <f>Ameacas!D23</f>
        <v>0</v>
      </c>
      <c r="E23" s="418"/>
      <c r="F23" s="225">
        <f>Ameacas!I23</f>
        <v>0</v>
      </c>
      <c r="G23" s="226">
        <f>'Resposta-Ameacas'!M25</f>
        <v>0</v>
      </c>
      <c r="H23" s="227"/>
      <c r="I23" s="283">
        <f>'Resposta-Ameacas'!N25</f>
        <v>0</v>
      </c>
      <c r="J23" s="284"/>
      <c r="K23" s="284"/>
      <c r="L23" s="285"/>
      <c r="M23" s="228">
        <v>0</v>
      </c>
      <c r="N23" s="284"/>
    </row>
    <row r="24" spans="1:14">
      <c r="A24" s="126">
        <f>Ameacas!A24</f>
        <v>16</v>
      </c>
      <c r="B24" s="282">
        <f>Ameacas!B24</f>
        <v>0</v>
      </c>
      <c r="C24" s="233">
        <f>Ameacas!C24</f>
        <v>0</v>
      </c>
      <c r="D24" s="434">
        <f>Ameacas!D24</f>
        <v>0</v>
      </c>
      <c r="E24" s="418"/>
      <c r="F24" s="225">
        <f>Ameacas!I24</f>
        <v>0</v>
      </c>
      <c r="G24" s="226">
        <f>'Resposta-Ameacas'!M26</f>
        <v>0</v>
      </c>
      <c r="H24" s="227"/>
      <c r="I24" s="283">
        <f>'Resposta-Ameacas'!N26</f>
        <v>0</v>
      </c>
      <c r="J24" s="284"/>
      <c r="K24" s="284"/>
      <c r="L24" s="285"/>
      <c r="M24" s="228">
        <v>0</v>
      </c>
      <c r="N24" s="284"/>
    </row>
    <row r="25" spans="1:14">
      <c r="A25" s="126">
        <f>Ameacas!A25</f>
        <v>17</v>
      </c>
      <c r="B25" s="282">
        <f>Ameacas!B25</f>
        <v>0</v>
      </c>
      <c r="C25" s="233">
        <f>Ameacas!C25</f>
        <v>0</v>
      </c>
      <c r="D25" s="434">
        <f>Ameacas!D25</f>
        <v>0</v>
      </c>
      <c r="E25" s="418"/>
      <c r="F25" s="225">
        <f>Ameacas!I25</f>
        <v>0</v>
      </c>
      <c r="G25" s="226">
        <f>'Resposta-Ameacas'!M27</f>
        <v>0</v>
      </c>
      <c r="H25" s="227"/>
      <c r="I25" s="283">
        <f>'Resposta-Ameacas'!N27</f>
        <v>0</v>
      </c>
      <c r="J25" s="284"/>
      <c r="K25" s="284"/>
      <c r="L25" s="285"/>
      <c r="M25" s="228">
        <v>0</v>
      </c>
      <c r="N25" s="284"/>
    </row>
    <row r="26" spans="1:14">
      <c r="A26" s="126">
        <f>Ameacas!A26</f>
        <v>18</v>
      </c>
      <c r="B26" s="282">
        <f>Ameacas!B26</f>
        <v>0</v>
      </c>
      <c r="C26" s="233">
        <f>Ameacas!C26</f>
        <v>0</v>
      </c>
      <c r="D26" s="434">
        <f>Ameacas!D26</f>
        <v>0</v>
      </c>
      <c r="E26" s="418"/>
      <c r="F26" s="225">
        <f>Ameacas!I26</f>
        <v>0</v>
      </c>
      <c r="G26" s="226">
        <f>'Resposta-Ameacas'!M28</f>
        <v>0</v>
      </c>
      <c r="H26" s="227"/>
      <c r="I26" s="283">
        <f>'Resposta-Ameacas'!N28</f>
        <v>0</v>
      </c>
      <c r="J26" s="284"/>
      <c r="K26" s="284"/>
      <c r="L26" s="285"/>
      <c r="M26" s="228">
        <v>0</v>
      </c>
      <c r="N26" s="284"/>
    </row>
    <row r="27" spans="1:14">
      <c r="A27" s="126">
        <f>Ameacas!A27</f>
        <v>19</v>
      </c>
      <c r="B27" s="282">
        <f>Ameacas!B27</f>
        <v>0</v>
      </c>
      <c r="C27" s="233">
        <f>Ameacas!C27</f>
        <v>0</v>
      </c>
      <c r="D27" s="434">
        <f>Ameacas!D27</f>
        <v>0</v>
      </c>
      <c r="E27" s="418"/>
      <c r="F27" s="225">
        <f>Ameacas!I27</f>
        <v>0</v>
      </c>
      <c r="G27" s="226">
        <f>'Resposta-Ameacas'!M29</f>
        <v>0</v>
      </c>
      <c r="H27" s="227"/>
      <c r="I27" s="283">
        <f>'Resposta-Ameacas'!N29</f>
        <v>0</v>
      </c>
      <c r="J27" s="284"/>
      <c r="K27" s="284"/>
      <c r="L27" s="285"/>
      <c r="M27" s="228">
        <v>0</v>
      </c>
      <c r="N27" s="284"/>
    </row>
    <row r="28" spans="1:14">
      <c r="A28" s="126">
        <f>Ameacas!A28</f>
        <v>20</v>
      </c>
      <c r="B28" s="282">
        <f>Ameacas!B28</f>
        <v>0</v>
      </c>
      <c r="C28" s="233">
        <f>Ameacas!C28</f>
        <v>0</v>
      </c>
      <c r="D28" s="434">
        <f>Ameacas!D28</f>
        <v>0</v>
      </c>
      <c r="E28" s="418"/>
      <c r="F28" s="225">
        <f>Ameacas!I28</f>
        <v>0</v>
      </c>
      <c r="G28" s="226">
        <f>'Resposta-Ameacas'!M30</f>
        <v>0</v>
      </c>
      <c r="H28" s="227"/>
      <c r="I28" s="283">
        <f>'Resposta-Ameacas'!N30</f>
        <v>0</v>
      </c>
      <c r="J28" s="284"/>
      <c r="K28" s="284"/>
      <c r="L28" s="285"/>
      <c r="M28" s="228">
        <v>0</v>
      </c>
      <c r="N28" s="284"/>
    </row>
    <row r="29" spans="1:14">
      <c r="A29" s="126">
        <f>Ameacas!A29</f>
        <v>21</v>
      </c>
      <c r="B29" s="282">
        <f>Ameacas!B29</f>
        <v>0</v>
      </c>
      <c r="C29" s="233">
        <f>Ameacas!C29</f>
        <v>0</v>
      </c>
      <c r="D29" s="434">
        <f>Ameacas!D29</f>
        <v>0</v>
      </c>
      <c r="E29" s="418"/>
      <c r="F29" s="225">
        <f>Ameacas!I29</f>
        <v>0</v>
      </c>
      <c r="G29" s="226">
        <f>'Resposta-Ameacas'!M31</f>
        <v>0</v>
      </c>
      <c r="H29" s="227"/>
      <c r="I29" s="283">
        <f>'Resposta-Ameacas'!N31</f>
        <v>0</v>
      </c>
      <c r="J29" s="284"/>
      <c r="K29" s="284"/>
      <c r="L29" s="285"/>
      <c r="M29" s="228">
        <v>0</v>
      </c>
      <c r="N29" s="284"/>
    </row>
    <row r="30" spans="1:14">
      <c r="A30" s="126">
        <f>Ameacas!A30</f>
        <v>22</v>
      </c>
      <c r="B30" s="282">
        <f>Ameacas!B30</f>
        <v>0</v>
      </c>
      <c r="C30" s="233">
        <f>Ameacas!C30</f>
        <v>0</v>
      </c>
      <c r="D30" s="434">
        <f>Ameacas!D30</f>
        <v>0</v>
      </c>
      <c r="E30" s="418"/>
      <c r="F30" s="225">
        <f>Ameacas!I30</f>
        <v>0</v>
      </c>
      <c r="G30" s="226">
        <f>'Resposta-Ameacas'!M32</f>
        <v>0</v>
      </c>
      <c r="H30" s="227"/>
      <c r="I30" s="283">
        <f>'Resposta-Ameacas'!N32</f>
        <v>0</v>
      </c>
      <c r="J30" s="284"/>
      <c r="K30" s="284"/>
      <c r="L30" s="285"/>
      <c r="M30" s="228">
        <v>0</v>
      </c>
      <c r="N30" s="284"/>
    </row>
    <row r="31" spans="1:14">
      <c r="A31" s="126">
        <f>Ameacas!A31</f>
        <v>23</v>
      </c>
      <c r="B31" s="282">
        <f>Ameacas!B31</f>
        <v>0</v>
      </c>
      <c r="C31" s="233">
        <f>Ameacas!C31</f>
        <v>0</v>
      </c>
      <c r="D31" s="434">
        <f>Ameacas!D31</f>
        <v>0</v>
      </c>
      <c r="E31" s="418"/>
      <c r="F31" s="225">
        <f>Ameacas!I31</f>
        <v>0</v>
      </c>
      <c r="G31" s="226">
        <f>'Resposta-Ameacas'!M33</f>
        <v>0</v>
      </c>
      <c r="H31" s="227"/>
      <c r="I31" s="283">
        <f>'Resposta-Ameacas'!N33</f>
        <v>0</v>
      </c>
      <c r="J31" s="284"/>
      <c r="K31" s="284"/>
      <c r="L31" s="285"/>
      <c r="M31" s="228">
        <v>0</v>
      </c>
      <c r="N31" s="284"/>
    </row>
    <row r="32" spans="1:14">
      <c r="A32" s="126">
        <f>Ameacas!A32</f>
        <v>24</v>
      </c>
      <c r="B32" s="282">
        <f>Ameacas!B32</f>
        <v>0</v>
      </c>
      <c r="C32" s="233">
        <f>Ameacas!C32</f>
        <v>0</v>
      </c>
      <c r="D32" s="434">
        <f>Ameacas!D32</f>
        <v>0</v>
      </c>
      <c r="E32" s="418"/>
      <c r="F32" s="225">
        <f>Ameacas!I32</f>
        <v>0</v>
      </c>
      <c r="G32" s="226">
        <f>'Resposta-Ameacas'!M34</f>
        <v>0</v>
      </c>
      <c r="H32" s="227"/>
      <c r="I32" s="283">
        <f>'Resposta-Ameacas'!N34</f>
        <v>0</v>
      </c>
      <c r="J32" s="284"/>
      <c r="K32" s="284"/>
      <c r="L32" s="285"/>
      <c r="M32" s="228">
        <v>0</v>
      </c>
      <c r="N32" s="284"/>
    </row>
    <row r="33" spans="1:14">
      <c r="A33" s="126">
        <f>Ameacas!A33</f>
        <v>25</v>
      </c>
      <c r="B33" s="282">
        <f>Ameacas!B33</f>
        <v>0</v>
      </c>
      <c r="C33" s="233">
        <f>Ameacas!C33</f>
        <v>0</v>
      </c>
      <c r="D33" s="434">
        <f>Ameacas!D33</f>
        <v>0</v>
      </c>
      <c r="E33" s="418"/>
      <c r="F33" s="225">
        <f>Ameacas!I33</f>
        <v>0</v>
      </c>
      <c r="G33" s="226">
        <f>'Resposta-Ameacas'!M35</f>
        <v>0</v>
      </c>
      <c r="H33" s="227"/>
      <c r="I33" s="283">
        <f>'Resposta-Ameacas'!N35</f>
        <v>0</v>
      </c>
      <c r="J33" s="284"/>
      <c r="K33" s="284"/>
      <c r="L33" s="285"/>
      <c r="M33" s="228">
        <v>0</v>
      </c>
      <c r="N33" s="284"/>
    </row>
    <row r="34" spans="1:14">
      <c r="A34" s="126">
        <f>Ameacas!A34</f>
        <v>26</v>
      </c>
      <c r="B34" s="282">
        <f>Ameacas!B34</f>
        <v>0</v>
      </c>
      <c r="C34" s="233">
        <f>Ameacas!C34</f>
        <v>0</v>
      </c>
      <c r="D34" s="434">
        <f>Ameacas!D34</f>
        <v>0</v>
      </c>
      <c r="E34" s="418"/>
      <c r="F34" s="225">
        <f>Ameacas!I34</f>
        <v>0</v>
      </c>
      <c r="G34" s="226">
        <f>'Resposta-Ameacas'!M36</f>
        <v>0</v>
      </c>
      <c r="H34" s="227"/>
      <c r="I34" s="283">
        <f>'Resposta-Ameacas'!N36</f>
        <v>0</v>
      </c>
      <c r="J34" s="284"/>
      <c r="K34" s="284"/>
      <c r="L34" s="285"/>
      <c r="M34" s="228">
        <v>0</v>
      </c>
      <c r="N34" s="284"/>
    </row>
    <row r="35" spans="1:14">
      <c r="A35" s="126">
        <f>Ameacas!A35</f>
        <v>27</v>
      </c>
      <c r="B35" s="282">
        <f>Ameacas!B35</f>
        <v>0</v>
      </c>
      <c r="C35" s="233">
        <f>Ameacas!C35</f>
        <v>0</v>
      </c>
      <c r="D35" s="434">
        <f>Ameacas!D35</f>
        <v>0</v>
      </c>
      <c r="E35" s="418"/>
      <c r="F35" s="225">
        <f>Ameacas!I35</f>
        <v>0</v>
      </c>
      <c r="G35" s="226">
        <f>'Resposta-Ameacas'!M37</f>
        <v>0</v>
      </c>
      <c r="H35" s="227"/>
      <c r="I35" s="283">
        <f>'Resposta-Ameacas'!N37</f>
        <v>0</v>
      </c>
      <c r="J35" s="284"/>
      <c r="K35" s="284"/>
      <c r="L35" s="285"/>
      <c r="M35" s="228">
        <v>0</v>
      </c>
      <c r="N35" s="284"/>
    </row>
    <row r="36" spans="1:14">
      <c r="A36" s="126">
        <f>Ameacas!A36</f>
        <v>28</v>
      </c>
      <c r="B36" s="282">
        <f>Ameacas!B36</f>
        <v>0</v>
      </c>
      <c r="C36" s="233">
        <f>Ameacas!C36</f>
        <v>0</v>
      </c>
      <c r="D36" s="434">
        <f>Ameacas!D36</f>
        <v>0</v>
      </c>
      <c r="E36" s="418"/>
      <c r="F36" s="225">
        <f>Ameacas!I36</f>
        <v>0</v>
      </c>
      <c r="G36" s="226">
        <f>'Resposta-Ameacas'!M38</f>
        <v>0</v>
      </c>
      <c r="H36" s="227"/>
      <c r="I36" s="283">
        <f>'Resposta-Ameacas'!N38</f>
        <v>0</v>
      </c>
      <c r="J36" s="284"/>
      <c r="K36" s="284"/>
      <c r="L36" s="285"/>
      <c r="M36" s="228">
        <v>0</v>
      </c>
      <c r="N36" s="284"/>
    </row>
    <row r="37" spans="1:14">
      <c r="A37" s="126">
        <f>Ameacas!A37</f>
        <v>29</v>
      </c>
      <c r="B37" s="282">
        <f>Ameacas!B37</f>
        <v>0</v>
      </c>
      <c r="C37" s="233">
        <f>Ameacas!C37</f>
        <v>0</v>
      </c>
      <c r="D37" s="434">
        <f>Ameacas!D37</f>
        <v>0</v>
      </c>
      <c r="E37" s="418"/>
      <c r="F37" s="225">
        <f>Ameacas!I37</f>
        <v>0</v>
      </c>
      <c r="G37" s="226">
        <f>'Resposta-Ameacas'!M39</f>
        <v>0</v>
      </c>
      <c r="H37" s="227"/>
      <c r="I37" s="283">
        <f>'Resposta-Ameacas'!N39</f>
        <v>0</v>
      </c>
      <c r="J37" s="284"/>
      <c r="K37" s="284"/>
      <c r="L37" s="285"/>
      <c r="M37" s="228">
        <v>0</v>
      </c>
      <c r="N37" s="284"/>
    </row>
    <row r="38" spans="1:14">
      <c r="A38" s="126">
        <f>Ameacas!A38</f>
        <v>30</v>
      </c>
      <c r="B38" s="282">
        <f>Ameacas!B38</f>
        <v>0</v>
      </c>
      <c r="C38" s="233">
        <f>Ameacas!C38</f>
        <v>0</v>
      </c>
      <c r="D38" s="434">
        <f>Ameacas!D38</f>
        <v>0</v>
      </c>
      <c r="E38" s="418"/>
      <c r="F38" s="225">
        <f>Ameacas!I38</f>
        <v>0</v>
      </c>
      <c r="G38" s="226">
        <f>'Resposta-Ameacas'!M40</f>
        <v>0</v>
      </c>
      <c r="H38" s="227"/>
      <c r="I38" s="283">
        <f>'Resposta-Ameacas'!N40</f>
        <v>0</v>
      </c>
      <c r="J38" s="284"/>
      <c r="K38" s="284"/>
      <c r="L38" s="285"/>
      <c r="M38" s="228">
        <v>0</v>
      </c>
      <c r="N38" s="284"/>
    </row>
    <row r="39" spans="1:14">
      <c r="A39" s="126">
        <f>Ameacas!A39</f>
        <v>31</v>
      </c>
      <c r="B39" s="282">
        <f>Ameacas!B39</f>
        <v>0</v>
      </c>
      <c r="C39" s="233">
        <f>Ameacas!C39</f>
        <v>0</v>
      </c>
      <c r="D39" s="434">
        <f>Ameacas!D39</f>
        <v>0</v>
      </c>
      <c r="E39" s="418"/>
      <c r="F39" s="225">
        <f>Ameacas!I39</f>
        <v>0</v>
      </c>
      <c r="G39" s="226">
        <f>'Resposta-Ameacas'!M41</f>
        <v>0</v>
      </c>
      <c r="H39" s="227"/>
      <c r="I39" s="283">
        <f>'Resposta-Ameacas'!N41</f>
        <v>0</v>
      </c>
      <c r="J39" s="284"/>
      <c r="K39" s="284"/>
      <c r="L39" s="285"/>
      <c r="M39" s="228">
        <v>0</v>
      </c>
      <c r="N39" s="284"/>
    </row>
    <row r="40" spans="1:14">
      <c r="A40" s="126">
        <f>Ameacas!A40</f>
        <v>32</v>
      </c>
      <c r="B40" s="282">
        <f>Ameacas!B40</f>
        <v>0</v>
      </c>
      <c r="C40" s="233">
        <f>Ameacas!C40</f>
        <v>0</v>
      </c>
      <c r="D40" s="434">
        <f>Ameacas!D40</f>
        <v>0</v>
      </c>
      <c r="E40" s="418"/>
      <c r="F40" s="225">
        <f>Ameacas!I40</f>
        <v>0</v>
      </c>
      <c r="G40" s="226">
        <f>'Resposta-Ameacas'!M42</f>
        <v>0</v>
      </c>
      <c r="H40" s="227"/>
      <c r="I40" s="283">
        <f>'Resposta-Ameacas'!N42</f>
        <v>0</v>
      </c>
      <c r="J40" s="284"/>
      <c r="K40" s="284"/>
      <c r="L40" s="285"/>
      <c r="M40" s="228">
        <v>0</v>
      </c>
      <c r="N40" s="284"/>
    </row>
    <row r="41" spans="1:14">
      <c r="A41" s="126">
        <f>Ameacas!A41</f>
        <v>33</v>
      </c>
      <c r="B41" s="282">
        <f>Ameacas!B41</f>
        <v>0</v>
      </c>
      <c r="C41" s="233">
        <f>Ameacas!C41</f>
        <v>0</v>
      </c>
      <c r="D41" s="434">
        <f>Ameacas!D41</f>
        <v>0</v>
      </c>
      <c r="E41" s="418"/>
      <c r="F41" s="225">
        <f>Ameacas!I41</f>
        <v>0</v>
      </c>
      <c r="G41" s="226">
        <f>'Resposta-Ameacas'!M43</f>
        <v>0</v>
      </c>
      <c r="H41" s="227"/>
      <c r="I41" s="283">
        <f>'Resposta-Ameacas'!N43</f>
        <v>0</v>
      </c>
      <c r="J41" s="284"/>
      <c r="K41" s="284"/>
      <c r="L41" s="285"/>
      <c r="M41" s="228">
        <v>0</v>
      </c>
      <c r="N41" s="284"/>
    </row>
    <row r="42" spans="1:14">
      <c r="A42" s="126">
        <f>Ameacas!A42</f>
        <v>34</v>
      </c>
      <c r="B42" s="282">
        <f>Ameacas!B42</f>
        <v>0</v>
      </c>
      <c r="C42" s="233">
        <f>Ameacas!C42</f>
        <v>0</v>
      </c>
      <c r="D42" s="434">
        <f>Ameacas!D42</f>
        <v>0</v>
      </c>
      <c r="E42" s="418"/>
      <c r="F42" s="225">
        <f>Ameacas!I42</f>
        <v>0</v>
      </c>
      <c r="G42" s="226">
        <f>'Resposta-Ameacas'!M44</f>
        <v>0</v>
      </c>
      <c r="H42" s="227"/>
      <c r="I42" s="283">
        <f>'Resposta-Ameacas'!N44</f>
        <v>0</v>
      </c>
      <c r="J42" s="284"/>
      <c r="K42" s="284"/>
      <c r="L42" s="285"/>
      <c r="M42" s="228">
        <v>0</v>
      </c>
      <c r="N42" s="284"/>
    </row>
    <row r="43" spans="1:14">
      <c r="A43" s="126">
        <f>Ameacas!A43</f>
        <v>35</v>
      </c>
      <c r="B43" s="282">
        <f>Ameacas!B43</f>
        <v>0</v>
      </c>
      <c r="C43" s="233">
        <f>Ameacas!C43</f>
        <v>0</v>
      </c>
      <c r="D43" s="434">
        <f>Ameacas!D43</f>
        <v>0</v>
      </c>
      <c r="E43" s="418"/>
      <c r="F43" s="225">
        <f>Ameacas!I43</f>
        <v>0</v>
      </c>
      <c r="G43" s="226">
        <f>'Resposta-Ameacas'!M45</f>
        <v>0</v>
      </c>
      <c r="H43" s="227"/>
      <c r="I43" s="283">
        <f>'Resposta-Ameacas'!N45</f>
        <v>0</v>
      </c>
      <c r="J43" s="284"/>
      <c r="K43" s="284"/>
      <c r="L43" s="285"/>
      <c r="M43" s="228">
        <v>0</v>
      </c>
      <c r="N43" s="284"/>
    </row>
    <row r="44" spans="1:14">
      <c r="A44" s="126">
        <f>Ameacas!A44</f>
        <v>36</v>
      </c>
      <c r="B44" s="282">
        <f>Ameacas!B44</f>
        <v>0</v>
      </c>
      <c r="C44" s="233">
        <f>Ameacas!C44</f>
        <v>0</v>
      </c>
      <c r="D44" s="434">
        <f>Ameacas!D44</f>
        <v>0</v>
      </c>
      <c r="E44" s="418"/>
      <c r="F44" s="225">
        <f>Ameacas!I44</f>
        <v>0</v>
      </c>
      <c r="G44" s="226">
        <f>'Resposta-Ameacas'!M46</f>
        <v>0</v>
      </c>
      <c r="H44" s="227"/>
      <c r="I44" s="283">
        <f>'Resposta-Ameacas'!N46</f>
        <v>0</v>
      </c>
      <c r="J44" s="284"/>
      <c r="K44" s="284"/>
      <c r="L44" s="285"/>
      <c r="M44" s="228">
        <v>0</v>
      </c>
      <c r="N44" s="284"/>
    </row>
    <row r="45" spans="1:14">
      <c r="A45" s="126">
        <f>Ameacas!A45</f>
        <v>37</v>
      </c>
      <c r="B45" s="282">
        <f>Ameacas!B45</f>
        <v>0</v>
      </c>
      <c r="C45" s="233">
        <f>Ameacas!C45</f>
        <v>0</v>
      </c>
      <c r="D45" s="434">
        <f>Ameacas!D45</f>
        <v>0</v>
      </c>
      <c r="E45" s="418"/>
      <c r="F45" s="225">
        <f>Ameacas!I45</f>
        <v>0</v>
      </c>
      <c r="G45" s="226">
        <f>'Resposta-Ameacas'!M47</f>
        <v>0</v>
      </c>
      <c r="H45" s="227"/>
      <c r="I45" s="283">
        <f>'Resposta-Ameacas'!N47</f>
        <v>0</v>
      </c>
      <c r="J45" s="284"/>
      <c r="K45" s="284"/>
      <c r="L45" s="285"/>
      <c r="M45" s="228">
        <v>0</v>
      </c>
      <c r="N45" s="284"/>
    </row>
    <row r="46" spans="1:14">
      <c r="A46" s="126">
        <f>Ameacas!A46</f>
        <v>38</v>
      </c>
      <c r="B46" s="282">
        <f>Ameacas!B46</f>
        <v>0</v>
      </c>
      <c r="C46" s="233">
        <f>Ameacas!C46</f>
        <v>0</v>
      </c>
      <c r="D46" s="434">
        <f>Ameacas!D46</f>
        <v>0</v>
      </c>
      <c r="E46" s="418"/>
      <c r="F46" s="225">
        <f>Ameacas!I46</f>
        <v>0</v>
      </c>
      <c r="G46" s="226">
        <f>'Resposta-Ameacas'!M48</f>
        <v>0</v>
      </c>
      <c r="H46" s="227"/>
      <c r="I46" s="283">
        <f>'Resposta-Ameacas'!N48</f>
        <v>0</v>
      </c>
      <c r="J46" s="284"/>
      <c r="K46" s="284"/>
      <c r="L46" s="285"/>
      <c r="M46" s="228">
        <v>0</v>
      </c>
      <c r="N46" s="284"/>
    </row>
    <row r="47" spans="1:14">
      <c r="A47" s="126">
        <f>Ameacas!A47</f>
        <v>39</v>
      </c>
      <c r="B47" s="282">
        <f>Ameacas!B47</f>
        <v>0</v>
      </c>
      <c r="C47" s="233">
        <f>Ameacas!C47</f>
        <v>0</v>
      </c>
      <c r="D47" s="434">
        <f>Ameacas!D47</f>
        <v>0</v>
      </c>
      <c r="E47" s="418"/>
      <c r="F47" s="225">
        <f>Ameacas!I47</f>
        <v>0</v>
      </c>
      <c r="G47" s="226">
        <f>'Resposta-Ameacas'!M49</f>
        <v>0</v>
      </c>
      <c r="H47" s="227"/>
      <c r="I47" s="283">
        <f>'Resposta-Ameacas'!N49</f>
        <v>0</v>
      </c>
      <c r="J47" s="284"/>
      <c r="K47" s="284"/>
      <c r="L47" s="285"/>
      <c r="M47" s="228">
        <v>0</v>
      </c>
      <c r="N47" s="284"/>
    </row>
    <row r="48" spans="1:14">
      <c r="A48" s="126">
        <f>Ameacas!A48</f>
        <v>40</v>
      </c>
      <c r="B48" s="282">
        <f>Ameacas!B48</f>
        <v>0</v>
      </c>
      <c r="C48" s="233">
        <f>Ameacas!C48</f>
        <v>0</v>
      </c>
      <c r="D48" s="434">
        <f>Ameacas!D48</f>
        <v>0</v>
      </c>
      <c r="E48" s="418"/>
      <c r="F48" s="225">
        <f>Ameacas!I48</f>
        <v>0</v>
      </c>
      <c r="G48" s="226">
        <f>'Resposta-Ameacas'!M50</f>
        <v>0</v>
      </c>
      <c r="H48" s="227"/>
      <c r="I48" s="283">
        <f>'Resposta-Ameacas'!N50</f>
        <v>0</v>
      </c>
      <c r="J48" s="284"/>
      <c r="K48" s="284"/>
      <c r="L48" s="285"/>
      <c r="M48" s="228">
        <v>0</v>
      </c>
      <c r="N48" s="284"/>
    </row>
    <row r="49" spans="1:14">
      <c r="A49" s="126">
        <f>Ameacas!A49</f>
        <v>41</v>
      </c>
      <c r="B49" s="282">
        <f>Ameacas!B49</f>
        <v>0</v>
      </c>
      <c r="C49" s="233">
        <f>Ameacas!C49</f>
        <v>0</v>
      </c>
      <c r="D49" s="434">
        <f>Ameacas!D49</f>
        <v>0</v>
      </c>
      <c r="E49" s="418"/>
      <c r="F49" s="225">
        <f>Ameacas!I49</f>
        <v>0</v>
      </c>
      <c r="G49" s="226">
        <f>'Resposta-Ameacas'!M51</f>
        <v>0</v>
      </c>
      <c r="H49" s="227"/>
      <c r="I49" s="283">
        <f>'Resposta-Ameacas'!N51</f>
        <v>0</v>
      </c>
      <c r="J49" s="284"/>
      <c r="K49" s="284"/>
      <c r="L49" s="285"/>
      <c r="M49" s="228">
        <v>0</v>
      </c>
      <c r="N49" s="284"/>
    </row>
    <row r="50" spans="1:14">
      <c r="A50" s="126">
        <f>Ameacas!A50</f>
        <v>42</v>
      </c>
      <c r="B50" s="282">
        <f>Ameacas!B50</f>
        <v>0</v>
      </c>
      <c r="C50" s="233">
        <f>Ameacas!C50</f>
        <v>0</v>
      </c>
      <c r="D50" s="434">
        <f>Ameacas!D50</f>
        <v>0</v>
      </c>
      <c r="E50" s="418"/>
      <c r="F50" s="225">
        <f>Ameacas!I50</f>
        <v>0</v>
      </c>
      <c r="G50" s="226">
        <f>'Resposta-Ameacas'!M52</f>
        <v>0</v>
      </c>
      <c r="H50" s="227"/>
      <c r="I50" s="283">
        <f>'Resposta-Ameacas'!N52</f>
        <v>0</v>
      </c>
      <c r="J50" s="284"/>
      <c r="K50" s="284"/>
      <c r="L50" s="285"/>
      <c r="M50" s="228">
        <v>0</v>
      </c>
      <c r="N50" s="284"/>
    </row>
    <row r="51" spans="1:14">
      <c r="A51" s="126">
        <f>Ameacas!A51</f>
        <v>43</v>
      </c>
      <c r="B51" s="282">
        <f>Ameacas!B51</f>
        <v>0</v>
      </c>
      <c r="C51" s="233">
        <f>Ameacas!C51</f>
        <v>0</v>
      </c>
      <c r="D51" s="434">
        <f>Ameacas!D51</f>
        <v>0</v>
      </c>
      <c r="E51" s="418"/>
      <c r="F51" s="225">
        <f>Ameacas!I51</f>
        <v>0</v>
      </c>
      <c r="G51" s="226">
        <f>'Resposta-Ameacas'!M53</f>
        <v>0</v>
      </c>
      <c r="H51" s="227"/>
      <c r="I51" s="283">
        <f>'Resposta-Ameacas'!N53</f>
        <v>0</v>
      </c>
      <c r="J51" s="284"/>
      <c r="K51" s="284"/>
      <c r="L51" s="285"/>
      <c r="M51" s="228">
        <v>0</v>
      </c>
      <c r="N51" s="284"/>
    </row>
    <row r="52" spans="1:14">
      <c r="A52" s="126">
        <f>Ameacas!A52</f>
        <v>44</v>
      </c>
      <c r="B52" s="282">
        <f>Ameacas!B52</f>
        <v>0</v>
      </c>
      <c r="C52" s="233">
        <f>Ameacas!C52</f>
        <v>0</v>
      </c>
      <c r="D52" s="434">
        <f>Ameacas!D52</f>
        <v>0</v>
      </c>
      <c r="E52" s="418"/>
      <c r="F52" s="225">
        <f>Ameacas!I52</f>
        <v>0</v>
      </c>
      <c r="G52" s="226">
        <f>'Resposta-Ameacas'!M54</f>
        <v>0</v>
      </c>
      <c r="H52" s="227"/>
      <c r="I52" s="283">
        <f>'Resposta-Ameacas'!N54</f>
        <v>0</v>
      </c>
      <c r="J52" s="284"/>
      <c r="K52" s="284"/>
      <c r="L52" s="285"/>
      <c r="M52" s="228">
        <v>0</v>
      </c>
      <c r="N52" s="284"/>
    </row>
    <row r="53" spans="1:14">
      <c r="A53" s="126">
        <f>Ameacas!A53</f>
        <v>45</v>
      </c>
      <c r="B53" s="282">
        <f>Ameacas!B53</f>
        <v>0</v>
      </c>
      <c r="C53" s="233">
        <f>Ameacas!C53</f>
        <v>0</v>
      </c>
      <c r="D53" s="434">
        <f>Ameacas!D53</f>
        <v>0</v>
      </c>
      <c r="E53" s="418"/>
      <c r="F53" s="225">
        <f>Ameacas!I53</f>
        <v>0</v>
      </c>
      <c r="G53" s="226">
        <f>'Resposta-Ameacas'!M55</f>
        <v>0</v>
      </c>
      <c r="H53" s="227"/>
      <c r="I53" s="283">
        <f>'Resposta-Ameacas'!N55</f>
        <v>0</v>
      </c>
      <c r="J53" s="284"/>
      <c r="K53" s="284"/>
      <c r="L53" s="285"/>
      <c r="M53" s="228">
        <v>0</v>
      </c>
      <c r="N53" s="284"/>
    </row>
    <row r="54" spans="1:14">
      <c r="A54" s="126">
        <f>Ameacas!A54</f>
        <v>46</v>
      </c>
      <c r="B54" s="282">
        <f>Ameacas!B54</f>
        <v>0</v>
      </c>
      <c r="C54" s="233">
        <f>Ameacas!C54</f>
        <v>0</v>
      </c>
      <c r="D54" s="434">
        <f>Ameacas!D54</f>
        <v>0</v>
      </c>
      <c r="E54" s="418"/>
      <c r="F54" s="225">
        <f>Ameacas!I54</f>
        <v>0</v>
      </c>
      <c r="G54" s="226">
        <f>'Resposta-Ameacas'!M56</f>
        <v>0</v>
      </c>
      <c r="H54" s="227"/>
      <c r="I54" s="283">
        <f>'Resposta-Ameacas'!N56</f>
        <v>0</v>
      </c>
      <c r="J54" s="284"/>
      <c r="K54" s="284"/>
      <c r="L54" s="285"/>
      <c r="M54" s="228">
        <v>0</v>
      </c>
      <c r="N54" s="284"/>
    </row>
    <row r="55" spans="1:14">
      <c r="A55" s="126">
        <f>Ameacas!A55</f>
        <v>47</v>
      </c>
      <c r="B55" s="282">
        <f>Ameacas!B55</f>
        <v>0</v>
      </c>
      <c r="C55" s="233">
        <f>Ameacas!C55</f>
        <v>0</v>
      </c>
      <c r="D55" s="434">
        <f>Ameacas!D55</f>
        <v>0</v>
      </c>
      <c r="E55" s="418"/>
      <c r="F55" s="225">
        <f>Ameacas!I55</f>
        <v>0</v>
      </c>
      <c r="G55" s="226">
        <f>'Resposta-Ameacas'!M57</f>
        <v>0</v>
      </c>
      <c r="H55" s="227"/>
      <c r="I55" s="283">
        <f>'Resposta-Ameacas'!N57</f>
        <v>0</v>
      </c>
      <c r="J55" s="284"/>
      <c r="K55" s="284"/>
      <c r="L55" s="285"/>
      <c r="M55" s="228">
        <v>0</v>
      </c>
      <c r="N55" s="284"/>
    </row>
    <row r="56" spans="1:14">
      <c r="A56" s="126">
        <f>Ameacas!A56</f>
        <v>48</v>
      </c>
      <c r="B56" s="282">
        <f>Ameacas!B56</f>
        <v>0</v>
      </c>
      <c r="C56" s="233">
        <f>Ameacas!C56</f>
        <v>0</v>
      </c>
      <c r="D56" s="434">
        <f>Ameacas!D56</f>
        <v>0</v>
      </c>
      <c r="E56" s="418"/>
      <c r="F56" s="225">
        <f>Ameacas!I56</f>
        <v>0</v>
      </c>
      <c r="G56" s="226">
        <f>'Resposta-Ameacas'!M58</f>
        <v>0</v>
      </c>
      <c r="H56" s="227"/>
      <c r="I56" s="283">
        <f>'Resposta-Ameacas'!N58</f>
        <v>0</v>
      </c>
      <c r="J56" s="284"/>
      <c r="K56" s="284"/>
      <c r="L56" s="285"/>
      <c r="M56" s="228">
        <v>0</v>
      </c>
      <c r="N56" s="284"/>
    </row>
    <row r="57" spans="1:14">
      <c r="A57" s="126">
        <f>Ameacas!A57</f>
        <v>49</v>
      </c>
      <c r="B57" s="282">
        <f>Ameacas!B57</f>
        <v>0</v>
      </c>
      <c r="C57" s="233">
        <f>Ameacas!C57</f>
        <v>0</v>
      </c>
      <c r="D57" s="434">
        <f>Ameacas!D57</f>
        <v>0</v>
      </c>
      <c r="E57" s="418"/>
      <c r="F57" s="225">
        <f>Ameacas!I57</f>
        <v>0</v>
      </c>
      <c r="G57" s="226">
        <f>'Resposta-Ameacas'!M59</f>
        <v>0</v>
      </c>
      <c r="H57" s="227"/>
      <c r="I57" s="283">
        <f>'Resposta-Ameacas'!N59</f>
        <v>0</v>
      </c>
      <c r="J57" s="284"/>
      <c r="K57" s="284"/>
      <c r="L57" s="285"/>
      <c r="M57" s="228">
        <v>0</v>
      </c>
      <c r="N57" s="284"/>
    </row>
    <row r="58" spans="1:14">
      <c r="A58" s="126">
        <f>Ameacas!A58</f>
        <v>50</v>
      </c>
      <c r="B58" s="282">
        <f>Ameacas!B58</f>
        <v>0</v>
      </c>
      <c r="C58" s="233">
        <f>Ameacas!C58</f>
        <v>0</v>
      </c>
      <c r="D58" s="434">
        <f>Ameacas!D58</f>
        <v>0</v>
      </c>
      <c r="E58" s="418"/>
      <c r="F58" s="225">
        <f>Ameacas!I58</f>
        <v>0</v>
      </c>
      <c r="G58" s="226">
        <f>'Resposta-Ameacas'!M60</f>
        <v>0</v>
      </c>
      <c r="H58" s="227"/>
      <c r="I58" s="283">
        <f>'Resposta-Ameacas'!N60</f>
        <v>0</v>
      </c>
      <c r="J58" s="284"/>
      <c r="K58" s="284"/>
      <c r="L58" s="285"/>
      <c r="M58" s="228">
        <v>0</v>
      </c>
      <c r="N58" s="284"/>
    </row>
    <row r="59" spans="1:14">
      <c r="A59" s="126">
        <f>Ameacas!A59</f>
        <v>51</v>
      </c>
      <c r="B59" s="282">
        <f>Ameacas!B59</f>
        <v>0</v>
      </c>
      <c r="C59" s="233">
        <f>Ameacas!C59</f>
        <v>0</v>
      </c>
      <c r="D59" s="434">
        <f>Ameacas!D59</f>
        <v>0</v>
      </c>
      <c r="E59" s="418"/>
      <c r="F59" s="225">
        <f>Ameacas!I59</f>
        <v>0</v>
      </c>
      <c r="G59" s="226">
        <f>'Resposta-Ameacas'!M61</f>
        <v>0</v>
      </c>
      <c r="H59" s="227"/>
      <c r="I59" s="283">
        <f>'Resposta-Ameacas'!N61</f>
        <v>0</v>
      </c>
      <c r="J59" s="284"/>
      <c r="K59" s="284"/>
      <c r="L59" s="285"/>
      <c r="M59" s="228">
        <v>0</v>
      </c>
      <c r="N59" s="284"/>
    </row>
    <row r="60" spans="1:14">
      <c r="A60" s="126">
        <f>Ameacas!A60</f>
        <v>52</v>
      </c>
      <c r="B60" s="282">
        <f>Ameacas!B60</f>
        <v>0</v>
      </c>
      <c r="C60" s="233">
        <f>Ameacas!C60</f>
        <v>0</v>
      </c>
      <c r="D60" s="434">
        <f>Ameacas!D60</f>
        <v>0</v>
      </c>
      <c r="E60" s="418"/>
      <c r="F60" s="225">
        <f>Ameacas!I60</f>
        <v>0</v>
      </c>
      <c r="G60" s="226">
        <f>'Resposta-Ameacas'!M62</f>
        <v>0</v>
      </c>
      <c r="H60" s="227"/>
      <c r="I60" s="283">
        <f>'Resposta-Ameacas'!N62</f>
        <v>0</v>
      </c>
      <c r="J60" s="284"/>
      <c r="K60" s="284"/>
      <c r="L60" s="285"/>
      <c r="M60" s="228">
        <v>0</v>
      </c>
      <c r="N60" s="284"/>
    </row>
    <row r="61" spans="1:14">
      <c r="A61" s="126">
        <f>Ameacas!A61</f>
        <v>53</v>
      </c>
      <c r="B61" s="282">
        <f>Ameacas!B61</f>
        <v>0</v>
      </c>
      <c r="C61" s="233">
        <f>Ameacas!C61</f>
        <v>0</v>
      </c>
      <c r="D61" s="434">
        <f>Ameacas!D61</f>
        <v>0</v>
      </c>
      <c r="E61" s="418"/>
      <c r="F61" s="225">
        <f>Ameacas!I61</f>
        <v>0</v>
      </c>
      <c r="G61" s="226">
        <f>'Resposta-Ameacas'!M63</f>
        <v>0</v>
      </c>
      <c r="H61" s="227"/>
      <c r="I61" s="283">
        <f>'Resposta-Ameacas'!N63</f>
        <v>0</v>
      </c>
      <c r="J61" s="284"/>
      <c r="K61" s="284"/>
      <c r="L61" s="285"/>
      <c r="M61" s="228">
        <v>0</v>
      </c>
      <c r="N61" s="284"/>
    </row>
    <row r="62" spans="1:14">
      <c r="A62" s="126">
        <f>Ameacas!A62</f>
        <v>54</v>
      </c>
      <c r="B62" s="282">
        <f>Ameacas!B62</f>
        <v>0</v>
      </c>
      <c r="C62" s="233">
        <f>Ameacas!C62</f>
        <v>0</v>
      </c>
      <c r="D62" s="434">
        <f>Ameacas!D62</f>
        <v>0</v>
      </c>
      <c r="E62" s="418"/>
      <c r="F62" s="225">
        <f>Ameacas!I62</f>
        <v>0</v>
      </c>
      <c r="G62" s="226">
        <f>'Resposta-Ameacas'!M64</f>
        <v>0</v>
      </c>
      <c r="H62" s="227"/>
      <c r="I62" s="283">
        <f>'Resposta-Ameacas'!N64</f>
        <v>0</v>
      </c>
      <c r="J62" s="284"/>
      <c r="K62" s="284"/>
      <c r="L62" s="285"/>
      <c r="M62" s="228">
        <v>0</v>
      </c>
      <c r="N62" s="284"/>
    </row>
    <row r="63" spans="1:14">
      <c r="A63" s="126">
        <f>Ameacas!A63</f>
        <v>55</v>
      </c>
      <c r="B63" s="282">
        <f>Ameacas!B63</f>
        <v>0</v>
      </c>
      <c r="C63" s="233">
        <f>Ameacas!C63</f>
        <v>0</v>
      </c>
      <c r="D63" s="434">
        <f>Ameacas!D63</f>
        <v>0</v>
      </c>
      <c r="E63" s="418"/>
      <c r="F63" s="225">
        <f>Ameacas!I63</f>
        <v>0</v>
      </c>
      <c r="G63" s="226">
        <f>'Resposta-Ameacas'!M65</f>
        <v>0</v>
      </c>
      <c r="H63" s="227"/>
      <c r="I63" s="283">
        <f>'Resposta-Ameacas'!N65</f>
        <v>0</v>
      </c>
      <c r="J63" s="284"/>
      <c r="K63" s="284"/>
      <c r="L63" s="285"/>
      <c r="M63" s="228">
        <v>0</v>
      </c>
      <c r="N63" s="284"/>
    </row>
    <row r="64" spans="1:14" ht="12.75" customHeight="1">
      <c r="A64" s="126">
        <f>Ameacas!A64</f>
        <v>56</v>
      </c>
      <c r="B64" s="282">
        <f>Ameacas!B64</f>
        <v>0</v>
      </c>
      <c r="C64" s="233">
        <f>Ameacas!C64</f>
        <v>0</v>
      </c>
      <c r="D64" s="434">
        <f>Ameacas!D64</f>
        <v>0</v>
      </c>
      <c r="E64" s="418"/>
      <c r="F64" s="225">
        <f>Ameacas!I64</f>
        <v>0</v>
      </c>
      <c r="G64" s="226">
        <f>'Resposta-Ameacas'!M66</f>
        <v>0</v>
      </c>
      <c r="H64" s="227"/>
      <c r="I64" s="283">
        <f>'Resposta-Ameacas'!N66</f>
        <v>0</v>
      </c>
      <c r="J64" s="284"/>
      <c r="K64" s="284"/>
      <c r="L64" s="285"/>
      <c r="M64" s="228">
        <v>0</v>
      </c>
      <c r="N64" s="284"/>
    </row>
    <row r="65" spans="1:14" ht="12.75" customHeight="1">
      <c r="A65" s="126">
        <f>Ameacas!A65</f>
        <v>57</v>
      </c>
      <c r="B65" s="282">
        <f>Ameacas!B65</f>
        <v>0</v>
      </c>
      <c r="C65" s="233">
        <f>Ameacas!C65</f>
        <v>0</v>
      </c>
      <c r="D65" s="434">
        <f>Ameacas!D65</f>
        <v>0</v>
      </c>
      <c r="E65" s="418"/>
      <c r="F65" s="225">
        <f>Ameacas!I65</f>
        <v>0</v>
      </c>
      <c r="G65" s="226">
        <f>'Resposta-Ameacas'!M67</f>
        <v>0</v>
      </c>
      <c r="H65" s="227"/>
      <c r="I65" s="283">
        <f>'Resposta-Ameacas'!N67</f>
        <v>0</v>
      </c>
      <c r="J65" s="284"/>
      <c r="K65" s="284"/>
      <c r="L65" s="285"/>
      <c r="M65" s="228">
        <v>0</v>
      </c>
      <c r="N65" s="284"/>
    </row>
    <row r="66" spans="1:14">
      <c r="A66" s="126">
        <f>Ameacas!A66</f>
        <v>58</v>
      </c>
      <c r="B66" s="282">
        <f>Ameacas!B66</f>
        <v>0</v>
      </c>
      <c r="C66" s="233">
        <f>Ameacas!C66</f>
        <v>0</v>
      </c>
      <c r="D66" s="434">
        <f>Ameacas!D66</f>
        <v>0</v>
      </c>
      <c r="E66" s="418"/>
      <c r="F66" s="225">
        <f>Ameacas!I66</f>
        <v>0</v>
      </c>
      <c r="G66" s="226">
        <f>'Resposta-Ameacas'!M68</f>
        <v>0</v>
      </c>
      <c r="H66" s="227"/>
      <c r="I66" s="283">
        <f>'Resposta-Ameacas'!N68</f>
        <v>0</v>
      </c>
      <c r="J66" s="284"/>
      <c r="K66" s="284"/>
      <c r="L66" s="285"/>
      <c r="M66" s="228">
        <v>0</v>
      </c>
      <c r="N66" s="284"/>
    </row>
    <row r="67" spans="1:14">
      <c r="A67" s="126">
        <f>Ameacas!A67</f>
        <v>59</v>
      </c>
      <c r="B67" s="282">
        <f>Ameacas!B67</f>
        <v>0</v>
      </c>
      <c r="C67" s="233">
        <f>Ameacas!C67</f>
        <v>0</v>
      </c>
      <c r="D67" s="434">
        <f>Ameacas!D67</f>
        <v>0</v>
      </c>
      <c r="E67" s="418"/>
      <c r="F67" s="225">
        <f>Ameacas!I67</f>
        <v>0</v>
      </c>
      <c r="G67" s="226">
        <f>'Resposta-Ameacas'!M69</f>
        <v>0</v>
      </c>
      <c r="H67" s="227"/>
      <c r="I67" s="283">
        <f>'Resposta-Ameacas'!N69</f>
        <v>0</v>
      </c>
      <c r="J67" s="284"/>
      <c r="K67" s="284"/>
      <c r="L67" s="285"/>
      <c r="M67" s="228">
        <v>0</v>
      </c>
      <c r="N67" s="284"/>
    </row>
    <row r="68" spans="1:14">
      <c r="A68" s="126">
        <f>Ameacas!A68</f>
        <v>60</v>
      </c>
      <c r="B68" s="282">
        <f>Ameacas!B68</f>
        <v>0</v>
      </c>
      <c r="C68" s="233">
        <f>Ameacas!C68</f>
        <v>0</v>
      </c>
      <c r="D68" s="434">
        <f>Ameacas!D68</f>
        <v>0</v>
      </c>
      <c r="E68" s="418"/>
      <c r="F68" s="225">
        <f>Ameacas!I68</f>
        <v>0</v>
      </c>
      <c r="G68" s="226">
        <f>'Resposta-Ameacas'!M70</f>
        <v>0</v>
      </c>
      <c r="H68" s="227"/>
      <c r="I68" s="283">
        <f>'Resposta-Ameacas'!N70</f>
        <v>0</v>
      </c>
      <c r="J68" s="284"/>
      <c r="K68" s="284"/>
      <c r="L68" s="285"/>
      <c r="M68" s="228">
        <v>0</v>
      </c>
      <c r="N68" s="284"/>
    </row>
    <row r="69" spans="1:14">
      <c r="A69" s="126">
        <f>Ameacas!A69</f>
        <v>61</v>
      </c>
      <c r="B69" s="282">
        <f>Ameacas!B69</f>
        <v>0</v>
      </c>
      <c r="C69" s="233">
        <f>Ameacas!C69</f>
        <v>0</v>
      </c>
      <c r="D69" s="434">
        <f>Ameacas!D69</f>
        <v>0</v>
      </c>
      <c r="E69" s="418"/>
      <c r="F69" s="225">
        <f>Ameacas!I69</f>
        <v>0</v>
      </c>
      <c r="G69" s="226">
        <f>'Resposta-Ameacas'!M71</f>
        <v>0</v>
      </c>
      <c r="H69" s="227"/>
      <c r="I69" s="283">
        <f>'Resposta-Ameacas'!N71</f>
        <v>0</v>
      </c>
      <c r="J69" s="284"/>
      <c r="K69" s="284"/>
      <c r="L69" s="285"/>
      <c r="M69" s="228">
        <v>0</v>
      </c>
      <c r="N69" s="284"/>
    </row>
    <row r="70" spans="1:14">
      <c r="A70" s="126">
        <f>Ameacas!A70</f>
        <v>62</v>
      </c>
      <c r="B70" s="282">
        <f>Ameacas!B70</f>
        <v>0</v>
      </c>
      <c r="C70" s="233">
        <f>Ameacas!C70</f>
        <v>0</v>
      </c>
      <c r="D70" s="434">
        <f>Ameacas!D70</f>
        <v>0</v>
      </c>
      <c r="E70" s="418"/>
      <c r="F70" s="225">
        <f>Ameacas!I70</f>
        <v>0</v>
      </c>
      <c r="G70" s="226">
        <f>'Resposta-Ameacas'!M72</f>
        <v>0</v>
      </c>
      <c r="H70" s="227"/>
      <c r="I70" s="283">
        <f>'Resposta-Ameacas'!N72</f>
        <v>0</v>
      </c>
      <c r="J70" s="284"/>
      <c r="K70" s="284"/>
      <c r="L70" s="285"/>
      <c r="M70" s="228">
        <v>0</v>
      </c>
      <c r="N70" s="284"/>
    </row>
    <row r="71" spans="1:14">
      <c r="A71" s="126">
        <f>Ameacas!A71</f>
        <v>63</v>
      </c>
      <c r="B71" s="282">
        <f>Ameacas!B71</f>
        <v>0</v>
      </c>
      <c r="C71" s="233">
        <f>Ameacas!C71</f>
        <v>0</v>
      </c>
      <c r="D71" s="434">
        <f>Ameacas!D71</f>
        <v>0</v>
      </c>
      <c r="E71" s="418"/>
      <c r="F71" s="225">
        <f>Ameacas!I71</f>
        <v>0</v>
      </c>
      <c r="G71" s="226">
        <f>'Resposta-Ameacas'!M73</f>
        <v>0</v>
      </c>
      <c r="H71" s="227"/>
      <c r="I71" s="283">
        <f>'Resposta-Ameacas'!N73</f>
        <v>0</v>
      </c>
      <c r="J71" s="284"/>
      <c r="K71" s="284"/>
      <c r="L71" s="285"/>
      <c r="M71" s="228">
        <v>0</v>
      </c>
      <c r="N71" s="284"/>
    </row>
    <row r="72" spans="1:14">
      <c r="A72" s="126">
        <f>Ameacas!A72</f>
        <v>64</v>
      </c>
      <c r="B72" s="282">
        <f>Ameacas!B72</f>
        <v>0</v>
      </c>
      <c r="C72" s="233">
        <f>Ameacas!C72</f>
        <v>0</v>
      </c>
      <c r="D72" s="434">
        <f>Ameacas!D72</f>
        <v>0</v>
      </c>
      <c r="E72" s="418"/>
      <c r="F72" s="225">
        <f>Ameacas!I72</f>
        <v>0</v>
      </c>
      <c r="G72" s="226">
        <f>'Resposta-Ameacas'!M74</f>
        <v>0</v>
      </c>
      <c r="H72" s="227"/>
      <c r="I72" s="283">
        <f>'Resposta-Ameacas'!N74</f>
        <v>0</v>
      </c>
      <c r="J72" s="284"/>
      <c r="K72" s="284"/>
      <c r="L72" s="285"/>
      <c r="M72" s="228">
        <v>0</v>
      </c>
      <c r="N72" s="284"/>
    </row>
    <row r="73" spans="1:14">
      <c r="A73" s="126">
        <f>Ameacas!A73</f>
        <v>65</v>
      </c>
      <c r="B73" s="282">
        <f>Ameacas!B73</f>
        <v>0</v>
      </c>
      <c r="C73" s="233">
        <f>Ameacas!C73</f>
        <v>0</v>
      </c>
      <c r="D73" s="434">
        <f>Ameacas!D73</f>
        <v>0</v>
      </c>
      <c r="E73" s="418"/>
      <c r="F73" s="225">
        <f>Ameacas!I73</f>
        <v>0</v>
      </c>
      <c r="G73" s="226">
        <f>'Resposta-Ameacas'!M75</f>
        <v>0</v>
      </c>
      <c r="H73" s="227"/>
      <c r="I73" s="283">
        <f>'Resposta-Ameacas'!N75</f>
        <v>0</v>
      </c>
      <c r="J73" s="284"/>
      <c r="K73" s="284"/>
      <c r="L73" s="285"/>
      <c r="M73" s="228">
        <v>0</v>
      </c>
      <c r="N73" s="284"/>
    </row>
    <row r="74" spans="1:14">
      <c r="A74" s="126">
        <f>Ameacas!A74</f>
        <v>66</v>
      </c>
      <c r="B74" s="282">
        <f>Ameacas!B74</f>
        <v>0</v>
      </c>
      <c r="C74" s="233">
        <f>Ameacas!C74</f>
        <v>0</v>
      </c>
      <c r="D74" s="434">
        <f>Ameacas!D74</f>
        <v>0</v>
      </c>
      <c r="E74" s="418"/>
      <c r="F74" s="225">
        <f>Ameacas!I74</f>
        <v>0</v>
      </c>
      <c r="G74" s="226">
        <f>'Resposta-Ameacas'!M76</f>
        <v>0</v>
      </c>
      <c r="H74" s="227"/>
      <c r="I74" s="283">
        <f>'Resposta-Ameacas'!N76</f>
        <v>0</v>
      </c>
      <c r="J74" s="284"/>
      <c r="K74" s="284"/>
      <c r="L74" s="285"/>
      <c r="M74" s="228">
        <v>0</v>
      </c>
      <c r="N74" s="284"/>
    </row>
    <row r="75" spans="1:14">
      <c r="A75" s="126">
        <f>Ameacas!A75</f>
        <v>67</v>
      </c>
      <c r="B75" s="282">
        <f>Ameacas!B75</f>
        <v>0</v>
      </c>
      <c r="C75" s="233">
        <f>Ameacas!C75</f>
        <v>0</v>
      </c>
      <c r="D75" s="434">
        <f>Ameacas!D75</f>
        <v>0</v>
      </c>
      <c r="E75" s="418"/>
      <c r="F75" s="225">
        <f>Ameacas!I75</f>
        <v>0</v>
      </c>
      <c r="G75" s="226">
        <f>'Resposta-Ameacas'!M77</f>
        <v>0</v>
      </c>
      <c r="H75" s="227"/>
      <c r="I75" s="283">
        <f>'Resposta-Ameacas'!N77</f>
        <v>0</v>
      </c>
      <c r="J75" s="284"/>
      <c r="K75" s="284"/>
      <c r="L75" s="285"/>
      <c r="M75" s="228">
        <v>0</v>
      </c>
      <c r="N75" s="284"/>
    </row>
    <row r="76" spans="1:14">
      <c r="A76" s="126">
        <f>Ameacas!A76</f>
        <v>68</v>
      </c>
      <c r="B76" s="282">
        <f>Ameacas!B76</f>
        <v>0</v>
      </c>
      <c r="C76" s="233">
        <f>Ameacas!C76</f>
        <v>0</v>
      </c>
      <c r="D76" s="434">
        <f>Ameacas!D76</f>
        <v>0</v>
      </c>
      <c r="E76" s="418"/>
      <c r="F76" s="225">
        <f>Ameacas!I76</f>
        <v>0</v>
      </c>
      <c r="G76" s="226">
        <f>'Resposta-Ameacas'!M78</f>
        <v>0</v>
      </c>
      <c r="H76" s="227"/>
      <c r="I76" s="283">
        <f>'Resposta-Ameacas'!N78</f>
        <v>0</v>
      </c>
      <c r="J76" s="284"/>
      <c r="K76" s="284"/>
      <c r="L76" s="285"/>
      <c r="M76" s="228">
        <v>0</v>
      </c>
      <c r="N76" s="284"/>
    </row>
    <row r="77" spans="1:14">
      <c r="A77" s="126">
        <f>Ameacas!A77</f>
        <v>69</v>
      </c>
      <c r="B77" s="282">
        <f>Ameacas!B77</f>
        <v>0</v>
      </c>
      <c r="C77" s="233">
        <f>Ameacas!C77</f>
        <v>0</v>
      </c>
      <c r="D77" s="434">
        <f>Ameacas!D77</f>
        <v>0</v>
      </c>
      <c r="E77" s="418"/>
      <c r="F77" s="225">
        <f>Ameacas!I77</f>
        <v>0</v>
      </c>
      <c r="G77" s="226">
        <f>'Resposta-Ameacas'!M79</f>
        <v>0</v>
      </c>
      <c r="H77" s="227"/>
      <c r="I77" s="283">
        <f>'Resposta-Ameacas'!N79</f>
        <v>0</v>
      </c>
      <c r="J77" s="284"/>
      <c r="K77" s="284"/>
      <c r="L77" s="285"/>
      <c r="M77" s="228">
        <v>0</v>
      </c>
      <c r="N77" s="284"/>
    </row>
    <row r="78" spans="1:14">
      <c r="A78" s="126">
        <f>Ameacas!A78</f>
        <v>70</v>
      </c>
      <c r="B78" s="282">
        <f>Ameacas!B78</f>
        <v>0</v>
      </c>
      <c r="C78" s="233">
        <f>Ameacas!C78</f>
        <v>0</v>
      </c>
      <c r="D78" s="434">
        <f>Ameacas!D78</f>
        <v>0</v>
      </c>
      <c r="E78" s="418"/>
      <c r="F78" s="225">
        <f>Ameacas!I78</f>
        <v>0</v>
      </c>
      <c r="G78" s="226">
        <f>'Resposta-Ameacas'!M80</f>
        <v>0</v>
      </c>
      <c r="H78" s="227"/>
      <c r="I78" s="283">
        <f>'Resposta-Ameacas'!N80</f>
        <v>0</v>
      </c>
      <c r="J78" s="284"/>
      <c r="K78" s="284"/>
      <c r="L78" s="285"/>
      <c r="M78" s="228">
        <v>0</v>
      </c>
      <c r="N78" s="284"/>
    </row>
    <row r="79" spans="1:14">
      <c r="A79" s="126">
        <f>Ameacas!A79</f>
        <v>71</v>
      </c>
      <c r="B79" s="282">
        <f>Ameacas!B79</f>
        <v>0</v>
      </c>
      <c r="C79" s="233">
        <f>Ameacas!C79</f>
        <v>0</v>
      </c>
      <c r="D79" s="434">
        <f>Ameacas!D79</f>
        <v>0</v>
      </c>
      <c r="E79" s="418"/>
      <c r="F79" s="225">
        <f>Ameacas!I79</f>
        <v>0</v>
      </c>
      <c r="G79" s="226">
        <f>'Resposta-Ameacas'!M81</f>
        <v>0</v>
      </c>
      <c r="H79" s="227"/>
      <c r="I79" s="283">
        <f>'Resposta-Ameacas'!N81</f>
        <v>0</v>
      </c>
      <c r="J79" s="284"/>
      <c r="K79" s="284"/>
      <c r="L79" s="285"/>
      <c r="M79" s="228">
        <v>0</v>
      </c>
      <c r="N79" s="284"/>
    </row>
    <row r="80" spans="1:14">
      <c r="A80" s="126">
        <f>Ameacas!A80</f>
        <v>72</v>
      </c>
      <c r="B80" s="282">
        <f>Ameacas!B80</f>
        <v>0</v>
      </c>
      <c r="C80" s="233">
        <f>Ameacas!C80</f>
        <v>0</v>
      </c>
      <c r="D80" s="434">
        <f>Ameacas!D80</f>
        <v>0</v>
      </c>
      <c r="E80" s="418"/>
      <c r="F80" s="225">
        <f>Ameacas!I80</f>
        <v>0</v>
      </c>
      <c r="G80" s="226">
        <f>'Resposta-Ameacas'!M82</f>
        <v>0</v>
      </c>
      <c r="H80" s="227"/>
      <c r="I80" s="283">
        <f>'Resposta-Ameacas'!N82</f>
        <v>0</v>
      </c>
      <c r="J80" s="284"/>
      <c r="K80" s="284"/>
      <c r="L80" s="285"/>
      <c r="M80" s="228">
        <v>0</v>
      </c>
      <c r="N80" s="284"/>
    </row>
    <row r="81" spans="1:14">
      <c r="A81" s="126">
        <f>Ameacas!A81</f>
        <v>73</v>
      </c>
      <c r="B81" s="282">
        <f>Ameacas!B81</f>
        <v>0</v>
      </c>
      <c r="C81" s="233">
        <f>Ameacas!C81</f>
        <v>0</v>
      </c>
      <c r="D81" s="434">
        <f>Ameacas!D81</f>
        <v>0</v>
      </c>
      <c r="E81" s="418"/>
      <c r="F81" s="225">
        <f>Ameacas!I81</f>
        <v>0</v>
      </c>
      <c r="G81" s="226">
        <f>'Resposta-Ameacas'!M83</f>
        <v>0</v>
      </c>
      <c r="H81" s="227"/>
      <c r="I81" s="283">
        <f>'Resposta-Ameacas'!N83</f>
        <v>0</v>
      </c>
      <c r="J81" s="284"/>
      <c r="K81" s="284"/>
      <c r="L81" s="285"/>
      <c r="M81" s="228">
        <v>0</v>
      </c>
      <c r="N81" s="284"/>
    </row>
    <row r="82" spans="1:14">
      <c r="A82" s="126">
        <f>Ameacas!A82</f>
        <v>74</v>
      </c>
      <c r="B82" s="282">
        <f>Ameacas!B82</f>
        <v>0</v>
      </c>
      <c r="C82" s="233">
        <f>Ameacas!C82</f>
        <v>0</v>
      </c>
      <c r="D82" s="434">
        <f>Ameacas!D82</f>
        <v>0</v>
      </c>
      <c r="E82" s="418"/>
      <c r="F82" s="225">
        <f>Ameacas!I82</f>
        <v>0</v>
      </c>
      <c r="G82" s="226">
        <f>'Resposta-Ameacas'!M84</f>
        <v>0</v>
      </c>
      <c r="H82" s="227"/>
      <c r="I82" s="283">
        <f>'Resposta-Ameacas'!N84</f>
        <v>0</v>
      </c>
      <c r="J82" s="284"/>
      <c r="K82" s="284"/>
      <c r="L82" s="285"/>
      <c r="M82" s="228">
        <v>0</v>
      </c>
      <c r="N82" s="284"/>
    </row>
    <row r="83" spans="1:14">
      <c r="A83" s="126">
        <f>Ameacas!A83</f>
        <v>75</v>
      </c>
      <c r="B83" s="282">
        <f>Ameacas!B83</f>
        <v>0</v>
      </c>
      <c r="C83" s="233">
        <f>Ameacas!C83</f>
        <v>0</v>
      </c>
      <c r="D83" s="434">
        <f>Ameacas!D83</f>
        <v>0</v>
      </c>
      <c r="E83" s="418"/>
      <c r="F83" s="225">
        <f>Ameacas!I83</f>
        <v>0</v>
      </c>
      <c r="G83" s="226">
        <f>'Resposta-Ameacas'!M85</f>
        <v>0</v>
      </c>
      <c r="H83" s="227"/>
      <c r="I83" s="283">
        <f>'Resposta-Ameacas'!N85</f>
        <v>0</v>
      </c>
      <c r="J83" s="284"/>
      <c r="K83" s="284"/>
      <c r="L83" s="285"/>
      <c r="M83" s="228">
        <v>0</v>
      </c>
      <c r="N83" s="284"/>
    </row>
    <row r="84" spans="1:14">
      <c r="A84" s="126">
        <f>Ameacas!A84</f>
        <v>76</v>
      </c>
      <c r="B84" s="282">
        <f>Ameacas!B84</f>
        <v>0</v>
      </c>
      <c r="C84" s="233">
        <f>Ameacas!C84</f>
        <v>0</v>
      </c>
      <c r="D84" s="434">
        <f>Ameacas!D84</f>
        <v>0</v>
      </c>
      <c r="E84" s="418"/>
      <c r="F84" s="225">
        <f>Ameacas!I84</f>
        <v>0</v>
      </c>
      <c r="G84" s="226">
        <f>'Resposta-Ameacas'!M86</f>
        <v>0</v>
      </c>
      <c r="H84" s="227"/>
      <c r="I84" s="283">
        <f>'Resposta-Ameacas'!N86</f>
        <v>0</v>
      </c>
      <c r="J84" s="284"/>
      <c r="K84" s="284"/>
      <c r="L84" s="285"/>
      <c r="M84" s="228">
        <v>0</v>
      </c>
      <c r="N84" s="284"/>
    </row>
    <row r="85" spans="1:14">
      <c r="A85" s="126">
        <f>Ameacas!A85</f>
        <v>77</v>
      </c>
      <c r="B85" s="282">
        <f>Ameacas!B85</f>
        <v>0</v>
      </c>
      <c r="C85" s="233">
        <f>Ameacas!C85</f>
        <v>0</v>
      </c>
      <c r="D85" s="434">
        <f>Ameacas!D85</f>
        <v>0</v>
      </c>
      <c r="E85" s="418"/>
      <c r="F85" s="225">
        <f>Ameacas!I85</f>
        <v>0</v>
      </c>
      <c r="G85" s="226">
        <f>'Resposta-Ameacas'!M87</f>
        <v>0</v>
      </c>
      <c r="H85" s="227"/>
      <c r="I85" s="283">
        <f>'Resposta-Ameacas'!N87</f>
        <v>0</v>
      </c>
      <c r="J85" s="284"/>
      <c r="K85" s="284"/>
      <c r="L85" s="285"/>
      <c r="M85" s="228">
        <v>0</v>
      </c>
      <c r="N85" s="284"/>
    </row>
    <row r="86" spans="1:14">
      <c r="A86" s="126">
        <f>Ameacas!A86</f>
        <v>78</v>
      </c>
      <c r="B86" s="282">
        <f>Ameacas!B86</f>
        <v>0</v>
      </c>
      <c r="C86" s="233">
        <f>Ameacas!C86</f>
        <v>0</v>
      </c>
      <c r="D86" s="434">
        <f>Ameacas!D86</f>
        <v>0</v>
      </c>
      <c r="E86" s="418"/>
      <c r="F86" s="225">
        <f>Ameacas!I86</f>
        <v>0</v>
      </c>
      <c r="G86" s="226">
        <f>'Resposta-Ameacas'!M88</f>
        <v>0</v>
      </c>
      <c r="H86" s="227"/>
      <c r="I86" s="283">
        <f>'Resposta-Ameacas'!N88</f>
        <v>0</v>
      </c>
      <c r="J86" s="284"/>
      <c r="K86" s="284"/>
      <c r="L86" s="285"/>
      <c r="M86" s="228">
        <v>0</v>
      </c>
      <c r="N86" s="284"/>
    </row>
    <row r="87" spans="1:14">
      <c r="A87" s="126">
        <f>Ameacas!A87</f>
        <v>79</v>
      </c>
      <c r="B87" s="282">
        <f>Ameacas!B87</f>
        <v>0</v>
      </c>
      <c r="C87" s="233">
        <f>Ameacas!C87</f>
        <v>0</v>
      </c>
      <c r="D87" s="434">
        <f>Ameacas!D87</f>
        <v>0</v>
      </c>
      <c r="E87" s="418"/>
      <c r="F87" s="225">
        <f>Ameacas!I87</f>
        <v>0</v>
      </c>
      <c r="G87" s="226">
        <f>'Resposta-Ameacas'!M89</f>
        <v>0</v>
      </c>
      <c r="H87" s="227"/>
      <c r="I87" s="283">
        <f>'Resposta-Ameacas'!N89</f>
        <v>0</v>
      </c>
      <c r="J87" s="284"/>
      <c r="K87" s="284"/>
      <c r="L87" s="285"/>
      <c r="M87" s="228">
        <v>0</v>
      </c>
      <c r="N87" s="284"/>
    </row>
    <row r="88" spans="1:14">
      <c r="A88" s="126">
        <f>Ameacas!A88</f>
        <v>80</v>
      </c>
      <c r="B88" s="282">
        <f>Ameacas!B88</f>
        <v>0</v>
      </c>
      <c r="C88" s="233">
        <f>Ameacas!C88</f>
        <v>0</v>
      </c>
      <c r="D88" s="434">
        <f>Ameacas!D88</f>
        <v>0</v>
      </c>
      <c r="E88" s="418"/>
      <c r="F88" s="225">
        <f>Ameacas!I88</f>
        <v>0</v>
      </c>
      <c r="G88" s="226">
        <f>'Resposta-Ameacas'!M90</f>
        <v>0</v>
      </c>
      <c r="H88" s="227"/>
      <c r="I88" s="283">
        <f>'Resposta-Ameacas'!N90</f>
        <v>0</v>
      </c>
      <c r="J88" s="284"/>
      <c r="K88" s="284"/>
      <c r="L88" s="285"/>
      <c r="M88" s="228">
        <v>0</v>
      </c>
      <c r="N88" s="284"/>
    </row>
    <row r="89" spans="1:14">
      <c r="A89" s="126">
        <f>Ameacas!A89</f>
        <v>81</v>
      </c>
      <c r="B89" s="282">
        <f>Ameacas!B89</f>
        <v>0</v>
      </c>
      <c r="C89" s="233">
        <f>Ameacas!C89</f>
        <v>0</v>
      </c>
      <c r="D89" s="434">
        <f>Ameacas!D89</f>
        <v>0</v>
      </c>
      <c r="E89" s="418"/>
      <c r="F89" s="225">
        <f>Ameacas!I89</f>
        <v>0</v>
      </c>
      <c r="G89" s="226">
        <f>'Resposta-Ameacas'!M91</f>
        <v>0</v>
      </c>
      <c r="H89" s="227"/>
      <c r="I89" s="283">
        <f>'Resposta-Ameacas'!N91</f>
        <v>0</v>
      </c>
      <c r="J89" s="284"/>
      <c r="K89" s="284"/>
      <c r="L89" s="285"/>
      <c r="M89" s="228">
        <v>0</v>
      </c>
      <c r="N89" s="284"/>
    </row>
    <row r="90" spans="1:14">
      <c r="A90" s="126">
        <f>Ameacas!A90</f>
        <v>82</v>
      </c>
      <c r="B90" s="282">
        <f>Ameacas!B90</f>
        <v>0</v>
      </c>
      <c r="C90" s="233">
        <f>Ameacas!C90</f>
        <v>0</v>
      </c>
      <c r="D90" s="434">
        <f>Ameacas!D90</f>
        <v>0</v>
      </c>
      <c r="E90" s="418"/>
      <c r="F90" s="225">
        <f>Ameacas!I90</f>
        <v>0</v>
      </c>
      <c r="G90" s="226">
        <f>'Resposta-Ameacas'!M92</f>
        <v>0</v>
      </c>
      <c r="H90" s="227"/>
      <c r="I90" s="283">
        <f>'Resposta-Ameacas'!N92</f>
        <v>0</v>
      </c>
      <c r="J90" s="284"/>
      <c r="K90" s="284"/>
      <c r="L90" s="285"/>
      <c r="M90" s="228">
        <v>0</v>
      </c>
      <c r="N90" s="284"/>
    </row>
    <row r="91" spans="1:14">
      <c r="A91" s="126">
        <f>Ameacas!A91</f>
        <v>83</v>
      </c>
      <c r="B91" s="282">
        <f>Ameacas!B91</f>
        <v>0</v>
      </c>
      <c r="C91" s="233">
        <f>Ameacas!C91</f>
        <v>0</v>
      </c>
      <c r="D91" s="434">
        <f>Ameacas!D91</f>
        <v>0</v>
      </c>
      <c r="E91" s="418"/>
      <c r="F91" s="225">
        <f>Ameacas!I91</f>
        <v>0</v>
      </c>
      <c r="G91" s="226">
        <f>'Resposta-Ameacas'!M93</f>
        <v>0</v>
      </c>
      <c r="H91" s="227"/>
      <c r="I91" s="283">
        <f>'Resposta-Ameacas'!N93</f>
        <v>0</v>
      </c>
      <c r="J91" s="284"/>
      <c r="K91" s="284"/>
      <c r="L91" s="285"/>
      <c r="M91" s="228">
        <v>0</v>
      </c>
      <c r="N91" s="284"/>
    </row>
    <row r="92" spans="1:14">
      <c r="A92" s="126">
        <f>Ameacas!A92</f>
        <v>84</v>
      </c>
      <c r="B92" s="282">
        <f>Ameacas!B92</f>
        <v>0</v>
      </c>
      <c r="C92" s="233">
        <f>Ameacas!C92</f>
        <v>0</v>
      </c>
      <c r="D92" s="434">
        <f>Ameacas!D92</f>
        <v>0</v>
      </c>
      <c r="E92" s="418"/>
      <c r="F92" s="225">
        <f>Ameacas!I92</f>
        <v>0</v>
      </c>
      <c r="G92" s="226">
        <f>'Resposta-Ameacas'!M94</f>
        <v>0</v>
      </c>
      <c r="H92" s="227"/>
      <c r="I92" s="283">
        <f>'Resposta-Ameacas'!N94</f>
        <v>0</v>
      </c>
      <c r="J92" s="284"/>
      <c r="K92" s="284"/>
      <c r="L92" s="285"/>
      <c r="M92" s="228">
        <v>0</v>
      </c>
      <c r="N92" s="284"/>
    </row>
    <row r="93" spans="1:14">
      <c r="A93" s="126">
        <f>Ameacas!A93</f>
        <v>85</v>
      </c>
      <c r="B93" s="282">
        <f>Ameacas!B93</f>
        <v>0</v>
      </c>
      <c r="C93" s="233">
        <f>Ameacas!C93</f>
        <v>0</v>
      </c>
      <c r="D93" s="434">
        <f>Ameacas!D93</f>
        <v>0</v>
      </c>
      <c r="E93" s="418"/>
      <c r="F93" s="225">
        <f>Ameacas!I93</f>
        <v>0</v>
      </c>
      <c r="G93" s="226">
        <f>'Resposta-Ameacas'!M95</f>
        <v>0</v>
      </c>
      <c r="H93" s="227"/>
      <c r="I93" s="283">
        <f>'Resposta-Ameacas'!N95</f>
        <v>0</v>
      </c>
      <c r="J93" s="284"/>
      <c r="K93" s="284"/>
      <c r="L93" s="285"/>
      <c r="M93" s="228">
        <v>0</v>
      </c>
      <c r="N93" s="284"/>
    </row>
    <row r="94" spans="1:14">
      <c r="A94" s="126">
        <f>Ameacas!A94</f>
        <v>86</v>
      </c>
      <c r="B94" s="282">
        <f>Ameacas!B94</f>
        <v>0</v>
      </c>
      <c r="C94" s="233">
        <f>Ameacas!C94</f>
        <v>0</v>
      </c>
      <c r="D94" s="434">
        <f>Ameacas!D94</f>
        <v>0</v>
      </c>
      <c r="E94" s="418"/>
      <c r="F94" s="225">
        <f>Ameacas!I94</f>
        <v>0</v>
      </c>
      <c r="G94" s="226">
        <f>'Resposta-Ameacas'!M96</f>
        <v>0</v>
      </c>
      <c r="H94" s="227"/>
      <c r="I94" s="283">
        <f>'Resposta-Ameacas'!N96</f>
        <v>0</v>
      </c>
      <c r="J94" s="284"/>
      <c r="K94" s="284"/>
      <c r="L94" s="285"/>
      <c r="M94" s="228">
        <v>0</v>
      </c>
      <c r="N94" s="284"/>
    </row>
    <row r="95" spans="1:14">
      <c r="A95" s="126">
        <f>Ameacas!A95</f>
        <v>87</v>
      </c>
      <c r="B95" s="282">
        <f>Ameacas!B95</f>
        <v>0</v>
      </c>
      <c r="C95" s="233">
        <f>Ameacas!C95</f>
        <v>0</v>
      </c>
      <c r="D95" s="434">
        <f>Ameacas!D95</f>
        <v>0</v>
      </c>
      <c r="E95" s="418"/>
      <c r="F95" s="225">
        <f>Ameacas!I95</f>
        <v>0</v>
      </c>
      <c r="G95" s="226">
        <f>'Resposta-Ameacas'!M97</f>
        <v>0</v>
      </c>
      <c r="H95" s="227"/>
      <c r="I95" s="283">
        <f>'Resposta-Ameacas'!N97</f>
        <v>0</v>
      </c>
      <c r="J95" s="284"/>
      <c r="K95" s="284"/>
      <c r="L95" s="285"/>
      <c r="M95" s="228">
        <v>0</v>
      </c>
      <c r="N95" s="284"/>
    </row>
    <row r="96" spans="1:14">
      <c r="A96" s="126">
        <f>Ameacas!A96</f>
        <v>88</v>
      </c>
      <c r="B96" s="282">
        <f>Ameacas!B96</f>
        <v>0</v>
      </c>
      <c r="C96" s="233">
        <f>Ameacas!C96</f>
        <v>0</v>
      </c>
      <c r="D96" s="434">
        <f>Ameacas!D96</f>
        <v>0</v>
      </c>
      <c r="E96" s="418"/>
      <c r="F96" s="225">
        <f>Ameacas!I96</f>
        <v>0</v>
      </c>
      <c r="G96" s="226">
        <f>'Resposta-Ameacas'!M98</f>
        <v>0</v>
      </c>
      <c r="H96" s="227"/>
      <c r="I96" s="283">
        <f>'Resposta-Ameacas'!N98</f>
        <v>0</v>
      </c>
      <c r="J96" s="284"/>
      <c r="K96" s="284"/>
      <c r="L96" s="285"/>
      <c r="M96" s="228">
        <v>0</v>
      </c>
      <c r="N96" s="284"/>
    </row>
    <row r="97" spans="1:14">
      <c r="A97" s="126">
        <f>Ameacas!A97</f>
        <v>89</v>
      </c>
      <c r="B97" s="282">
        <f>Ameacas!B97</f>
        <v>0</v>
      </c>
      <c r="C97" s="233">
        <f>Ameacas!C97</f>
        <v>0</v>
      </c>
      <c r="D97" s="434">
        <f>Ameacas!D97</f>
        <v>0</v>
      </c>
      <c r="E97" s="418"/>
      <c r="F97" s="225">
        <f>Ameacas!I97</f>
        <v>0</v>
      </c>
      <c r="G97" s="226">
        <f>'Resposta-Ameacas'!M99</f>
        <v>0</v>
      </c>
      <c r="H97" s="227"/>
      <c r="I97" s="283">
        <f>'Resposta-Ameacas'!N99</f>
        <v>0</v>
      </c>
      <c r="J97" s="284"/>
      <c r="K97" s="284"/>
      <c r="L97" s="285"/>
      <c r="M97" s="228">
        <v>0</v>
      </c>
      <c r="N97" s="284"/>
    </row>
    <row r="98" spans="1:14">
      <c r="A98" s="126">
        <f>Ameacas!A98</f>
        <v>90</v>
      </c>
      <c r="B98" s="282">
        <f>Ameacas!B98</f>
        <v>0</v>
      </c>
      <c r="C98" s="233">
        <f>Ameacas!C98</f>
        <v>0</v>
      </c>
      <c r="D98" s="434">
        <f>Ameacas!D98</f>
        <v>0</v>
      </c>
      <c r="E98" s="418"/>
      <c r="F98" s="225">
        <f>Ameacas!I98</f>
        <v>0</v>
      </c>
      <c r="G98" s="226">
        <f>'Resposta-Ameacas'!M100</f>
        <v>0</v>
      </c>
      <c r="H98" s="227"/>
      <c r="I98" s="283">
        <f>'Resposta-Ameacas'!N100</f>
        <v>0</v>
      </c>
      <c r="J98" s="284"/>
      <c r="K98" s="284"/>
      <c r="L98" s="285"/>
      <c r="M98" s="228">
        <v>0</v>
      </c>
      <c r="N98" s="284"/>
    </row>
    <row r="99" spans="1:14">
      <c r="A99" s="126">
        <f>Ameacas!A99</f>
        <v>91</v>
      </c>
      <c r="B99" s="282">
        <f>Ameacas!B99</f>
        <v>0</v>
      </c>
      <c r="C99" s="233">
        <f>Ameacas!C99</f>
        <v>0</v>
      </c>
      <c r="D99" s="434">
        <f>Ameacas!D99</f>
        <v>0</v>
      </c>
      <c r="E99" s="418"/>
      <c r="F99" s="225">
        <f>Ameacas!I99</f>
        <v>0</v>
      </c>
      <c r="G99" s="226">
        <f>'Resposta-Ameacas'!M101</f>
        <v>0</v>
      </c>
      <c r="H99" s="227"/>
      <c r="I99" s="283">
        <f>'Resposta-Ameacas'!N101</f>
        <v>0</v>
      </c>
      <c r="J99" s="284"/>
      <c r="K99" s="284"/>
      <c r="L99" s="285"/>
      <c r="M99" s="228">
        <v>0</v>
      </c>
      <c r="N99" s="284"/>
    </row>
    <row r="100" spans="1:14">
      <c r="A100" s="126">
        <f>Ameacas!A100</f>
        <v>92</v>
      </c>
      <c r="B100" s="282">
        <f>Ameacas!B100</f>
        <v>0</v>
      </c>
      <c r="C100" s="233">
        <f>Ameacas!C100</f>
        <v>0</v>
      </c>
      <c r="D100" s="434">
        <f>Ameacas!D100</f>
        <v>0</v>
      </c>
      <c r="E100" s="418"/>
      <c r="F100" s="225">
        <f>Ameacas!I100</f>
        <v>0</v>
      </c>
      <c r="G100" s="226">
        <f>'Resposta-Ameacas'!M102</f>
        <v>0</v>
      </c>
      <c r="H100" s="227"/>
      <c r="I100" s="283">
        <f>'Resposta-Ameacas'!N102</f>
        <v>0</v>
      </c>
      <c r="J100" s="284"/>
      <c r="K100" s="284"/>
      <c r="L100" s="285"/>
      <c r="M100" s="228">
        <v>0</v>
      </c>
      <c r="N100" s="284"/>
    </row>
    <row r="101" spans="1:14">
      <c r="A101" s="126">
        <f>Ameacas!A101</f>
        <v>93</v>
      </c>
      <c r="B101" s="282">
        <f>Ameacas!B101</f>
        <v>0</v>
      </c>
      <c r="C101" s="233">
        <f>Ameacas!C101</f>
        <v>0</v>
      </c>
      <c r="D101" s="434">
        <f>Ameacas!D101</f>
        <v>0</v>
      </c>
      <c r="E101" s="418"/>
      <c r="F101" s="225">
        <f>Ameacas!I101</f>
        <v>0</v>
      </c>
      <c r="G101" s="226">
        <f>'Resposta-Ameacas'!M103</f>
        <v>0</v>
      </c>
      <c r="H101" s="227"/>
      <c r="I101" s="283">
        <f>'Resposta-Ameacas'!N103</f>
        <v>0</v>
      </c>
      <c r="J101" s="284"/>
      <c r="K101" s="284"/>
      <c r="L101" s="285"/>
      <c r="M101" s="228">
        <v>0</v>
      </c>
      <c r="N101" s="284"/>
    </row>
    <row r="102" spans="1:14">
      <c r="A102" s="126">
        <f>Ameacas!A102</f>
        <v>94</v>
      </c>
      <c r="B102" s="282">
        <f>Ameacas!B102</f>
        <v>0</v>
      </c>
      <c r="C102" s="233">
        <f>Ameacas!C102</f>
        <v>0</v>
      </c>
      <c r="D102" s="434">
        <f>Ameacas!D102</f>
        <v>0</v>
      </c>
      <c r="E102" s="418"/>
      <c r="F102" s="225">
        <f>Ameacas!I102</f>
        <v>0</v>
      </c>
      <c r="G102" s="226">
        <f>'Resposta-Ameacas'!M104</f>
        <v>0</v>
      </c>
      <c r="H102" s="227"/>
      <c r="I102" s="283">
        <f>'Resposta-Ameacas'!N104</f>
        <v>0</v>
      </c>
      <c r="J102" s="284"/>
      <c r="K102" s="284"/>
      <c r="L102" s="285"/>
      <c r="M102" s="228">
        <v>0</v>
      </c>
      <c r="N102" s="284"/>
    </row>
    <row r="103" spans="1:14">
      <c r="A103" s="126">
        <f>Ameacas!A103</f>
        <v>95</v>
      </c>
      <c r="B103" s="282">
        <f>Ameacas!B103</f>
        <v>0</v>
      </c>
      <c r="C103" s="233">
        <f>Ameacas!C103</f>
        <v>0</v>
      </c>
      <c r="D103" s="434">
        <f>Ameacas!D103</f>
        <v>0</v>
      </c>
      <c r="E103" s="418"/>
      <c r="F103" s="225">
        <f>Ameacas!I103</f>
        <v>0</v>
      </c>
      <c r="G103" s="226">
        <f>'Resposta-Ameacas'!M105</f>
        <v>0</v>
      </c>
      <c r="H103" s="227"/>
      <c r="I103" s="283">
        <f>'Resposta-Ameacas'!N105</f>
        <v>0</v>
      </c>
      <c r="J103" s="284"/>
      <c r="K103" s="284"/>
      <c r="L103" s="285"/>
      <c r="M103" s="228">
        <v>0</v>
      </c>
      <c r="N103" s="284"/>
    </row>
    <row r="104" spans="1:14">
      <c r="A104" s="126">
        <f>Ameacas!A104</f>
        <v>96</v>
      </c>
      <c r="B104" s="282">
        <f>Ameacas!B104</f>
        <v>0</v>
      </c>
      <c r="C104" s="233">
        <f>Ameacas!C104</f>
        <v>0</v>
      </c>
      <c r="D104" s="434">
        <f>Ameacas!D104</f>
        <v>0</v>
      </c>
      <c r="E104" s="418"/>
      <c r="F104" s="225">
        <f>Ameacas!I104</f>
        <v>0</v>
      </c>
      <c r="G104" s="226">
        <f>'Resposta-Ameacas'!M106</f>
        <v>0</v>
      </c>
      <c r="H104" s="227"/>
      <c r="I104" s="283">
        <f>'Resposta-Ameacas'!N106</f>
        <v>0</v>
      </c>
      <c r="J104" s="284"/>
      <c r="K104" s="284"/>
      <c r="L104" s="285"/>
      <c r="M104" s="228">
        <v>0</v>
      </c>
      <c r="N104" s="284"/>
    </row>
    <row r="105" spans="1:14">
      <c r="A105" s="126">
        <f>Ameacas!A105</f>
        <v>97</v>
      </c>
      <c r="B105" s="282">
        <f>Ameacas!B105</f>
        <v>0</v>
      </c>
      <c r="C105" s="233">
        <f>Ameacas!C105</f>
        <v>0</v>
      </c>
      <c r="D105" s="434">
        <f>Ameacas!D105</f>
        <v>0</v>
      </c>
      <c r="E105" s="418"/>
      <c r="F105" s="225">
        <f>Ameacas!I105</f>
        <v>0</v>
      </c>
      <c r="G105" s="226">
        <f>'Resposta-Ameacas'!M107</f>
        <v>0</v>
      </c>
      <c r="H105" s="227"/>
      <c r="I105" s="283">
        <f>'Resposta-Ameacas'!N107</f>
        <v>0</v>
      </c>
      <c r="J105" s="284"/>
      <c r="K105" s="284"/>
      <c r="L105" s="285"/>
      <c r="M105" s="228">
        <v>0</v>
      </c>
      <c r="N105" s="284"/>
    </row>
    <row r="106" spans="1:14">
      <c r="A106" s="126">
        <f>Ameacas!A106</f>
        <v>98</v>
      </c>
      <c r="B106" s="282">
        <f>Ameacas!B106</f>
        <v>0</v>
      </c>
      <c r="C106" s="233">
        <f>Ameacas!C106</f>
        <v>0</v>
      </c>
      <c r="D106" s="434">
        <f>Ameacas!D106</f>
        <v>0</v>
      </c>
      <c r="E106" s="418"/>
      <c r="F106" s="225">
        <f>Ameacas!I106</f>
        <v>0</v>
      </c>
      <c r="G106" s="226">
        <f>'Resposta-Ameacas'!M108</f>
        <v>0</v>
      </c>
      <c r="H106" s="227"/>
      <c r="I106" s="283">
        <f>'Resposta-Ameacas'!N108</f>
        <v>0</v>
      </c>
      <c r="J106" s="284"/>
      <c r="K106" s="284"/>
      <c r="L106" s="285"/>
      <c r="M106" s="228">
        <v>0</v>
      </c>
      <c r="N106" s="284"/>
    </row>
    <row r="107" spans="1:14">
      <c r="A107" s="126">
        <f>Ameacas!A107</f>
        <v>99</v>
      </c>
      <c r="B107" s="282">
        <f>Ameacas!B107</f>
        <v>0</v>
      </c>
      <c r="C107" s="233">
        <f>Ameacas!C107</f>
        <v>0</v>
      </c>
      <c r="D107" s="434">
        <f>Ameacas!D107</f>
        <v>0</v>
      </c>
      <c r="E107" s="418"/>
      <c r="F107" s="225">
        <f>Ameacas!I107</f>
        <v>0</v>
      </c>
      <c r="G107" s="226">
        <f>'Resposta-Ameacas'!M109</f>
        <v>0</v>
      </c>
      <c r="H107" s="227"/>
      <c r="I107" s="283">
        <f>'Resposta-Ameacas'!N109</f>
        <v>0</v>
      </c>
      <c r="J107" s="284"/>
      <c r="K107" s="284"/>
      <c r="L107" s="285"/>
      <c r="M107" s="228">
        <v>0</v>
      </c>
      <c r="N107" s="284"/>
    </row>
    <row r="108" spans="1:14">
      <c r="A108" s="126">
        <f>Ameacas!A108</f>
        <v>100</v>
      </c>
      <c r="B108" s="282">
        <f>Ameacas!B108</f>
        <v>0</v>
      </c>
      <c r="C108" s="233">
        <f>Ameacas!C108</f>
        <v>0</v>
      </c>
      <c r="D108" s="434">
        <f>Ameacas!D108</f>
        <v>0</v>
      </c>
      <c r="E108" s="418"/>
      <c r="F108" s="225">
        <f>Ameacas!I108</f>
        <v>0</v>
      </c>
      <c r="G108" s="226">
        <f>'Resposta-Ameacas'!M110</f>
        <v>0</v>
      </c>
      <c r="H108" s="227"/>
      <c r="I108" s="283">
        <f>'Resposta-Ameacas'!N110</f>
        <v>0</v>
      </c>
      <c r="J108" s="284"/>
      <c r="K108" s="284"/>
      <c r="L108" s="285"/>
      <c r="M108" s="228">
        <v>0</v>
      </c>
      <c r="N108" s="284"/>
    </row>
    <row r="109" spans="1:14">
      <c r="A109" s="126">
        <f>Ameacas!A109</f>
        <v>101</v>
      </c>
      <c r="B109" s="282">
        <f>Ameacas!B109</f>
        <v>0</v>
      </c>
      <c r="C109" s="233">
        <f>Ameacas!C109</f>
        <v>0</v>
      </c>
      <c r="D109" s="434">
        <f>Ameacas!D109</f>
        <v>0</v>
      </c>
      <c r="E109" s="418"/>
      <c r="F109" s="225">
        <f>Ameacas!I109</f>
        <v>0</v>
      </c>
      <c r="G109" s="226">
        <f>'Resposta-Ameacas'!M111</f>
        <v>0</v>
      </c>
      <c r="H109" s="227"/>
      <c r="I109" s="283">
        <f>'Resposta-Ameacas'!N111</f>
        <v>0</v>
      </c>
      <c r="J109" s="284"/>
      <c r="K109" s="284"/>
      <c r="L109" s="285"/>
      <c r="M109" s="228">
        <v>0</v>
      </c>
      <c r="N109" s="284"/>
    </row>
    <row r="110" spans="1:14">
      <c r="A110" s="126">
        <f>Ameacas!A110</f>
        <v>102</v>
      </c>
      <c r="B110" s="282">
        <f>Ameacas!B110</f>
        <v>0</v>
      </c>
      <c r="C110" s="233">
        <f>Ameacas!C110</f>
        <v>0</v>
      </c>
      <c r="D110" s="434">
        <f>Ameacas!D110</f>
        <v>0</v>
      </c>
      <c r="E110" s="418"/>
      <c r="F110" s="225">
        <f>Ameacas!I110</f>
        <v>0</v>
      </c>
      <c r="G110" s="226">
        <f>'Resposta-Ameacas'!M112</f>
        <v>0</v>
      </c>
      <c r="H110" s="227"/>
      <c r="I110" s="283">
        <f>'Resposta-Ameacas'!N112</f>
        <v>0</v>
      </c>
      <c r="J110" s="284"/>
      <c r="K110" s="284"/>
      <c r="L110" s="285"/>
      <c r="M110" s="228">
        <v>0</v>
      </c>
      <c r="N110" s="284"/>
    </row>
    <row r="111" spans="1:14">
      <c r="A111" s="126">
        <f>Ameacas!A111</f>
        <v>103</v>
      </c>
      <c r="B111" s="282">
        <f>Ameacas!B111</f>
        <v>0</v>
      </c>
      <c r="C111" s="233">
        <f>Ameacas!C111</f>
        <v>0</v>
      </c>
      <c r="D111" s="434">
        <f>Ameacas!D111</f>
        <v>0</v>
      </c>
      <c r="E111" s="418"/>
      <c r="F111" s="225">
        <f>Ameacas!I111</f>
        <v>0</v>
      </c>
      <c r="G111" s="226">
        <f>'Resposta-Ameacas'!M113</f>
        <v>0</v>
      </c>
      <c r="H111" s="227"/>
      <c r="I111" s="283">
        <f>'Resposta-Ameacas'!N113</f>
        <v>0</v>
      </c>
      <c r="J111" s="284"/>
      <c r="K111" s="284"/>
      <c r="L111" s="285"/>
      <c r="M111" s="228">
        <v>0</v>
      </c>
      <c r="N111" s="284"/>
    </row>
    <row r="112" spans="1:14">
      <c r="A112" s="126">
        <f>Ameacas!A112</f>
        <v>104</v>
      </c>
      <c r="B112" s="282">
        <f>Ameacas!B112</f>
        <v>0</v>
      </c>
      <c r="C112" s="233">
        <f>Ameacas!C112</f>
        <v>0</v>
      </c>
      <c r="D112" s="434">
        <f>Ameacas!D112</f>
        <v>0</v>
      </c>
      <c r="E112" s="418"/>
      <c r="F112" s="225">
        <f>Ameacas!I112</f>
        <v>0</v>
      </c>
      <c r="G112" s="226">
        <f>'Resposta-Ameacas'!M114</f>
        <v>0</v>
      </c>
      <c r="H112" s="227"/>
      <c r="I112" s="283">
        <f>'Resposta-Ameacas'!N114</f>
        <v>0</v>
      </c>
      <c r="J112" s="284"/>
      <c r="K112" s="284"/>
      <c r="L112" s="285"/>
      <c r="M112" s="228">
        <v>0</v>
      </c>
      <c r="N112" s="284"/>
    </row>
    <row r="113" spans="1:14" ht="12.75" customHeight="1">
      <c r="A113" s="126">
        <f>Ameacas!A113</f>
        <v>105</v>
      </c>
      <c r="B113" s="282">
        <f>Ameacas!B113</f>
        <v>0</v>
      </c>
      <c r="C113" s="233">
        <f>Ameacas!C113</f>
        <v>0</v>
      </c>
      <c r="D113" s="434">
        <f>Ameacas!D113</f>
        <v>0</v>
      </c>
      <c r="E113" s="418"/>
      <c r="F113" s="225">
        <f>Ameacas!I113</f>
        <v>0</v>
      </c>
      <c r="G113" s="226">
        <f>'Resposta-Ameacas'!M115</f>
        <v>0</v>
      </c>
      <c r="H113" s="227"/>
      <c r="I113" s="283">
        <f>'Resposta-Ameacas'!N115</f>
        <v>0</v>
      </c>
      <c r="J113" s="284"/>
      <c r="K113" s="284"/>
      <c r="L113" s="285"/>
      <c r="M113" s="228">
        <v>0</v>
      </c>
      <c r="N113" s="284"/>
    </row>
    <row r="114" spans="1:14" ht="12.75" customHeight="1">
      <c r="A114" s="126">
        <f>Ameacas!A114</f>
        <v>106</v>
      </c>
      <c r="B114" s="282">
        <f>Ameacas!B114</f>
        <v>0</v>
      </c>
      <c r="C114" s="233">
        <f>Ameacas!C114</f>
        <v>0</v>
      </c>
      <c r="D114" s="434">
        <f>Ameacas!D114</f>
        <v>0</v>
      </c>
      <c r="E114" s="418"/>
      <c r="F114" s="225">
        <f>Ameacas!I114</f>
        <v>0</v>
      </c>
      <c r="G114" s="226">
        <f>'Resposta-Ameacas'!M116</f>
        <v>0</v>
      </c>
      <c r="H114" s="227"/>
      <c r="I114" s="283">
        <f>'Resposta-Ameacas'!N116</f>
        <v>0</v>
      </c>
      <c r="J114" s="284"/>
      <c r="K114" s="284"/>
      <c r="L114" s="285"/>
      <c r="M114" s="228">
        <v>0</v>
      </c>
      <c r="N114" s="284"/>
    </row>
    <row r="115" spans="1:14">
      <c r="A115" s="126">
        <f>Ameacas!A115</f>
        <v>107</v>
      </c>
      <c r="B115" s="282">
        <f>Ameacas!B115</f>
        <v>0</v>
      </c>
      <c r="C115" s="233">
        <f>Ameacas!C115</f>
        <v>0</v>
      </c>
      <c r="D115" s="434">
        <f>Ameacas!D115</f>
        <v>0</v>
      </c>
      <c r="E115" s="418"/>
      <c r="F115" s="225">
        <f>Ameacas!I115</f>
        <v>0</v>
      </c>
      <c r="G115" s="226">
        <f>'Resposta-Ameacas'!M117</f>
        <v>0</v>
      </c>
      <c r="H115" s="227"/>
      <c r="I115" s="283">
        <f>'Resposta-Ameacas'!N117</f>
        <v>0</v>
      </c>
      <c r="J115" s="284"/>
      <c r="K115" s="284"/>
      <c r="L115" s="285"/>
      <c r="M115" s="228">
        <v>0</v>
      </c>
      <c r="N115" s="284"/>
    </row>
    <row r="116" spans="1:14">
      <c r="A116" s="126">
        <f>Ameacas!A116</f>
        <v>108</v>
      </c>
      <c r="B116" s="282">
        <f>Ameacas!B116</f>
        <v>0</v>
      </c>
      <c r="C116" s="233">
        <f>Ameacas!C116</f>
        <v>0</v>
      </c>
      <c r="D116" s="434">
        <f>Ameacas!D116</f>
        <v>0</v>
      </c>
      <c r="E116" s="418"/>
      <c r="F116" s="225">
        <f>Ameacas!I116</f>
        <v>0</v>
      </c>
      <c r="G116" s="226">
        <f>'Resposta-Ameacas'!M118</f>
        <v>0</v>
      </c>
      <c r="H116" s="227"/>
      <c r="I116" s="283">
        <f>'Resposta-Ameacas'!N118</f>
        <v>0</v>
      </c>
      <c r="J116" s="284"/>
      <c r="K116" s="284"/>
      <c r="L116" s="285"/>
      <c r="M116" s="228">
        <v>0</v>
      </c>
      <c r="N116" s="284"/>
    </row>
    <row r="117" spans="1:14">
      <c r="A117" s="126">
        <f>Ameacas!A117</f>
        <v>109</v>
      </c>
      <c r="B117" s="282">
        <f>Ameacas!B117</f>
        <v>0</v>
      </c>
      <c r="C117" s="233">
        <f>Ameacas!C117</f>
        <v>0</v>
      </c>
      <c r="D117" s="434">
        <f>Ameacas!D117</f>
        <v>0</v>
      </c>
      <c r="E117" s="418"/>
      <c r="F117" s="225">
        <f>Ameacas!I117</f>
        <v>0</v>
      </c>
      <c r="G117" s="226">
        <f>'Resposta-Ameacas'!M119</f>
        <v>0</v>
      </c>
      <c r="H117" s="227"/>
      <c r="I117" s="283">
        <f>'Resposta-Ameacas'!N119</f>
        <v>0</v>
      </c>
      <c r="J117" s="284"/>
      <c r="K117" s="284"/>
      <c r="L117" s="285"/>
      <c r="M117" s="228">
        <v>0</v>
      </c>
      <c r="N117" s="284"/>
    </row>
    <row r="118" spans="1:14">
      <c r="A118" s="126">
        <f>Ameacas!A118</f>
        <v>110</v>
      </c>
      <c r="B118" s="282">
        <f>Ameacas!B118</f>
        <v>0</v>
      </c>
      <c r="C118" s="233">
        <f>Ameacas!C118</f>
        <v>0</v>
      </c>
      <c r="D118" s="434">
        <f>Ameacas!D118</f>
        <v>0</v>
      </c>
      <c r="E118" s="418"/>
      <c r="F118" s="225">
        <f>Ameacas!I118</f>
        <v>0</v>
      </c>
      <c r="G118" s="226">
        <f>'Resposta-Ameacas'!M120</f>
        <v>0</v>
      </c>
      <c r="H118" s="227"/>
      <c r="I118" s="283">
        <f>'Resposta-Ameacas'!N120</f>
        <v>0</v>
      </c>
      <c r="J118" s="284"/>
      <c r="K118" s="284"/>
      <c r="L118" s="285"/>
      <c r="M118" s="228">
        <v>0</v>
      </c>
      <c r="N118" s="284"/>
    </row>
    <row r="119" spans="1:14">
      <c r="A119" s="126">
        <f>Ameacas!A119</f>
        <v>111</v>
      </c>
      <c r="B119" s="282">
        <f>Ameacas!B119</f>
        <v>0</v>
      </c>
      <c r="C119" s="233">
        <f>Ameacas!C119</f>
        <v>0</v>
      </c>
      <c r="D119" s="434">
        <f>Ameacas!D119</f>
        <v>0</v>
      </c>
      <c r="E119" s="418"/>
      <c r="F119" s="225">
        <f>Ameacas!I119</f>
        <v>0</v>
      </c>
      <c r="G119" s="226">
        <f>'Resposta-Ameacas'!M121</f>
        <v>0</v>
      </c>
      <c r="H119" s="227"/>
      <c r="I119" s="283">
        <f>'Resposta-Ameacas'!N121</f>
        <v>0</v>
      </c>
      <c r="J119" s="284"/>
      <c r="K119" s="284"/>
      <c r="L119" s="285"/>
      <c r="M119" s="228">
        <v>0</v>
      </c>
      <c r="N119" s="284"/>
    </row>
    <row r="120" spans="1:14">
      <c r="A120" s="126">
        <f>Ameacas!A120</f>
        <v>112</v>
      </c>
      <c r="B120" s="282">
        <f>Ameacas!B120</f>
        <v>0</v>
      </c>
      <c r="C120" s="233">
        <f>Ameacas!C120</f>
        <v>0</v>
      </c>
      <c r="D120" s="434">
        <f>Ameacas!D120</f>
        <v>0</v>
      </c>
      <c r="E120" s="418"/>
      <c r="F120" s="225">
        <f>Ameacas!I120</f>
        <v>0</v>
      </c>
      <c r="G120" s="226">
        <f>'Resposta-Ameacas'!M122</f>
        <v>0</v>
      </c>
      <c r="H120" s="227"/>
      <c r="I120" s="283">
        <f>'Resposta-Ameacas'!N122</f>
        <v>0</v>
      </c>
      <c r="J120" s="284"/>
      <c r="K120" s="284"/>
      <c r="L120" s="285"/>
      <c r="M120" s="228">
        <v>0</v>
      </c>
      <c r="N120" s="284"/>
    </row>
    <row r="121" spans="1:14">
      <c r="A121" s="126">
        <f>Ameacas!A121</f>
        <v>113</v>
      </c>
      <c r="B121" s="282">
        <f>Ameacas!B121</f>
        <v>0</v>
      </c>
      <c r="C121" s="233">
        <f>Ameacas!C121</f>
        <v>0</v>
      </c>
      <c r="D121" s="434">
        <f>Ameacas!D121</f>
        <v>0</v>
      </c>
      <c r="E121" s="418"/>
      <c r="F121" s="225">
        <f>Ameacas!I121</f>
        <v>0</v>
      </c>
      <c r="G121" s="226">
        <f>'Resposta-Ameacas'!M123</f>
        <v>0</v>
      </c>
      <c r="H121" s="227"/>
      <c r="I121" s="283">
        <f>'Resposta-Ameacas'!N123</f>
        <v>0</v>
      </c>
      <c r="J121" s="284"/>
      <c r="K121" s="284"/>
      <c r="L121" s="285"/>
      <c r="M121" s="228">
        <v>0</v>
      </c>
      <c r="N121" s="284"/>
    </row>
    <row r="122" spans="1:14">
      <c r="A122" s="126">
        <f>Ameacas!A122</f>
        <v>114</v>
      </c>
      <c r="B122" s="282">
        <f>Ameacas!B122</f>
        <v>0</v>
      </c>
      <c r="C122" s="233">
        <f>Ameacas!C122</f>
        <v>0</v>
      </c>
      <c r="D122" s="434">
        <f>Ameacas!D122</f>
        <v>0</v>
      </c>
      <c r="E122" s="418"/>
      <c r="F122" s="225">
        <f>Ameacas!I122</f>
        <v>0</v>
      </c>
      <c r="G122" s="226">
        <f>'Resposta-Ameacas'!M124</f>
        <v>0</v>
      </c>
      <c r="H122" s="227"/>
      <c r="I122" s="283">
        <f>'Resposta-Ameacas'!N124</f>
        <v>0</v>
      </c>
      <c r="J122" s="284"/>
      <c r="K122" s="284"/>
      <c r="L122" s="285"/>
      <c r="M122" s="228">
        <v>0</v>
      </c>
      <c r="N122" s="284"/>
    </row>
    <row r="123" spans="1:14">
      <c r="A123" s="126">
        <f>Ameacas!A123</f>
        <v>115</v>
      </c>
      <c r="B123" s="282">
        <f>Ameacas!B123</f>
        <v>0</v>
      </c>
      <c r="C123" s="233">
        <f>Ameacas!C123</f>
        <v>0</v>
      </c>
      <c r="D123" s="434">
        <f>Ameacas!D123</f>
        <v>0</v>
      </c>
      <c r="E123" s="418"/>
      <c r="F123" s="225">
        <f>Ameacas!I123</f>
        <v>0</v>
      </c>
      <c r="G123" s="226">
        <f>'Resposta-Ameacas'!M125</f>
        <v>0</v>
      </c>
      <c r="H123" s="227"/>
      <c r="I123" s="283">
        <f>'Resposta-Ameacas'!N125</f>
        <v>0</v>
      </c>
      <c r="J123" s="284"/>
      <c r="K123" s="284"/>
      <c r="L123" s="285"/>
      <c r="M123" s="228">
        <v>0</v>
      </c>
      <c r="N123" s="284"/>
    </row>
    <row r="124" spans="1:14">
      <c r="A124" s="126">
        <f>Ameacas!A124</f>
        <v>116</v>
      </c>
      <c r="B124" s="282">
        <f>Ameacas!B124</f>
        <v>0</v>
      </c>
      <c r="C124" s="233">
        <f>Ameacas!C124</f>
        <v>0</v>
      </c>
      <c r="D124" s="434">
        <f>Ameacas!D124</f>
        <v>0</v>
      </c>
      <c r="E124" s="418"/>
      <c r="F124" s="225">
        <f>Ameacas!I124</f>
        <v>0</v>
      </c>
      <c r="G124" s="226">
        <f>'Resposta-Ameacas'!M126</f>
        <v>0</v>
      </c>
      <c r="H124" s="227"/>
      <c r="I124" s="283">
        <f>'Resposta-Ameacas'!N126</f>
        <v>0</v>
      </c>
      <c r="J124" s="284"/>
      <c r="K124" s="284"/>
      <c r="L124" s="285"/>
      <c r="M124" s="228">
        <v>0</v>
      </c>
      <c r="N124" s="284"/>
    </row>
    <row r="125" spans="1:14">
      <c r="A125" s="126">
        <f>Ameacas!A125</f>
        <v>117</v>
      </c>
      <c r="B125" s="282">
        <f>Ameacas!B125</f>
        <v>0</v>
      </c>
      <c r="C125" s="233">
        <f>Ameacas!C125</f>
        <v>0</v>
      </c>
      <c r="D125" s="434">
        <f>Ameacas!D125</f>
        <v>0</v>
      </c>
      <c r="E125" s="418"/>
      <c r="F125" s="225">
        <f>Ameacas!I125</f>
        <v>0</v>
      </c>
      <c r="G125" s="226">
        <f>'Resposta-Ameacas'!M127</f>
        <v>0</v>
      </c>
      <c r="H125" s="227"/>
      <c r="I125" s="283">
        <f>'Resposta-Ameacas'!N127</f>
        <v>0</v>
      </c>
      <c r="J125" s="284"/>
      <c r="K125" s="284"/>
      <c r="L125" s="285"/>
      <c r="M125" s="228">
        <v>0</v>
      </c>
      <c r="N125" s="284"/>
    </row>
    <row r="126" spans="1:14">
      <c r="A126" s="126">
        <f>Ameacas!A126</f>
        <v>118</v>
      </c>
      <c r="B126" s="282">
        <f>Ameacas!B126</f>
        <v>0</v>
      </c>
      <c r="C126" s="233">
        <f>Ameacas!C126</f>
        <v>0</v>
      </c>
      <c r="D126" s="434">
        <f>Ameacas!D126</f>
        <v>0</v>
      </c>
      <c r="E126" s="418"/>
      <c r="F126" s="225">
        <f>Ameacas!I126</f>
        <v>0</v>
      </c>
      <c r="G126" s="226">
        <f>'Resposta-Ameacas'!M128</f>
        <v>0</v>
      </c>
      <c r="H126" s="227"/>
      <c r="I126" s="283">
        <f>'Resposta-Ameacas'!N128</f>
        <v>0</v>
      </c>
      <c r="J126" s="284"/>
      <c r="K126" s="284"/>
      <c r="L126" s="285"/>
      <c r="M126" s="228">
        <v>0</v>
      </c>
      <c r="N126" s="284"/>
    </row>
    <row r="127" spans="1:14">
      <c r="A127" s="126">
        <f>Ameacas!A127</f>
        <v>119</v>
      </c>
      <c r="B127" s="282">
        <f>Ameacas!B127</f>
        <v>0</v>
      </c>
      <c r="C127" s="233">
        <f>Ameacas!C127</f>
        <v>0</v>
      </c>
      <c r="D127" s="434">
        <f>Ameacas!D127</f>
        <v>0</v>
      </c>
      <c r="E127" s="418"/>
      <c r="F127" s="225">
        <f>Ameacas!I127</f>
        <v>0</v>
      </c>
      <c r="G127" s="226">
        <f>'Resposta-Ameacas'!M129</f>
        <v>0</v>
      </c>
      <c r="H127" s="227"/>
      <c r="I127" s="283">
        <f>'Resposta-Ameacas'!N129</f>
        <v>0</v>
      </c>
      <c r="J127" s="284"/>
      <c r="K127" s="284"/>
      <c r="L127" s="285"/>
      <c r="M127" s="228">
        <v>0</v>
      </c>
      <c r="N127" s="284"/>
    </row>
    <row r="128" spans="1:14">
      <c r="A128" s="126">
        <f>Ameacas!A128</f>
        <v>120</v>
      </c>
      <c r="B128" s="282">
        <f>Ameacas!B128</f>
        <v>0</v>
      </c>
      <c r="C128" s="233">
        <f>Ameacas!C128</f>
        <v>0</v>
      </c>
      <c r="D128" s="434">
        <f>Ameacas!D128</f>
        <v>0</v>
      </c>
      <c r="E128" s="418"/>
      <c r="F128" s="225">
        <f>Ameacas!I128</f>
        <v>0</v>
      </c>
      <c r="G128" s="226">
        <f>'Resposta-Ameacas'!M130</f>
        <v>0</v>
      </c>
      <c r="H128" s="227"/>
      <c r="I128" s="283">
        <f>'Resposta-Ameacas'!N130</f>
        <v>0</v>
      </c>
      <c r="J128" s="284"/>
      <c r="K128" s="284"/>
      <c r="L128" s="285"/>
      <c r="M128" s="228">
        <v>0</v>
      </c>
      <c r="N128" s="284"/>
    </row>
    <row r="129" spans="1:14">
      <c r="A129" s="126">
        <f>Ameacas!A129</f>
        <v>121</v>
      </c>
      <c r="B129" s="282">
        <f>Ameacas!B129</f>
        <v>0</v>
      </c>
      <c r="C129" s="233">
        <f>Ameacas!C129</f>
        <v>0</v>
      </c>
      <c r="D129" s="434">
        <f>Ameacas!D129</f>
        <v>0</v>
      </c>
      <c r="E129" s="418"/>
      <c r="F129" s="225">
        <f>Ameacas!I129</f>
        <v>0</v>
      </c>
      <c r="G129" s="226">
        <f>'Resposta-Ameacas'!M131</f>
        <v>0</v>
      </c>
      <c r="H129" s="227"/>
      <c r="I129" s="283">
        <f>'Resposta-Ameacas'!N131</f>
        <v>0</v>
      </c>
      <c r="J129" s="284"/>
      <c r="K129" s="284"/>
      <c r="L129" s="285"/>
      <c r="M129" s="228">
        <v>0</v>
      </c>
      <c r="N129" s="284"/>
    </row>
    <row r="130" spans="1:14">
      <c r="A130" s="126">
        <f>Ameacas!A130</f>
        <v>122</v>
      </c>
      <c r="B130" s="282">
        <f>Ameacas!B130</f>
        <v>0</v>
      </c>
      <c r="C130" s="233">
        <f>Ameacas!C130</f>
        <v>0</v>
      </c>
      <c r="D130" s="434">
        <f>Ameacas!D130</f>
        <v>0</v>
      </c>
      <c r="E130" s="418"/>
      <c r="F130" s="225">
        <f>Ameacas!I130</f>
        <v>0</v>
      </c>
      <c r="G130" s="226">
        <f>'Resposta-Ameacas'!M132</f>
        <v>0</v>
      </c>
      <c r="H130" s="227"/>
      <c r="I130" s="283">
        <f>'Resposta-Ameacas'!N132</f>
        <v>0</v>
      </c>
      <c r="J130" s="284"/>
      <c r="K130" s="284"/>
      <c r="L130" s="285"/>
      <c r="M130" s="228">
        <v>0</v>
      </c>
      <c r="N130" s="284"/>
    </row>
    <row r="131" spans="1:14">
      <c r="A131" s="126">
        <f>Ameacas!A131</f>
        <v>123</v>
      </c>
      <c r="B131" s="282">
        <f>Ameacas!B131</f>
        <v>0</v>
      </c>
      <c r="C131" s="233">
        <f>Ameacas!C131</f>
        <v>0</v>
      </c>
      <c r="D131" s="434">
        <f>Ameacas!D131</f>
        <v>0</v>
      </c>
      <c r="E131" s="418"/>
      <c r="F131" s="225">
        <f>Ameacas!I131</f>
        <v>0</v>
      </c>
      <c r="G131" s="226">
        <f>'Resposta-Ameacas'!M133</f>
        <v>0</v>
      </c>
      <c r="H131" s="227"/>
      <c r="I131" s="283">
        <f>'Resposta-Ameacas'!N133</f>
        <v>0</v>
      </c>
      <c r="J131" s="284"/>
      <c r="K131" s="284"/>
      <c r="L131" s="285"/>
      <c r="M131" s="228">
        <v>0</v>
      </c>
      <c r="N131" s="284"/>
    </row>
    <row r="132" spans="1:14">
      <c r="A132" s="126">
        <f>Ameacas!A132</f>
        <v>124</v>
      </c>
      <c r="B132" s="282">
        <f>Ameacas!B132</f>
        <v>0</v>
      </c>
      <c r="C132" s="233">
        <f>Ameacas!C132</f>
        <v>0</v>
      </c>
      <c r="D132" s="434">
        <f>Ameacas!D132</f>
        <v>0</v>
      </c>
      <c r="E132" s="418"/>
      <c r="F132" s="225">
        <f>Ameacas!I132</f>
        <v>0</v>
      </c>
      <c r="G132" s="226">
        <f>'Resposta-Ameacas'!M134</f>
        <v>0</v>
      </c>
      <c r="H132" s="227"/>
      <c r="I132" s="283">
        <f>'Resposta-Ameacas'!N134</f>
        <v>0</v>
      </c>
      <c r="J132" s="284"/>
      <c r="K132" s="284"/>
      <c r="L132" s="285"/>
      <c r="M132" s="228">
        <v>0</v>
      </c>
      <c r="N132" s="284"/>
    </row>
    <row r="133" spans="1:14">
      <c r="A133" s="126">
        <f>Ameacas!A133</f>
        <v>125</v>
      </c>
      <c r="B133" s="282">
        <f>Ameacas!B133</f>
        <v>0</v>
      </c>
      <c r="C133" s="233">
        <f>Ameacas!C133</f>
        <v>0</v>
      </c>
      <c r="D133" s="434">
        <f>Ameacas!D133</f>
        <v>0</v>
      </c>
      <c r="E133" s="418"/>
      <c r="F133" s="225">
        <f>Ameacas!I133</f>
        <v>0</v>
      </c>
      <c r="G133" s="226">
        <f>'Resposta-Ameacas'!M135</f>
        <v>0</v>
      </c>
      <c r="H133" s="227"/>
      <c r="I133" s="283">
        <f>'Resposta-Ameacas'!N135</f>
        <v>0</v>
      </c>
      <c r="J133" s="284"/>
      <c r="K133" s="284"/>
      <c r="L133" s="285"/>
      <c r="M133" s="228">
        <v>0</v>
      </c>
      <c r="N133" s="284"/>
    </row>
    <row r="134" spans="1:14">
      <c r="A134" s="126">
        <f>Ameacas!A134</f>
        <v>126</v>
      </c>
      <c r="B134" s="282">
        <f>Ameacas!B134</f>
        <v>0</v>
      </c>
      <c r="C134" s="233">
        <f>Ameacas!C134</f>
        <v>0</v>
      </c>
      <c r="D134" s="434">
        <f>Ameacas!D134</f>
        <v>0</v>
      </c>
      <c r="E134" s="418"/>
      <c r="F134" s="225">
        <f>Ameacas!I134</f>
        <v>0</v>
      </c>
      <c r="G134" s="226">
        <f>'Resposta-Ameacas'!M136</f>
        <v>0</v>
      </c>
      <c r="H134" s="227"/>
      <c r="I134" s="283">
        <f>'Resposta-Ameacas'!N136</f>
        <v>0</v>
      </c>
      <c r="J134" s="284"/>
      <c r="K134" s="284"/>
      <c r="L134" s="285"/>
      <c r="M134" s="228">
        <v>0</v>
      </c>
      <c r="N134" s="284"/>
    </row>
    <row r="135" spans="1:14">
      <c r="A135" s="126">
        <f>Ameacas!A135</f>
        <v>127</v>
      </c>
      <c r="B135" s="282">
        <f>Ameacas!B135</f>
        <v>0</v>
      </c>
      <c r="C135" s="233">
        <f>Ameacas!C135</f>
        <v>0</v>
      </c>
      <c r="D135" s="434">
        <f>Ameacas!D135</f>
        <v>0</v>
      </c>
      <c r="E135" s="418"/>
      <c r="F135" s="225">
        <f>Ameacas!I135</f>
        <v>0</v>
      </c>
      <c r="G135" s="226">
        <f>'Resposta-Ameacas'!M137</f>
        <v>0</v>
      </c>
      <c r="H135" s="227"/>
      <c r="I135" s="283">
        <f>'Resposta-Ameacas'!N137</f>
        <v>0</v>
      </c>
      <c r="J135" s="284"/>
      <c r="K135" s="284"/>
      <c r="L135" s="285"/>
      <c r="M135" s="228">
        <v>0</v>
      </c>
      <c r="N135" s="284"/>
    </row>
    <row r="136" spans="1:14">
      <c r="A136" s="126">
        <f>Ameacas!A136</f>
        <v>128</v>
      </c>
      <c r="B136" s="282">
        <f>Ameacas!B136</f>
        <v>0</v>
      </c>
      <c r="C136" s="233">
        <f>Ameacas!C136</f>
        <v>0</v>
      </c>
      <c r="D136" s="434">
        <f>Ameacas!D136</f>
        <v>0</v>
      </c>
      <c r="E136" s="418"/>
      <c r="F136" s="225">
        <f>Ameacas!I136</f>
        <v>0</v>
      </c>
      <c r="G136" s="226">
        <f>'Resposta-Ameacas'!M138</f>
        <v>0</v>
      </c>
      <c r="H136" s="227"/>
      <c r="I136" s="283">
        <f>'Resposta-Ameacas'!N138</f>
        <v>0</v>
      </c>
      <c r="J136" s="284"/>
      <c r="K136" s="284"/>
      <c r="L136" s="285"/>
      <c r="M136" s="228">
        <v>0</v>
      </c>
      <c r="N136" s="284"/>
    </row>
    <row r="137" spans="1:14">
      <c r="A137" s="126">
        <f>Ameacas!A137</f>
        <v>129</v>
      </c>
      <c r="B137" s="282">
        <f>Ameacas!B137</f>
        <v>0</v>
      </c>
      <c r="C137" s="233">
        <f>Ameacas!C137</f>
        <v>0</v>
      </c>
      <c r="D137" s="434">
        <f>Ameacas!D137</f>
        <v>0</v>
      </c>
      <c r="E137" s="418"/>
      <c r="F137" s="225">
        <f>Ameacas!I137</f>
        <v>0</v>
      </c>
      <c r="G137" s="226">
        <f>'Resposta-Ameacas'!M139</f>
        <v>0</v>
      </c>
      <c r="H137" s="227"/>
      <c r="I137" s="283">
        <f>'Resposta-Ameacas'!N139</f>
        <v>0</v>
      </c>
      <c r="J137" s="284"/>
      <c r="K137" s="284"/>
      <c r="L137" s="285"/>
      <c r="M137" s="228">
        <v>0</v>
      </c>
      <c r="N137" s="284"/>
    </row>
    <row r="138" spans="1:14">
      <c r="A138" s="126">
        <f>Ameacas!A138</f>
        <v>130</v>
      </c>
      <c r="B138" s="282">
        <f>Ameacas!B138</f>
        <v>0</v>
      </c>
      <c r="C138" s="233">
        <f>Ameacas!C138</f>
        <v>0</v>
      </c>
      <c r="D138" s="434">
        <f>Ameacas!D138</f>
        <v>0</v>
      </c>
      <c r="E138" s="418"/>
      <c r="F138" s="225">
        <f>Ameacas!I138</f>
        <v>0</v>
      </c>
      <c r="G138" s="226">
        <f>'Resposta-Ameacas'!M140</f>
        <v>0</v>
      </c>
      <c r="H138" s="227"/>
      <c r="I138" s="283">
        <f>'Resposta-Ameacas'!N140</f>
        <v>0</v>
      </c>
      <c r="J138" s="284"/>
      <c r="K138" s="284"/>
      <c r="L138" s="285"/>
      <c r="M138" s="228">
        <v>0</v>
      </c>
      <c r="N138" s="284"/>
    </row>
    <row r="139" spans="1:14">
      <c r="A139" s="126">
        <f>Ameacas!A139</f>
        <v>131</v>
      </c>
      <c r="B139" s="282">
        <f>Ameacas!B139</f>
        <v>0</v>
      </c>
      <c r="C139" s="233">
        <f>Ameacas!C139</f>
        <v>0</v>
      </c>
      <c r="D139" s="434">
        <f>Ameacas!D139</f>
        <v>0</v>
      </c>
      <c r="E139" s="418"/>
      <c r="F139" s="225">
        <f>Ameacas!I139</f>
        <v>0</v>
      </c>
      <c r="G139" s="226">
        <f>'Resposta-Ameacas'!M141</f>
        <v>0</v>
      </c>
      <c r="H139" s="227"/>
      <c r="I139" s="283">
        <f>'Resposta-Ameacas'!N141</f>
        <v>0</v>
      </c>
      <c r="J139" s="284"/>
      <c r="K139" s="284"/>
      <c r="L139" s="285"/>
      <c r="M139" s="228">
        <v>0</v>
      </c>
      <c r="N139" s="284"/>
    </row>
    <row r="140" spans="1:14">
      <c r="A140" s="126">
        <f>Ameacas!A140</f>
        <v>132</v>
      </c>
      <c r="B140" s="282">
        <f>Ameacas!B140</f>
        <v>0</v>
      </c>
      <c r="C140" s="233">
        <f>Ameacas!C140</f>
        <v>0</v>
      </c>
      <c r="D140" s="434">
        <f>Ameacas!D140</f>
        <v>0</v>
      </c>
      <c r="E140" s="418"/>
      <c r="F140" s="225">
        <f>Ameacas!I140</f>
        <v>0</v>
      </c>
      <c r="G140" s="226">
        <f>'Resposta-Ameacas'!M142</f>
        <v>0</v>
      </c>
      <c r="H140" s="227"/>
      <c r="I140" s="283">
        <f>'Resposta-Ameacas'!N142</f>
        <v>0</v>
      </c>
      <c r="J140" s="284"/>
      <c r="K140" s="284"/>
      <c r="L140" s="285"/>
      <c r="M140" s="228">
        <v>0</v>
      </c>
      <c r="N140" s="284"/>
    </row>
    <row r="141" spans="1:14">
      <c r="A141" s="126">
        <f>Ameacas!A141</f>
        <v>133</v>
      </c>
      <c r="B141" s="282">
        <f>Ameacas!B141</f>
        <v>0</v>
      </c>
      <c r="C141" s="233">
        <f>Ameacas!C141</f>
        <v>0</v>
      </c>
      <c r="D141" s="434">
        <f>Ameacas!D141</f>
        <v>0</v>
      </c>
      <c r="E141" s="418"/>
      <c r="F141" s="225">
        <f>Ameacas!I141</f>
        <v>0</v>
      </c>
      <c r="G141" s="226">
        <f>'Resposta-Ameacas'!M143</f>
        <v>0</v>
      </c>
      <c r="H141" s="227"/>
      <c r="I141" s="283">
        <f>'Resposta-Ameacas'!N143</f>
        <v>0</v>
      </c>
      <c r="J141" s="284"/>
      <c r="K141" s="284"/>
      <c r="L141" s="285"/>
      <c r="M141" s="228">
        <v>0</v>
      </c>
      <c r="N141" s="284"/>
    </row>
    <row r="142" spans="1:14">
      <c r="A142" s="126">
        <f>Ameacas!A142</f>
        <v>134</v>
      </c>
      <c r="B142" s="282">
        <f>Ameacas!B142</f>
        <v>0</v>
      </c>
      <c r="C142" s="233">
        <f>Ameacas!C142</f>
        <v>0</v>
      </c>
      <c r="D142" s="434">
        <f>Ameacas!D142</f>
        <v>0</v>
      </c>
      <c r="E142" s="418"/>
      <c r="F142" s="225">
        <f>Ameacas!I142</f>
        <v>0</v>
      </c>
      <c r="G142" s="226">
        <f>'Resposta-Ameacas'!M144</f>
        <v>0</v>
      </c>
      <c r="H142" s="227"/>
      <c r="I142" s="283">
        <f>'Resposta-Ameacas'!N144</f>
        <v>0</v>
      </c>
      <c r="J142" s="284"/>
      <c r="K142" s="284"/>
      <c r="L142" s="285"/>
      <c r="M142" s="228">
        <v>0</v>
      </c>
      <c r="N142" s="284"/>
    </row>
    <row r="143" spans="1:14">
      <c r="A143" s="126">
        <f>Ameacas!A143</f>
        <v>135</v>
      </c>
      <c r="B143" s="282">
        <f>Ameacas!B143</f>
        <v>0</v>
      </c>
      <c r="C143" s="233">
        <f>Ameacas!C143</f>
        <v>0</v>
      </c>
      <c r="D143" s="434">
        <f>Ameacas!D143</f>
        <v>0</v>
      </c>
      <c r="E143" s="418"/>
      <c r="F143" s="225">
        <f>Ameacas!I143</f>
        <v>0</v>
      </c>
      <c r="G143" s="226">
        <f>'Resposta-Ameacas'!M145</f>
        <v>0</v>
      </c>
      <c r="H143" s="227"/>
      <c r="I143" s="283">
        <f>'Resposta-Ameacas'!N145</f>
        <v>0</v>
      </c>
      <c r="J143" s="284"/>
      <c r="K143" s="284"/>
      <c r="L143" s="285"/>
      <c r="M143" s="228">
        <v>0</v>
      </c>
      <c r="N143" s="284"/>
    </row>
    <row r="144" spans="1:14">
      <c r="A144" s="126">
        <f>Ameacas!A144</f>
        <v>136</v>
      </c>
      <c r="B144" s="282">
        <f>Ameacas!B144</f>
        <v>0</v>
      </c>
      <c r="C144" s="233">
        <f>Ameacas!C144</f>
        <v>0</v>
      </c>
      <c r="D144" s="434">
        <f>Ameacas!D144</f>
        <v>0</v>
      </c>
      <c r="E144" s="418"/>
      <c r="F144" s="225">
        <f>Ameacas!I144</f>
        <v>0</v>
      </c>
      <c r="G144" s="226">
        <f>'Resposta-Ameacas'!M146</f>
        <v>0</v>
      </c>
      <c r="H144" s="227"/>
      <c r="I144" s="283">
        <f>'Resposta-Ameacas'!N146</f>
        <v>0</v>
      </c>
      <c r="J144" s="284"/>
      <c r="K144" s="284"/>
      <c r="L144" s="285"/>
      <c r="M144" s="228">
        <v>0</v>
      </c>
      <c r="N144" s="284"/>
    </row>
    <row r="145" spans="1:14">
      <c r="A145" s="126">
        <f>Ameacas!A145</f>
        <v>137</v>
      </c>
      <c r="B145" s="282">
        <f>Ameacas!B145</f>
        <v>0</v>
      </c>
      <c r="C145" s="233">
        <f>Ameacas!C145</f>
        <v>0</v>
      </c>
      <c r="D145" s="434">
        <f>Ameacas!D145</f>
        <v>0</v>
      </c>
      <c r="E145" s="418"/>
      <c r="F145" s="225">
        <f>Ameacas!I145</f>
        <v>0</v>
      </c>
      <c r="G145" s="226">
        <f>'Resposta-Ameacas'!M147</f>
        <v>0</v>
      </c>
      <c r="H145" s="227"/>
      <c r="I145" s="283">
        <f>'Resposta-Ameacas'!N147</f>
        <v>0</v>
      </c>
      <c r="J145" s="284"/>
      <c r="K145" s="284"/>
      <c r="L145" s="285"/>
      <c r="M145" s="228">
        <v>0</v>
      </c>
      <c r="N145" s="284"/>
    </row>
    <row r="146" spans="1:14">
      <c r="A146" s="126">
        <f>Ameacas!A146</f>
        <v>138</v>
      </c>
      <c r="B146" s="282">
        <f>Ameacas!B146</f>
        <v>0</v>
      </c>
      <c r="C146" s="233">
        <f>Ameacas!C146</f>
        <v>0</v>
      </c>
      <c r="D146" s="434">
        <f>Ameacas!D146</f>
        <v>0</v>
      </c>
      <c r="E146" s="418"/>
      <c r="F146" s="225">
        <f>Ameacas!I146</f>
        <v>0</v>
      </c>
      <c r="G146" s="226">
        <f>'Resposta-Ameacas'!M148</f>
        <v>0</v>
      </c>
      <c r="H146" s="227"/>
      <c r="I146" s="283">
        <f>'Resposta-Ameacas'!N148</f>
        <v>0</v>
      </c>
      <c r="J146" s="284"/>
      <c r="K146" s="284"/>
      <c r="L146" s="285"/>
      <c r="M146" s="228">
        <v>0</v>
      </c>
      <c r="N146" s="284"/>
    </row>
    <row r="147" spans="1:14">
      <c r="A147" s="126">
        <f>Ameacas!A147</f>
        <v>139</v>
      </c>
      <c r="B147" s="282">
        <f>Ameacas!B147</f>
        <v>0</v>
      </c>
      <c r="C147" s="233">
        <f>Ameacas!C147</f>
        <v>0</v>
      </c>
      <c r="D147" s="434">
        <f>Ameacas!D147</f>
        <v>0</v>
      </c>
      <c r="E147" s="418"/>
      <c r="F147" s="225">
        <f>Ameacas!I147</f>
        <v>0</v>
      </c>
      <c r="G147" s="226">
        <f>'Resposta-Ameacas'!M149</f>
        <v>0</v>
      </c>
      <c r="H147" s="227"/>
      <c r="I147" s="283">
        <f>'Resposta-Ameacas'!N149</f>
        <v>0</v>
      </c>
      <c r="J147" s="284"/>
      <c r="K147" s="284"/>
      <c r="L147" s="285"/>
      <c r="M147" s="228">
        <v>0</v>
      </c>
      <c r="N147" s="284"/>
    </row>
    <row r="148" spans="1:14">
      <c r="A148" s="126">
        <f>Ameacas!A148</f>
        <v>140</v>
      </c>
      <c r="B148" s="282">
        <f>Ameacas!B148</f>
        <v>0</v>
      </c>
      <c r="C148" s="233">
        <f>Ameacas!C148</f>
        <v>0</v>
      </c>
      <c r="D148" s="434">
        <f>Ameacas!D148</f>
        <v>0</v>
      </c>
      <c r="E148" s="418"/>
      <c r="F148" s="225">
        <f>Ameacas!I148</f>
        <v>0</v>
      </c>
      <c r="G148" s="226">
        <f>'Resposta-Ameacas'!M150</f>
        <v>0</v>
      </c>
      <c r="H148" s="227"/>
      <c r="I148" s="283">
        <f>'Resposta-Ameacas'!N150</f>
        <v>0</v>
      </c>
      <c r="J148" s="284"/>
      <c r="K148" s="284"/>
      <c r="L148" s="285"/>
      <c r="M148" s="228">
        <v>0</v>
      </c>
      <c r="N148" s="284"/>
    </row>
    <row r="149" spans="1:14">
      <c r="A149" s="126">
        <f>Ameacas!A149</f>
        <v>141</v>
      </c>
      <c r="B149" s="282">
        <f>Ameacas!B149</f>
        <v>0</v>
      </c>
      <c r="C149" s="233">
        <f>Ameacas!C149</f>
        <v>0</v>
      </c>
      <c r="D149" s="434">
        <f>Ameacas!D149</f>
        <v>0</v>
      </c>
      <c r="E149" s="418"/>
      <c r="F149" s="225">
        <f>Ameacas!I149</f>
        <v>0</v>
      </c>
      <c r="G149" s="226">
        <f>'Resposta-Ameacas'!M151</f>
        <v>0</v>
      </c>
      <c r="H149" s="227"/>
      <c r="I149" s="283">
        <f>'Resposta-Ameacas'!N151</f>
        <v>0</v>
      </c>
      <c r="J149" s="284"/>
      <c r="K149" s="284"/>
      <c r="L149" s="285"/>
      <c r="M149" s="228">
        <v>0</v>
      </c>
      <c r="N149" s="284"/>
    </row>
    <row r="150" spans="1:14">
      <c r="A150" s="126">
        <f>Ameacas!A150</f>
        <v>142</v>
      </c>
      <c r="B150" s="282">
        <f>Ameacas!B150</f>
        <v>0</v>
      </c>
      <c r="C150" s="233">
        <f>Ameacas!C150</f>
        <v>0</v>
      </c>
      <c r="D150" s="434">
        <f>Ameacas!D150</f>
        <v>0</v>
      </c>
      <c r="E150" s="418"/>
      <c r="F150" s="225">
        <f>Ameacas!I150</f>
        <v>0</v>
      </c>
      <c r="G150" s="226">
        <f>'Resposta-Ameacas'!M152</f>
        <v>0</v>
      </c>
      <c r="H150" s="227"/>
      <c r="I150" s="283">
        <f>'Resposta-Ameacas'!N152</f>
        <v>0</v>
      </c>
      <c r="J150" s="284"/>
      <c r="K150" s="284"/>
      <c r="L150" s="285"/>
      <c r="M150" s="228">
        <v>0</v>
      </c>
      <c r="N150" s="284"/>
    </row>
    <row r="151" spans="1:14">
      <c r="A151" s="126">
        <f>Ameacas!A151</f>
        <v>143</v>
      </c>
      <c r="B151" s="282">
        <f>Ameacas!B151</f>
        <v>0</v>
      </c>
      <c r="C151" s="233">
        <f>Ameacas!C151</f>
        <v>0</v>
      </c>
      <c r="D151" s="434">
        <f>Ameacas!D151</f>
        <v>0</v>
      </c>
      <c r="E151" s="418"/>
      <c r="F151" s="225">
        <f>Ameacas!I151</f>
        <v>0</v>
      </c>
      <c r="G151" s="226">
        <f>'Resposta-Ameacas'!M153</f>
        <v>0</v>
      </c>
      <c r="H151" s="227"/>
      <c r="I151" s="283">
        <f>'Resposta-Ameacas'!N153</f>
        <v>0</v>
      </c>
      <c r="J151" s="284"/>
      <c r="K151" s="284"/>
      <c r="L151" s="285"/>
      <c r="M151" s="228">
        <v>0</v>
      </c>
      <c r="N151" s="284"/>
    </row>
    <row r="152" spans="1:14">
      <c r="A152" s="126">
        <f>Ameacas!A152</f>
        <v>144</v>
      </c>
      <c r="B152" s="282">
        <f>Ameacas!B152</f>
        <v>0</v>
      </c>
      <c r="C152" s="233">
        <f>Ameacas!C152</f>
        <v>0</v>
      </c>
      <c r="D152" s="434">
        <f>Ameacas!D152</f>
        <v>0</v>
      </c>
      <c r="E152" s="418"/>
      <c r="F152" s="225">
        <f>Ameacas!I152</f>
        <v>0</v>
      </c>
      <c r="G152" s="226">
        <f>'Resposta-Ameacas'!M154</f>
        <v>0</v>
      </c>
      <c r="H152" s="227"/>
      <c r="I152" s="283">
        <f>'Resposta-Ameacas'!N154</f>
        <v>0</v>
      </c>
      <c r="J152" s="284"/>
      <c r="K152" s="284"/>
      <c r="L152" s="285"/>
      <c r="M152" s="228">
        <v>0</v>
      </c>
      <c r="N152" s="284"/>
    </row>
    <row r="153" spans="1:14">
      <c r="A153" s="126">
        <f>Ameacas!A153</f>
        <v>145</v>
      </c>
      <c r="B153" s="282">
        <f>Ameacas!B153</f>
        <v>0</v>
      </c>
      <c r="C153" s="233">
        <f>Ameacas!C153</f>
        <v>0</v>
      </c>
      <c r="D153" s="434">
        <f>Ameacas!D153</f>
        <v>0</v>
      </c>
      <c r="E153" s="418"/>
      <c r="F153" s="225">
        <f>Ameacas!I153</f>
        <v>0</v>
      </c>
      <c r="G153" s="226">
        <f>'Resposta-Ameacas'!M155</f>
        <v>0</v>
      </c>
      <c r="H153" s="227"/>
      <c r="I153" s="283">
        <f>'Resposta-Ameacas'!N155</f>
        <v>0</v>
      </c>
      <c r="J153" s="284"/>
      <c r="K153" s="284"/>
      <c r="L153" s="285"/>
      <c r="M153" s="228">
        <v>0</v>
      </c>
      <c r="N153" s="284"/>
    </row>
    <row r="154" spans="1:14">
      <c r="A154" s="126">
        <f>Ameacas!A154</f>
        <v>146</v>
      </c>
      <c r="B154" s="282">
        <f>Ameacas!B154</f>
        <v>0</v>
      </c>
      <c r="C154" s="233">
        <f>Ameacas!C154</f>
        <v>0</v>
      </c>
      <c r="D154" s="434">
        <f>Ameacas!D154</f>
        <v>0</v>
      </c>
      <c r="E154" s="418"/>
      <c r="F154" s="225">
        <f>Ameacas!I154</f>
        <v>0</v>
      </c>
      <c r="G154" s="226">
        <f>'Resposta-Ameacas'!M156</f>
        <v>0</v>
      </c>
      <c r="H154" s="227"/>
      <c r="I154" s="283">
        <f>'Resposta-Ameacas'!N156</f>
        <v>0</v>
      </c>
      <c r="J154" s="284"/>
      <c r="K154" s="284"/>
      <c r="L154" s="285"/>
      <c r="M154" s="228">
        <v>0</v>
      </c>
      <c r="N154" s="284"/>
    </row>
    <row r="155" spans="1:14">
      <c r="A155" s="126">
        <f>Ameacas!A155</f>
        <v>147</v>
      </c>
      <c r="B155" s="282">
        <f>Ameacas!B155</f>
        <v>0</v>
      </c>
      <c r="C155" s="233">
        <f>Ameacas!C155</f>
        <v>0</v>
      </c>
      <c r="D155" s="434">
        <f>Ameacas!D155</f>
        <v>0</v>
      </c>
      <c r="E155" s="418"/>
      <c r="F155" s="225">
        <f>Ameacas!I155</f>
        <v>0</v>
      </c>
      <c r="G155" s="226">
        <f>'Resposta-Ameacas'!M157</f>
        <v>0</v>
      </c>
      <c r="H155" s="227"/>
      <c r="I155" s="283">
        <f>'Resposta-Ameacas'!N157</f>
        <v>0</v>
      </c>
      <c r="J155" s="284"/>
      <c r="K155" s="284"/>
      <c r="L155" s="285"/>
      <c r="M155" s="228">
        <v>0</v>
      </c>
      <c r="N155" s="284"/>
    </row>
    <row r="156" spans="1:14">
      <c r="A156" s="126">
        <f>Ameacas!A156</f>
        <v>148</v>
      </c>
      <c r="B156" s="282">
        <f>Ameacas!B156</f>
        <v>0</v>
      </c>
      <c r="C156" s="233">
        <f>Ameacas!C156</f>
        <v>0</v>
      </c>
      <c r="D156" s="434">
        <f>Ameacas!D156</f>
        <v>0</v>
      </c>
      <c r="E156" s="418"/>
      <c r="F156" s="225">
        <f>Ameacas!I156</f>
        <v>0</v>
      </c>
      <c r="G156" s="226">
        <f>'Resposta-Ameacas'!M158</f>
        <v>0</v>
      </c>
      <c r="H156" s="227"/>
      <c r="I156" s="283">
        <f>'Resposta-Ameacas'!N158</f>
        <v>0</v>
      </c>
      <c r="J156" s="284"/>
      <c r="K156" s="284"/>
      <c r="L156" s="285"/>
      <c r="M156" s="228">
        <v>0</v>
      </c>
      <c r="N156" s="284"/>
    </row>
    <row r="157" spans="1:14">
      <c r="A157" s="126">
        <f>Ameacas!A157</f>
        <v>149</v>
      </c>
      <c r="B157" s="282">
        <f>Ameacas!B157</f>
        <v>0</v>
      </c>
      <c r="C157" s="233">
        <f>Ameacas!C157</f>
        <v>0</v>
      </c>
      <c r="D157" s="434">
        <f>Ameacas!D157</f>
        <v>0</v>
      </c>
      <c r="E157" s="418"/>
      <c r="F157" s="225">
        <f>Ameacas!I157</f>
        <v>0</v>
      </c>
      <c r="G157" s="226">
        <f>'Resposta-Ameacas'!M159</f>
        <v>0</v>
      </c>
      <c r="H157" s="227"/>
      <c r="I157" s="283">
        <f>'Resposta-Ameacas'!N159</f>
        <v>0</v>
      </c>
      <c r="J157" s="284"/>
      <c r="K157" s="284"/>
      <c r="L157" s="285"/>
      <c r="M157" s="228">
        <v>0</v>
      </c>
      <c r="N157" s="284"/>
    </row>
    <row r="158" spans="1:14">
      <c r="A158" s="126">
        <f>Ameacas!A158</f>
        <v>150</v>
      </c>
      <c r="B158" s="282">
        <f>Ameacas!B158</f>
        <v>0</v>
      </c>
      <c r="C158" s="233">
        <f>Ameacas!C158</f>
        <v>0</v>
      </c>
      <c r="D158" s="434">
        <f>Ameacas!D158</f>
        <v>0</v>
      </c>
      <c r="E158" s="418"/>
      <c r="F158" s="225">
        <f>Ameacas!I158</f>
        <v>0</v>
      </c>
      <c r="G158" s="226">
        <f>'Resposta-Ameacas'!M160</f>
        <v>0</v>
      </c>
      <c r="H158" s="227"/>
      <c r="I158" s="283">
        <f>'Resposta-Ameacas'!N160</f>
        <v>0</v>
      </c>
      <c r="J158" s="284"/>
      <c r="K158" s="284"/>
      <c r="L158" s="285"/>
      <c r="M158" s="228">
        <v>0</v>
      </c>
      <c r="N158" s="284"/>
    </row>
    <row r="159" spans="1:14">
      <c r="A159" s="126">
        <f>Ameacas!A159</f>
        <v>151</v>
      </c>
      <c r="B159" s="282">
        <f>Ameacas!B159</f>
        <v>0</v>
      </c>
      <c r="C159" s="233">
        <f>Ameacas!C159</f>
        <v>0</v>
      </c>
      <c r="D159" s="434">
        <f>Ameacas!D159</f>
        <v>0</v>
      </c>
      <c r="E159" s="418"/>
      <c r="F159" s="225">
        <f>Ameacas!I159</f>
        <v>0</v>
      </c>
      <c r="G159" s="226">
        <f>'Resposta-Ameacas'!M161</f>
        <v>0</v>
      </c>
      <c r="H159" s="227"/>
      <c r="I159" s="283">
        <f>'Resposta-Ameacas'!N161</f>
        <v>0</v>
      </c>
      <c r="J159" s="284"/>
      <c r="K159" s="284"/>
      <c r="L159" s="285"/>
      <c r="M159" s="228">
        <v>0</v>
      </c>
      <c r="N159" s="284"/>
    </row>
    <row r="160" spans="1:14">
      <c r="A160" s="126">
        <f>Ameacas!A160</f>
        <v>152</v>
      </c>
      <c r="B160" s="282">
        <f>Ameacas!B160</f>
        <v>0</v>
      </c>
      <c r="C160" s="233">
        <f>Ameacas!C160</f>
        <v>0</v>
      </c>
      <c r="D160" s="434">
        <f>Ameacas!D160</f>
        <v>0</v>
      </c>
      <c r="E160" s="418"/>
      <c r="F160" s="225">
        <f>Ameacas!I160</f>
        <v>0</v>
      </c>
      <c r="G160" s="226">
        <f>'Resposta-Ameacas'!M162</f>
        <v>0</v>
      </c>
      <c r="H160" s="227"/>
      <c r="I160" s="283">
        <f>'Resposta-Ameacas'!N162</f>
        <v>0</v>
      </c>
      <c r="J160" s="284"/>
      <c r="K160" s="284"/>
      <c r="L160" s="285"/>
      <c r="M160" s="228">
        <v>0</v>
      </c>
      <c r="N160" s="284"/>
    </row>
    <row r="161" spans="1:14">
      <c r="A161" s="126">
        <f>Ameacas!A161</f>
        <v>153</v>
      </c>
      <c r="B161" s="282">
        <f>Ameacas!B161</f>
        <v>0</v>
      </c>
      <c r="C161" s="233">
        <f>Ameacas!C161</f>
        <v>0</v>
      </c>
      <c r="D161" s="434">
        <f>Ameacas!D161</f>
        <v>0</v>
      </c>
      <c r="E161" s="418"/>
      <c r="F161" s="225">
        <f>Ameacas!I161</f>
        <v>0</v>
      </c>
      <c r="G161" s="226">
        <f>'Resposta-Ameacas'!M163</f>
        <v>0</v>
      </c>
      <c r="H161" s="227"/>
      <c r="I161" s="283">
        <f>'Resposta-Ameacas'!N163</f>
        <v>0</v>
      </c>
      <c r="J161" s="284"/>
      <c r="K161" s="284"/>
      <c r="L161" s="285"/>
      <c r="M161" s="228">
        <v>0</v>
      </c>
      <c r="N161" s="284"/>
    </row>
    <row r="162" spans="1:14" ht="12.75" customHeight="1">
      <c r="A162" s="126">
        <f>Ameacas!A162</f>
        <v>154</v>
      </c>
      <c r="B162" s="282">
        <f>Ameacas!B162</f>
        <v>0</v>
      </c>
      <c r="C162" s="233">
        <f>Ameacas!C162</f>
        <v>0</v>
      </c>
      <c r="D162" s="434">
        <f>Ameacas!D162</f>
        <v>0</v>
      </c>
      <c r="E162" s="418"/>
      <c r="F162" s="225">
        <f>Ameacas!I162</f>
        <v>0</v>
      </c>
      <c r="G162" s="226">
        <f>'Resposta-Ameacas'!M164</f>
        <v>0</v>
      </c>
      <c r="H162" s="227"/>
      <c r="I162" s="283">
        <f>'Resposta-Ameacas'!N164</f>
        <v>0</v>
      </c>
      <c r="J162" s="284"/>
      <c r="K162" s="284"/>
      <c r="L162" s="285"/>
      <c r="M162" s="228">
        <v>0</v>
      </c>
      <c r="N162" s="284"/>
    </row>
    <row r="163" spans="1:14" ht="12.75" customHeight="1">
      <c r="A163" s="126">
        <f>Ameacas!A163</f>
        <v>155</v>
      </c>
      <c r="B163" s="282">
        <f>Ameacas!B163</f>
        <v>0</v>
      </c>
      <c r="C163" s="233">
        <f>Ameacas!C163</f>
        <v>0</v>
      </c>
      <c r="D163" s="434">
        <f>Ameacas!D163</f>
        <v>0</v>
      </c>
      <c r="E163" s="418"/>
      <c r="F163" s="225">
        <f>Ameacas!I163</f>
        <v>0</v>
      </c>
      <c r="G163" s="226">
        <f>'Resposta-Ameacas'!M165</f>
        <v>0</v>
      </c>
      <c r="H163" s="227"/>
      <c r="I163" s="283">
        <f>'Resposta-Ameacas'!N165</f>
        <v>0</v>
      </c>
      <c r="J163" s="284"/>
      <c r="K163" s="284"/>
      <c r="L163" s="285"/>
      <c r="M163" s="228">
        <v>0</v>
      </c>
      <c r="N163" s="284"/>
    </row>
    <row r="164" spans="1:14">
      <c r="A164" s="126">
        <f>Ameacas!A164</f>
        <v>156</v>
      </c>
      <c r="B164" s="282">
        <f>Ameacas!B164</f>
        <v>0</v>
      </c>
      <c r="C164" s="233">
        <f>Ameacas!C164</f>
        <v>0</v>
      </c>
      <c r="D164" s="434">
        <f>Ameacas!D164</f>
        <v>0</v>
      </c>
      <c r="E164" s="418"/>
      <c r="F164" s="225">
        <f>Ameacas!I164</f>
        <v>0</v>
      </c>
      <c r="G164" s="226">
        <f>'Resposta-Ameacas'!M166</f>
        <v>0</v>
      </c>
      <c r="H164" s="227"/>
      <c r="I164" s="283">
        <f>'Resposta-Ameacas'!N166</f>
        <v>0</v>
      </c>
      <c r="J164" s="284"/>
      <c r="K164" s="284"/>
      <c r="L164" s="285"/>
      <c r="M164" s="228">
        <v>0</v>
      </c>
      <c r="N164" s="284"/>
    </row>
    <row r="165" spans="1:14">
      <c r="A165" s="126">
        <f>Ameacas!A165</f>
        <v>157</v>
      </c>
      <c r="B165" s="282">
        <f>Ameacas!B165</f>
        <v>0</v>
      </c>
      <c r="C165" s="233">
        <f>Ameacas!C165</f>
        <v>0</v>
      </c>
      <c r="D165" s="434">
        <f>Ameacas!D165</f>
        <v>0</v>
      </c>
      <c r="E165" s="418"/>
      <c r="F165" s="225">
        <f>Ameacas!I165</f>
        <v>0</v>
      </c>
      <c r="G165" s="226">
        <f>'Resposta-Ameacas'!M167</f>
        <v>0</v>
      </c>
      <c r="H165" s="227"/>
      <c r="I165" s="283">
        <f>'Resposta-Ameacas'!N167</f>
        <v>0</v>
      </c>
      <c r="J165" s="284"/>
      <c r="K165" s="284"/>
      <c r="L165" s="285"/>
      <c r="M165" s="228">
        <v>0</v>
      </c>
      <c r="N165" s="284"/>
    </row>
    <row r="166" spans="1:14">
      <c r="A166" s="126">
        <f>Ameacas!A166</f>
        <v>158</v>
      </c>
      <c r="B166" s="282">
        <f>Ameacas!B166</f>
        <v>0</v>
      </c>
      <c r="C166" s="233">
        <f>Ameacas!C166</f>
        <v>0</v>
      </c>
      <c r="D166" s="434">
        <f>Ameacas!D166</f>
        <v>0</v>
      </c>
      <c r="E166" s="418"/>
      <c r="F166" s="225">
        <f>Ameacas!I166</f>
        <v>0</v>
      </c>
      <c r="G166" s="226">
        <f>'Resposta-Ameacas'!M168</f>
        <v>0</v>
      </c>
      <c r="H166" s="227"/>
      <c r="I166" s="283">
        <f>'Resposta-Ameacas'!N168</f>
        <v>0</v>
      </c>
      <c r="J166" s="284"/>
      <c r="K166" s="284"/>
      <c r="L166" s="285"/>
      <c r="M166" s="228">
        <v>0</v>
      </c>
      <c r="N166" s="284"/>
    </row>
    <row r="167" spans="1:14">
      <c r="A167" s="126">
        <f>Ameacas!A167</f>
        <v>159</v>
      </c>
      <c r="B167" s="282">
        <f>Ameacas!B167</f>
        <v>0</v>
      </c>
      <c r="C167" s="233">
        <f>Ameacas!C167</f>
        <v>0</v>
      </c>
      <c r="D167" s="434">
        <f>Ameacas!D167</f>
        <v>0</v>
      </c>
      <c r="E167" s="418"/>
      <c r="F167" s="225">
        <f>Ameacas!I167</f>
        <v>0</v>
      </c>
      <c r="G167" s="226">
        <f>'Resposta-Ameacas'!M169</f>
        <v>0</v>
      </c>
      <c r="H167" s="227"/>
      <c r="I167" s="283">
        <f>'Resposta-Ameacas'!N169</f>
        <v>0</v>
      </c>
      <c r="J167" s="284"/>
      <c r="K167" s="284"/>
      <c r="L167" s="285"/>
      <c r="M167" s="228">
        <v>0</v>
      </c>
      <c r="N167" s="284"/>
    </row>
    <row r="168" spans="1:14">
      <c r="A168" s="126">
        <f>Ameacas!A168</f>
        <v>160</v>
      </c>
      <c r="B168" s="282">
        <f>Ameacas!B168</f>
        <v>0</v>
      </c>
      <c r="C168" s="233">
        <f>Ameacas!C168</f>
        <v>0</v>
      </c>
      <c r="D168" s="434">
        <f>Ameacas!D168</f>
        <v>0</v>
      </c>
      <c r="E168" s="418"/>
      <c r="F168" s="225">
        <f>Ameacas!I168</f>
        <v>0</v>
      </c>
      <c r="G168" s="226">
        <f>'Resposta-Ameacas'!M170</f>
        <v>0</v>
      </c>
      <c r="H168" s="227"/>
      <c r="I168" s="283">
        <f>'Resposta-Ameacas'!N170</f>
        <v>0</v>
      </c>
      <c r="J168" s="284"/>
      <c r="K168" s="284"/>
      <c r="L168" s="285"/>
      <c r="M168" s="228">
        <v>0</v>
      </c>
      <c r="N168" s="284"/>
    </row>
    <row r="169" spans="1:14">
      <c r="A169" s="126">
        <f>Ameacas!A169</f>
        <v>161</v>
      </c>
      <c r="B169" s="282">
        <f>Ameacas!B169</f>
        <v>0</v>
      </c>
      <c r="C169" s="233">
        <f>Ameacas!C169</f>
        <v>0</v>
      </c>
      <c r="D169" s="434">
        <f>Ameacas!D169</f>
        <v>0</v>
      </c>
      <c r="E169" s="418"/>
      <c r="F169" s="225">
        <f>Ameacas!I169</f>
        <v>0</v>
      </c>
      <c r="G169" s="226">
        <f>'Resposta-Ameacas'!M171</f>
        <v>0</v>
      </c>
      <c r="H169" s="227"/>
      <c r="I169" s="283">
        <f>'Resposta-Ameacas'!N171</f>
        <v>0</v>
      </c>
      <c r="J169" s="284"/>
      <c r="K169" s="284"/>
      <c r="L169" s="285"/>
      <c r="M169" s="228">
        <v>0</v>
      </c>
      <c r="N169" s="284"/>
    </row>
    <row r="170" spans="1:14">
      <c r="A170" s="126">
        <f>Ameacas!A170</f>
        <v>162</v>
      </c>
      <c r="B170" s="282">
        <f>Ameacas!B170</f>
        <v>0</v>
      </c>
      <c r="C170" s="233">
        <f>Ameacas!C170</f>
        <v>0</v>
      </c>
      <c r="D170" s="434">
        <f>Ameacas!D170</f>
        <v>0</v>
      </c>
      <c r="E170" s="418"/>
      <c r="F170" s="225">
        <f>Ameacas!I170</f>
        <v>0</v>
      </c>
      <c r="G170" s="226">
        <f>'Resposta-Ameacas'!M172</f>
        <v>0</v>
      </c>
      <c r="H170" s="227"/>
      <c r="I170" s="283">
        <f>'Resposta-Ameacas'!N172</f>
        <v>0</v>
      </c>
      <c r="J170" s="284"/>
      <c r="K170" s="284"/>
      <c r="L170" s="285"/>
      <c r="M170" s="228">
        <v>0</v>
      </c>
      <c r="N170" s="284"/>
    </row>
    <row r="171" spans="1:14">
      <c r="A171" s="126">
        <f>Ameacas!A171</f>
        <v>163</v>
      </c>
      <c r="B171" s="282">
        <f>Ameacas!B171</f>
        <v>0</v>
      </c>
      <c r="C171" s="233">
        <f>Ameacas!C171</f>
        <v>0</v>
      </c>
      <c r="D171" s="434">
        <f>Ameacas!D171</f>
        <v>0</v>
      </c>
      <c r="E171" s="418"/>
      <c r="F171" s="225">
        <f>Ameacas!I171</f>
        <v>0</v>
      </c>
      <c r="G171" s="226">
        <f>'Resposta-Ameacas'!M173</f>
        <v>0</v>
      </c>
      <c r="H171" s="227"/>
      <c r="I171" s="283">
        <f>'Resposta-Ameacas'!N173</f>
        <v>0</v>
      </c>
      <c r="J171" s="284"/>
      <c r="K171" s="284"/>
      <c r="L171" s="285"/>
      <c r="M171" s="228">
        <v>0</v>
      </c>
      <c r="N171" s="284"/>
    </row>
    <row r="172" spans="1:14">
      <c r="A172" s="126">
        <f>Ameacas!A172</f>
        <v>164</v>
      </c>
      <c r="B172" s="282">
        <f>Ameacas!B172</f>
        <v>0</v>
      </c>
      <c r="C172" s="233">
        <f>Ameacas!C172</f>
        <v>0</v>
      </c>
      <c r="D172" s="434">
        <f>Ameacas!D172</f>
        <v>0</v>
      </c>
      <c r="E172" s="418"/>
      <c r="F172" s="225">
        <f>Ameacas!I172</f>
        <v>0</v>
      </c>
      <c r="G172" s="226">
        <f>'Resposta-Ameacas'!M174</f>
        <v>0</v>
      </c>
      <c r="H172" s="227"/>
      <c r="I172" s="283">
        <f>'Resposta-Ameacas'!N174</f>
        <v>0</v>
      </c>
      <c r="J172" s="284"/>
      <c r="K172" s="284"/>
      <c r="L172" s="285"/>
      <c r="M172" s="228">
        <v>0</v>
      </c>
      <c r="N172" s="284"/>
    </row>
    <row r="173" spans="1:14">
      <c r="A173" s="126">
        <f>Ameacas!A173</f>
        <v>165</v>
      </c>
      <c r="B173" s="282">
        <f>Ameacas!B173</f>
        <v>0</v>
      </c>
      <c r="C173" s="233">
        <f>Ameacas!C173</f>
        <v>0</v>
      </c>
      <c r="D173" s="434">
        <f>Ameacas!D173</f>
        <v>0</v>
      </c>
      <c r="E173" s="418"/>
      <c r="F173" s="225">
        <f>Ameacas!I173</f>
        <v>0</v>
      </c>
      <c r="G173" s="226">
        <f>'Resposta-Ameacas'!M175</f>
        <v>0</v>
      </c>
      <c r="H173" s="227"/>
      <c r="I173" s="283">
        <f>'Resposta-Ameacas'!N175</f>
        <v>0</v>
      </c>
      <c r="J173" s="284"/>
      <c r="K173" s="284"/>
      <c r="L173" s="285"/>
      <c r="M173" s="228">
        <v>0</v>
      </c>
      <c r="N173" s="284"/>
    </row>
    <row r="174" spans="1:14">
      <c r="A174" s="126">
        <f>Ameacas!A174</f>
        <v>166</v>
      </c>
      <c r="B174" s="282">
        <f>Ameacas!B174</f>
        <v>0</v>
      </c>
      <c r="C174" s="233">
        <f>Ameacas!C174</f>
        <v>0</v>
      </c>
      <c r="D174" s="434">
        <f>Ameacas!D174</f>
        <v>0</v>
      </c>
      <c r="E174" s="418"/>
      <c r="F174" s="225">
        <f>Ameacas!I174</f>
        <v>0</v>
      </c>
      <c r="G174" s="226">
        <f>'Resposta-Ameacas'!M176</f>
        <v>0</v>
      </c>
      <c r="H174" s="227"/>
      <c r="I174" s="283">
        <f>'Resposta-Ameacas'!N176</f>
        <v>0</v>
      </c>
      <c r="J174" s="284"/>
      <c r="K174" s="284"/>
      <c r="L174" s="285"/>
      <c r="M174" s="228">
        <v>0</v>
      </c>
      <c r="N174" s="284"/>
    </row>
    <row r="175" spans="1:14">
      <c r="A175" s="126">
        <f>Ameacas!A175</f>
        <v>167</v>
      </c>
      <c r="B175" s="282">
        <f>Ameacas!B175</f>
        <v>0</v>
      </c>
      <c r="C175" s="233">
        <f>Ameacas!C175</f>
        <v>0</v>
      </c>
      <c r="D175" s="434">
        <f>Ameacas!D175</f>
        <v>0</v>
      </c>
      <c r="E175" s="418"/>
      <c r="F175" s="225">
        <f>Ameacas!I175</f>
        <v>0</v>
      </c>
      <c r="G175" s="226">
        <f>'Resposta-Ameacas'!M177</f>
        <v>0</v>
      </c>
      <c r="H175" s="227"/>
      <c r="I175" s="283">
        <f>'Resposta-Ameacas'!N177</f>
        <v>0</v>
      </c>
      <c r="J175" s="284"/>
      <c r="K175" s="284"/>
      <c r="L175" s="285"/>
      <c r="M175" s="228">
        <v>0</v>
      </c>
      <c r="N175" s="284"/>
    </row>
    <row r="176" spans="1:14">
      <c r="A176" s="126">
        <f>Ameacas!A176</f>
        <v>168</v>
      </c>
      <c r="B176" s="282">
        <f>Ameacas!B176</f>
        <v>0</v>
      </c>
      <c r="C176" s="233">
        <f>Ameacas!C176</f>
        <v>0</v>
      </c>
      <c r="D176" s="434">
        <f>Ameacas!D176</f>
        <v>0</v>
      </c>
      <c r="E176" s="418"/>
      <c r="F176" s="225">
        <f>Ameacas!I176</f>
        <v>0</v>
      </c>
      <c r="G176" s="226">
        <f>'Resposta-Ameacas'!M178</f>
        <v>0</v>
      </c>
      <c r="H176" s="227"/>
      <c r="I176" s="283">
        <f>'Resposta-Ameacas'!N178</f>
        <v>0</v>
      </c>
      <c r="J176" s="284"/>
      <c r="K176" s="284"/>
      <c r="L176" s="285"/>
      <c r="M176" s="228">
        <v>0</v>
      </c>
      <c r="N176" s="284"/>
    </row>
    <row r="177" spans="1:14">
      <c r="A177" s="126">
        <f>Ameacas!A177</f>
        <v>169</v>
      </c>
      <c r="B177" s="282">
        <f>Ameacas!B177</f>
        <v>0</v>
      </c>
      <c r="C177" s="233">
        <f>Ameacas!C177</f>
        <v>0</v>
      </c>
      <c r="D177" s="434">
        <f>Ameacas!D177</f>
        <v>0</v>
      </c>
      <c r="E177" s="418"/>
      <c r="F177" s="225">
        <f>Ameacas!I177</f>
        <v>0</v>
      </c>
      <c r="G177" s="226">
        <f>'Resposta-Ameacas'!M179</f>
        <v>0</v>
      </c>
      <c r="H177" s="227"/>
      <c r="I177" s="283">
        <f>'Resposta-Ameacas'!N179</f>
        <v>0</v>
      </c>
      <c r="J177" s="284"/>
      <c r="K177" s="284"/>
      <c r="L177" s="285"/>
      <c r="M177" s="228">
        <v>0</v>
      </c>
      <c r="N177" s="284"/>
    </row>
    <row r="178" spans="1:14">
      <c r="A178" s="126">
        <f>Ameacas!A178</f>
        <v>170</v>
      </c>
      <c r="B178" s="282">
        <f>Ameacas!B178</f>
        <v>0</v>
      </c>
      <c r="C178" s="233">
        <f>Ameacas!C178</f>
        <v>0</v>
      </c>
      <c r="D178" s="434">
        <f>Ameacas!D178</f>
        <v>0</v>
      </c>
      <c r="E178" s="418"/>
      <c r="F178" s="225">
        <f>Ameacas!I178</f>
        <v>0</v>
      </c>
      <c r="G178" s="226">
        <f>'Resposta-Ameacas'!M180</f>
        <v>0</v>
      </c>
      <c r="H178" s="227"/>
      <c r="I178" s="283">
        <f>'Resposta-Ameacas'!N180</f>
        <v>0</v>
      </c>
      <c r="J178" s="284"/>
      <c r="K178" s="284"/>
      <c r="L178" s="285"/>
      <c r="M178" s="228">
        <v>0</v>
      </c>
      <c r="N178" s="284"/>
    </row>
    <row r="179" spans="1:14">
      <c r="A179" s="126">
        <f>Ameacas!A179</f>
        <v>171</v>
      </c>
      <c r="B179" s="282">
        <f>Ameacas!B179</f>
        <v>0</v>
      </c>
      <c r="C179" s="233">
        <f>Ameacas!C179</f>
        <v>0</v>
      </c>
      <c r="D179" s="434">
        <f>Ameacas!D179</f>
        <v>0</v>
      </c>
      <c r="E179" s="418"/>
      <c r="F179" s="225">
        <f>Ameacas!I179</f>
        <v>0</v>
      </c>
      <c r="G179" s="226">
        <f>'Resposta-Ameacas'!M181</f>
        <v>0</v>
      </c>
      <c r="H179" s="227"/>
      <c r="I179" s="283">
        <f>'Resposta-Ameacas'!N181</f>
        <v>0</v>
      </c>
      <c r="J179" s="284"/>
      <c r="K179" s="284"/>
      <c r="L179" s="285"/>
      <c r="M179" s="228">
        <v>0</v>
      </c>
      <c r="N179" s="284"/>
    </row>
    <row r="180" spans="1:14">
      <c r="A180" s="126">
        <f>Ameacas!A180</f>
        <v>172</v>
      </c>
      <c r="B180" s="282">
        <f>Ameacas!B180</f>
        <v>0</v>
      </c>
      <c r="C180" s="233">
        <f>Ameacas!C180</f>
        <v>0</v>
      </c>
      <c r="D180" s="434">
        <f>Ameacas!D180</f>
        <v>0</v>
      </c>
      <c r="E180" s="418"/>
      <c r="F180" s="225">
        <f>Ameacas!I180</f>
        <v>0</v>
      </c>
      <c r="G180" s="226">
        <f>'Resposta-Ameacas'!M182</f>
        <v>0</v>
      </c>
      <c r="H180" s="227"/>
      <c r="I180" s="283">
        <f>'Resposta-Ameacas'!N182</f>
        <v>0</v>
      </c>
      <c r="J180" s="284"/>
      <c r="K180" s="284"/>
      <c r="L180" s="285"/>
      <c r="M180" s="228">
        <v>0</v>
      </c>
      <c r="N180" s="284"/>
    </row>
    <row r="181" spans="1:14">
      <c r="A181" s="126">
        <f>Ameacas!A181</f>
        <v>173</v>
      </c>
      <c r="B181" s="282">
        <f>Ameacas!B181</f>
        <v>0</v>
      </c>
      <c r="C181" s="233">
        <f>Ameacas!C181</f>
        <v>0</v>
      </c>
      <c r="D181" s="434">
        <f>Ameacas!D181</f>
        <v>0</v>
      </c>
      <c r="E181" s="418"/>
      <c r="F181" s="225">
        <f>Ameacas!I181</f>
        <v>0</v>
      </c>
      <c r="G181" s="226">
        <f>'Resposta-Ameacas'!M183</f>
        <v>0</v>
      </c>
      <c r="H181" s="227"/>
      <c r="I181" s="283">
        <f>'Resposta-Ameacas'!N183</f>
        <v>0</v>
      </c>
      <c r="J181" s="284"/>
      <c r="K181" s="284"/>
      <c r="L181" s="285"/>
      <c r="M181" s="228">
        <v>0</v>
      </c>
      <c r="N181" s="284"/>
    </row>
    <row r="182" spans="1:14">
      <c r="A182" s="126">
        <f>Ameacas!A182</f>
        <v>174</v>
      </c>
      <c r="B182" s="282">
        <f>Ameacas!B182</f>
        <v>0</v>
      </c>
      <c r="C182" s="233">
        <f>Ameacas!C182</f>
        <v>0</v>
      </c>
      <c r="D182" s="434">
        <f>Ameacas!D182</f>
        <v>0</v>
      </c>
      <c r="E182" s="418"/>
      <c r="F182" s="225">
        <f>Ameacas!I182</f>
        <v>0</v>
      </c>
      <c r="G182" s="226">
        <f>'Resposta-Ameacas'!M184</f>
        <v>0</v>
      </c>
      <c r="H182" s="227"/>
      <c r="I182" s="283">
        <f>'Resposta-Ameacas'!N184</f>
        <v>0</v>
      </c>
      <c r="J182" s="284"/>
      <c r="K182" s="284"/>
      <c r="L182" s="285"/>
      <c r="M182" s="228">
        <v>0</v>
      </c>
      <c r="N182" s="284"/>
    </row>
    <row r="183" spans="1:14">
      <c r="A183" s="126">
        <f>Ameacas!A183</f>
        <v>175</v>
      </c>
      <c r="B183" s="282">
        <f>Ameacas!B183</f>
        <v>0</v>
      </c>
      <c r="C183" s="233">
        <f>Ameacas!C183</f>
        <v>0</v>
      </c>
      <c r="D183" s="434">
        <f>Ameacas!D183</f>
        <v>0</v>
      </c>
      <c r="E183" s="418"/>
      <c r="F183" s="225">
        <f>Ameacas!I183</f>
        <v>0</v>
      </c>
      <c r="G183" s="226">
        <f>'Resposta-Ameacas'!M185</f>
        <v>0</v>
      </c>
      <c r="H183" s="227"/>
      <c r="I183" s="283">
        <f>'Resposta-Ameacas'!N185</f>
        <v>0</v>
      </c>
      <c r="J183" s="284"/>
      <c r="K183" s="284"/>
      <c r="L183" s="285"/>
      <c r="M183" s="228">
        <v>0</v>
      </c>
      <c r="N183" s="284"/>
    </row>
    <row r="184" spans="1:14">
      <c r="A184" s="126">
        <f>Ameacas!A184</f>
        <v>176</v>
      </c>
      <c r="B184" s="282">
        <f>Ameacas!B184</f>
        <v>0</v>
      </c>
      <c r="C184" s="233">
        <f>Ameacas!C184</f>
        <v>0</v>
      </c>
      <c r="D184" s="434">
        <f>Ameacas!D184</f>
        <v>0</v>
      </c>
      <c r="E184" s="418"/>
      <c r="F184" s="225">
        <f>Ameacas!I184</f>
        <v>0</v>
      </c>
      <c r="G184" s="226">
        <f>'Resposta-Ameacas'!M186</f>
        <v>0</v>
      </c>
      <c r="H184" s="227"/>
      <c r="I184" s="283">
        <f>'Resposta-Ameacas'!N186</f>
        <v>0</v>
      </c>
      <c r="J184" s="284"/>
      <c r="K184" s="284"/>
      <c r="L184" s="285"/>
      <c r="M184" s="228">
        <v>0</v>
      </c>
      <c r="N184" s="284"/>
    </row>
    <row r="185" spans="1:14">
      <c r="A185" s="126">
        <f>Ameacas!A185</f>
        <v>177</v>
      </c>
      <c r="B185" s="282">
        <f>Ameacas!B185</f>
        <v>0</v>
      </c>
      <c r="C185" s="233">
        <f>Ameacas!C185</f>
        <v>0</v>
      </c>
      <c r="D185" s="434">
        <f>Ameacas!D185</f>
        <v>0</v>
      </c>
      <c r="E185" s="418"/>
      <c r="F185" s="225">
        <f>Ameacas!I185</f>
        <v>0</v>
      </c>
      <c r="G185" s="226">
        <f>'Resposta-Ameacas'!M187</f>
        <v>0</v>
      </c>
      <c r="H185" s="227"/>
      <c r="I185" s="283">
        <f>'Resposta-Ameacas'!N187</f>
        <v>0</v>
      </c>
      <c r="J185" s="284"/>
      <c r="K185" s="284"/>
      <c r="L185" s="285"/>
      <c r="M185" s="228">
        <v>0</v>
      </c>
      <c r="N185" s="284"/>
    </row>
    <row r="186" spans="1:14">
      <c r="A186" s="126">
        <f>Ameacas!A186</f>
        <v>178</v>
      </c>
      <c r="B186" s="282">
        <f>Ameacas!B186</f>
        <v>0</v>
      </c>
      <c r="C186" s="233">
        <f>Ameacas!C186</f>
        <v>0</v>
      </c>
      <c r="D186" s="434">
        <f>Ameacas!D186</f>
        <v>0</v>
      </c>
      <c r="E186" s="418"/>
      <c r="F186" s="225">
        <f>Ameacas!I186</f>
        <v>0</v>
      </c>
      <c r="G186" s="226">
        <f>'Resposta-Ameacas'!M188</f>
        <v>0</v>
      </c>
      <c r="H186" s="227"/>
      <c r="I186" s="283">
        <f>'Resposta-Ameacas'!N188</f>
        <v>0</v>
      </c>
      <c r="J186" s="284"/>
      <c r="K186" s="284"/>
      <c r="L186" s="285"/>
      <c r="M186" s="228">
        <v>0</v>
      </c>
      <c r="N186" s="284"/>
    </row>
    <row r="187" spans="1:14">
      <c r="A187" s="126">
        <f>Ameacas!A187</f>
        <v>179</v>
      </c>
      <c r="B187" s="282">
        <f>Ameacas!B187</f>
        <v>0</v>
      </c>
      <c r="C187" s="233">
        <f>Ameacas!C187</f>
        <v>0</v>
      </c>
      <c r="D187" s="434">
        <f>Ameacas!D187</f>
        <v>0</v>
      </c>
      <c r="E187" s="418"/>
      <c r="F187" s="225">
        <f>Ameacas!I187</f>
        <v>0</v>
      </c>
      <c r="G187" s="226">
        <f>'Resposta-Ameacas'!M189</f>
        <v>0</v>
      </c>
      <c r="H187" s="227"/>
      <c r="I187" s="283">
        <f>'Resposta-Ameacas'!N189</f>
        <v>0</v>
      </c>
      <c r="J187" s="284"/>
      <c r="K187" s="284"/>
      <c r="L187" s="285"/>
      <c r="M187" s="228">
        <v>0</v>
      </c>
      <c r="N187" s="284"/>
    </row>
    <row r="188" spans="1:14">
      <c r="A188" s="126">
        <f>Ameacas!A188</f>
        <v>180</v>
      </c>
      <c r="B188" s="282">
        <f>Ameacas!B188</f>
        <v>0</v>
      </c>
      <c r="C188" s="233">
        <f>Ameacas!C188</f>
        <v>0</v>
      </c>
      <c r="D188" s="434">
        <f>Ameacas!D188</f>
        <v>0</v>
      </c>
      <c r="E188" s="418"/>
      <c r="F188" s="225">
        <f>Ameacas!I188</f>
        <v>0</v>
      </c>
      <c r="G188" s="226">
        <f>'Resposta-Ameacas'!M190</f>
        <v>0</v>
      </c>
      <c r="H188" s="227"/>
      <c r="I188" s="283">
        <f>'Resposta-Ameacas'!N190</f>
        <v>0</v>
      </c>
      <c r="J188" s="284"/>
      <c r="K188" s="284"/>
      <c r="L188" s="285"/>
      <c r="M188" s="228">
        <v>0</v>
      </c>
      <c r="N188" s="284"/>
    </row>
    <row r="189" spans="1:14">
      <c r="A189" s="126">
        <f>Ameacas!A189</f>
        <v>181</v>
      </c>
      <c r="B189" s="282">
        <f>Ameacas!B189</f>
        <v>0</v>
      </c>
      <c r="C189" s="233">
        <f>Ameacas!C189</f>
        <v>0</v>
      </c>
      <c r="D189" s="434">
        <f>Ameacas!D189</f>
        <v>0</v>
      </c>
      <c r="E189" s="418"/>
      <c r="F189" s="225">
        <f>Ameacas!I189</f>
        <v>0</v>
      </c>
      <c r="G189" s="226">
        <f>'Resposta-Ameacas'!M191</f>
        <v>0</v>
      </c>
      <c r="H189" s="227"/>
      <c r="I189" s="283">
        <f>'Resposta-Ameacas'!N191</f>
        <v>0</v>
      </c>
      <c r="J189" s="284"/>
      <c r="K189" s="284"/>
      <c r="L189" s="285"/>
      <c r="M189" s="228">
        <v>0</v>
      </c>
      <c r="N189" s="284"/>
    </row>
    <row r="190" spans="1:14">
      <c r="A190" s="126">
        <f>Ameacas!A190</f>
        <v>182</v>
      </c>
      <c r="B190" s="282">
        <f>Ameacas!B190</f>
        <v>0</v>
      </c>
      <c r="C190" s="233">
        <f>Ameacas!C190</f>
        <v>0</v>
      </c>
      <c r="D190" s="434">
        <f>Ameacas!D190</f>
        <v>0</v>
      </c>
      <c r="E190" s="418"/>
      <c r="F190" s="225">
        <f>Ameacas!I190</f>
        <v>0</v>
      </c>
      <c r="G190" s="226">
        <f>'Resposta-Ameacas'!M192</f>
        <v>0</v>
      </c>
      <c r="H190" s="227"/>
      <c r="I190" s="283">
        <f>'Resposta-Ameacas'!N192</f>
        <v>0</v>
      </c>
      <c r="J190" s="284"/>
      <c r="K190" s="284"/>
      <c r="L190" s="285"/>
      <c r="M190" s="228">
        <v>0</v>
      </c>
      <c r="N190" s="284"/>
    </row>
    <row r="191" spans="1:14">
      <c r="A191" s="126">
        <f>Ameacas!A191</f>
        <v>183</v>
      </c>
      <c r="B191" s="282">
        <f>Ameacas!B191</f>
        <v>0</v>
      </c>
      <c r="C191" s="233">
        <f>Ameacas!C191</f>
        <v>0</v>
      </c>
      <c r="D191" s="434">
        <f>Ameacas!D191</f>
        <v>0</v>
      </c>
      <c r="E191" s="418"/>
      <c r="F191" s="225">
        <f>Ameacas!I191</f>
        <v>0</v>
      </c>
      <c r="G191" s="226">
        <f>'Resposta-Ameacas'!M193</f>
        <v>0</v>
      </c>
      <c r="H191" s="227"/>
      <c r="I191" s="283">
        <f>'Resposta-Ameacas'!N193</f>
        <v>0</v>
      </c>
      <c r="J191" s="284"/>
      <c r="K191" s="284"/>
      <c r="L191" s="285"/>
      <c r="M191" s="228">
        <v>0</v>
      </c>
      <c r="N191" s="284"/>
    </row>
    <row r="192" spans="1:14">
      <c r="A192" s="126">
        <f>Ameacas!A192</f>
        <v>184</v>
      </c>
      <c r="B192" s="282">
        <f>Ameacas!B192</f>
        <v>0</v>
      </c>
      <c r="C192" s="233">
        <f>Ameacas!C192</f>
        <v>0</v>
      </c>
      <c r="D192" s="434">
        <f>Ameacas!D192</f>
        <v>0</v>
      </c>
      <c r="E192" s="418"/>
      <c r="F192" s="225">
        <f>Ameacas!I192</f>
        <v>0</v>
      </c>
      <c r="G192" s="226">
        <f>'Resposta-Ameacas'!M194</f>
        <v>0</v>
      </c>
      <c r="H192" s="227"/>
      <c r="I192" s="283">
        <f>'Resposta-Ameacas'!N194</f>
        <v>0</v>
      </c>
      <c r="J192" s="284"/>
      <c r="K192" s="284"/>
      <c r="L192" s="285"/>
      <c r="M192" s="228">
        <v>0</v>
      </c>
      <c r="N192" s="284"/>
    </row>
    <row r="193" spans="1:14">
      <c r="A193" s="126">
        <f>Ameacas!A193</f>
        <v>185</v>
      </c>
      <c r="B193" s="282">
        <f>Ameacas!B193</f>
        <v>0</v>
      </c>
      <c r="C193" s="233">
        <f>Ameacas!C193</f>
        <v>0</v>
      </c>
      <c r="D193" s="434">
        <f>Ameacas!D193</f>
        <v>0</v>
      </c>
      <c r="E193" s="418"/>
      <c r="F193" s="225">
        <f>Ameacas!I193</f>
        <v>0</v>
      </c>
      <c r="G193" s="226">
        <f>'Resposta-Ameacas'!M195</f>
        <v>0</v>
      </c>
      <c r="H193" s="227"/>
      <c r="I193" s="283">
        <f>'Resposta-Ameacas'!N195</f>
        <v>0</v>
      </c>
      <c r="J193" s="284"/>
      <c r="K193" s="284"/>
      <c r="L193" s="285"/>
      <c r="M193" s="228">
        <v>0</v>
      </c>
      <c r="N193" s="284"/>
    </row>
    <row r="194" spans="1:14">
      <c r="A194" s="126">
        <f>Ameacas!A194</f>
        <v>186</v>
      </c>
      <c r="B194" s="282">
        <f>Ameacas!B194</f>
        <v>0</v>
      </c>
      <c r="C194" s="233">
        <f>Ameacas!C194</f>
        <v>0</v>
      </c>
      <c r="D194" s="434">
        <f>Ameacas!D194</f>
        <v>0</v>
      </c>
      <c r="E194" s="418"/>
      <c r="F194" s="225">
        <f>Ameacas!I194</f>
        <v>0</v>
      </c>
      <c r="G194" s="226">
        <f>'Resposta-Ameacas'!M196</f>
        <v>0</v>
      </c>
      <c r="H194" s="227"/>
      <c r="I194" s="283">
        <f>'Resposta-Ameacas'!N196</f>
        <v>0</v>
      </c>
      <c r="J194" s="284"/>
      <c r="K194" s="284"/>
      <c r="L194" s="285"/>
      <c r="M194" s="228">
        <v>0</v>
      </c>
      <c r="N194" s="284"/>
    </row>
    <row r="195" spans="1:14">
      <c r="A195" s="126">
        <f>Ameacas!A195</f>
        <v>187</v>
      </c>
      <c r="B195" s="282">
        <f>Ameacas!B195</f>
        <v>0</v>
      </c>
      <c r="C195" s="233">
        <f>Ameacas!C195</f>
        <v>0</v>
      </c>
      <c r="D195" s="434">
        <f>Ameacas!D195</f>
        <v>0</v>
      </c>
      <c r="E195" s="418"/>
      <c r="F195" s="225">
        <f>Ameacas!I195</f>
        <v>0</v>
      </c>
      <c r="G195" s="226">
        <f>'Resposta-Ameacas'!M197</f>
        <v>0</v>
      </c>
      <c r="H195" s="227"/>
      <c r="I195" s="283">
        <f>'Resposta-Ameacas'!N197</f>
        <v>0</v>
      </c>
      <c r="J195" s="284"/>
      <c r="K195" s="284"/>
      <c r="L195" s="285"/>
      <c r="M195" s="228">
        <v>0</v>
      </c>
      <c r="N195" s="284"/>
    </row>
    <row r="196" spans="1:14">
      <c r="A196" s="126">
        <f>Ameacas!A196</f>
        <v>188</v>
      </c>
      <c r="B196" s="282">
        <f>Ameacas!B196</f>
        <v>0</v>
      </c>
      <c r="C196" s="233">
        <f>Ameacas!C196</f>
        <v>0</v>
      </c>
      <c r="D196" s="434">
        <f>Ameacas!D196</f>
        <v>0</v>
      </c>
      <c r="E196" s="418"/>
      <c r="F196" s="225">
        <f>Ameacas!I196</f>
        <v>0</v>
      </c>
      <c r="G196" s="226">
        <f>'Resposta-Ameacas'!M198</f>
        <v>0</v>
      </c>
      <c r="H196" s="227"/>
      <c r="I196" s="283">
        <f>'Resposta-Ameacas'!N198</f>
        <v>0</v>
      </c>
      <c r="J196" s="284"/>
      <c r="K196" s="284"/>
      <c r="L196" s="285"/>
      <c r="M196" s="228">
        <v>0</v>
      </c>
      <c r="N196" s="284"/>
    </row>
    <row r="197" spans="1:14">
      <c r="A197" s="126">
        <f>Ameacas!A197</f>
        <v>189</v>
      </c>
      <c r="B197" s="282">
        <f>Ameacas!B197</f>
        <v>0</v>
      </c>
      <c r="C197" s="233">
        <f>Ameacas!C197</f>
        <v>0</v>
      </c>
      <c r="D197" s="434">
        <f>Ameacas!D197</f>
        <v>0</v>
      </c>
      <c r="E197" s="418"/>
      <c r="F197" s="225">
        <f>Ameacas!I197</f>
        <v>0</v>
      </c>
      <c r="G197" s="226">
        <f>'Resposta-Ameacas'!M199</f>
        <v>0</v>
      </c>
      <c r="H197" s="227"/>
      <c r="I197" s="283">
        <f>'Resposta-Ameacas'!N199</f>
        <v>0</v>
      </c>
      <c r="J197" s="284"/>
      <c r="K197" s="284"/>
      <c r="L197" s="285"/>
      <c r="M197" s="228">
        <v>0</v>
      </c>
      <c r="N197" s="284"/>
    </row>
    <row r="198" spans="1:14">
      <c r="A198" s="126">
        <f>Ameacas!A198</f>
        <v>190</v>
      </c>
      <c r="B198" s="282">
        <f>Ameacas!B198</f>
        <v>0</v>
      </c>
      <c r="C198" s="233">
        <f>Ameacas!C198</f>
        <v>0</v>
      </c>
      <c r="D198" s="434">
        <f>Ameacas!D198</f>
        <v>0</v>
      </c>
      <c r="E198" s="418"/>
      <c r="F198" s="225">
        <f>Ameacas!I198</f>
        <v>0</v>
      </c>
      <c r="G198" s="226">
        <f>'Resposta-Ameacas'!M200</f>
        <v>0</v>
      </c>
      <c r="H198" s="227"/>
      <c r="I198" s="283">
        <f>'Resposta-Ameacas'!N200</f>
        <v>0</v>
      </c>
      <c r="J198" s="284"/>
      <c r="K198" s="284"/>
      <c r="L198" s="285"/>
      <c r="M198" s="228">
        <v>0</v>
      </c>
      <c r="N198" s="284"/>
    </row>
    <row r="199" spans="1:14">
      <c r="A199" s="126">
        <f>Ameacas!A199</f>
        <v>191</v>
      </c>
      <c r="B199" s="282">
        <f>Ameacas!B199</f>
        <v>0</v>
      </c>
      <c r="C199" s="233">
        <f>Ameacas!C199</f>
        <v>0</v>
      </c>
      <c r="D199" s="434">
        <f>Ameacas!D199</f>
        <v>0</v>
      </c>
      <c r="E199" s="418"/>
      <c r="F199" s="225">
        <f>Ameacas!I199</f>
        <v>0</v>
      </c>
      <c r="G199" s="226">
        <f>'Resposta-Ameacas'!M201</f>
        <v>0</v>
      </c>
      <c r="H199" s="227"/>
      <c r="I199" s="283">
        <f>'Resposta-Ameacas'!N201</f>
        <v>0</v>
      </c>
      <c r="J199" s="284"/>
      <c r="K199" s="284"/>
      <c r="L199" s="285"/>
      <c r="M199" s="228">
        <v>0</v>
      </c>
      <c r="N199" s="284"/>
    </row>
    <row r="200" spans="1:14">
      <c r="A200" s="126">
        <f>Ameacas!A200</f>
        <v>192</v>
      </c>
      <c r="B200" s="282">
        <f>Ameacas!B200</f>
        <v>0</v>
      </c>
      <c r="C200" s="233">
        <f>Ameacas!C200</f>
        <v>0</v>
      </c>
      <c r="D200" s="434">
        <f>Ameacas!D200</f>
        <v>0</v>
      </c>
      <c r="E200" s="418"/>
      <c r="F200" s="225">
        <f>Ameacas!I200</f>
        <v>0</v>
      </c>
      <c r="G200" s="226">
        <f>'Resposta-Ameacas'!M202</f>
        <v>0</v>
      </c>
      <c r="H200" s="227"/>
      <c r="I200" s="283">
        <f>'Resposta-Ameacas'!N202</f>
        <v>0</v>
      </c>
      <c r="J200" s="284"/>
      <c r="K200" s="284"/>
      <c r="L200" s="285"/>
      <c r="M200" s="228">
        <v>0</v>
      </c>
      <c r="N200" s="284"/>
    </row>
    <row r="201" spans="1:14">
      <c r="A201" s="126">
        <f>Ameacas!A201</f>
        <v>193</v>
      </c>
      <c r="B201" s="282">
        <f>Ameacas!B201</f>
        <v>0</v>
      </c>
      <c r="C201" s="233">
        <f>Ameacas!C201</f>
        <v>0</v>
      </c>
      <c r="D201" s="434">
        <f>Ameacas!D201</f>
        <v>0</v>
      </c>
      <c r="E201" s="418"/>
      <c r="F201" s="225">
        <f>Ameacas!I201</f>
        <v>0</v>
      </c>
      <c r="G201" s="226">
        <f>'Resposta-Ameacas'!M203</f>
        <v>0</v>
      </c>
      <c r="H201" s="227"/>
      <c r="I201" s="283">
        <f>'Resposta-Ameacas'!N203</f>
        <v>0</v>
      </c>
      <c r="J201" s="284"/>
      <c r="K201" s="284"/>
      <c r="L201" s="285"/>
      <c r="M201" s="228">
        <v>0</v>
      </c>
      <c r="N201" s="284"/>
    </row>
    <row r="202" spans="1:14">
      <c r="A202" s="126">
        <f>Ameacas!A202</f>
        <v>194</v>
      </c>
      <c r="B202" s="282">
        <f>Ameacas!B202</f>
        <v>0</v>
      </c>
      <c r="C202" s="233">
        <f>Ameacas!C202</f>
        <v>0</v>
      </c>
      <c r="D202" s="434">
        <f>Ameacas!D202</f>
        <v>0</v>
      </c>
      <c r="E202" s="418"/>
      <c r="F202" s="225">
        <f>Ameacas!I202</f>
        <v>0</v>
      </c>
      <c r="G202" s="226">
        <f>'Resposta-Ameacas'!M204</f>
        <v>0</v>
      </c>
      <c r="H202" s="227"/>
      <c r="I202" s="283">
        <f>'Resposta-Ameacas'!N204</f>
        <v>0</v>
      </c>
      <c r="J202" s="284"/>
      <c r="K202" s="284"/>
      <c r="L202" s="285"/>
      <c r="M202" s="228">
        <v>0</v>
      </c>
      <c r="N202" s="284"/>
    </row>
    <row r="203" spans="1:14">
      <c r="A203" s="126">
        <f>Ameacas!A203</f>
        <v>195</v>
      </c>
      <c r="B203" s="282">
        <f>Ameacas!B203</f>
        <v>0</v>
      </c>
      <c r="C203" s="233">
        <f>Ameacas!C203</f>
        <v>0</v>
      </c>
      <c r="D203" s="434">
        <f>Ameacas!D203</f>
        <v>0</v>
      </c>
      <c r="E203" s="418"/>
      <c r="F203" s="225">
        <f>Ameacas!I203</f>
        <v>0</v>
      </c>
      <c r="G203" s="226">
        <f>'Resposta-Ameacas'!M205</f>
        <v>0</v>
      </c>
      <c r="H203" s="227"/>
      <c r="I203" s="283">
        <f>'Resposta-Ameacas'!N205</f>
        <v>0</v>
      </c>
      <c r="J203" s="284"/>
      <c r="K203" s="284"/>
      <c r="L203" s="285"/>
      <c r="M203" s="228">
        <v>0</v>
      </c>
      <c r="N203" s="284"/>
    </row>
    <row r="204" spans="1:14">
      <c r="A204" s="126">
        <f>Ameacas!A204</f>
        <v>196</v>
      </c>
      <c r="B204" s="282">
        <f>Ameacas!B204</f>
        <v>0</v>
      </c>
      <c r="C204" s="233">
        <f>Ameacas!C204</f>
        <v>0</v>
      </c>
      <c r="D204" s="434">
        <f>Ameacas!D204</f>
        <v>0</v>
      </c>
      <c r="E204" s="418"/>
      <c r="F204" s="225">
        <f>Ameacas!I204</f>
        <v>0</v>
      </c>
      <c r="G204" s="226">
        <f>'Resposta-Ameacas'!M206</f>
        <v>0</v>
      </c>
      <c r="H204" s="227"/>
      <c r="I204" s="283">
        <f>'Resposta-Ameacas'!N206</f>
        <v>0</v>
      </c>
      <c r="J204" s="284"/>
      <c r="K204" s="284"/>
      <c r="L204" s="285"/>
      <c r="M204" s="228">
        <v>0</v>
      </c>
      <c r="N204" s="284"/>
    </row>
    <row r="205" spans="1:14">
      <c r="A205" s="126">
        <f>Ameacas!A205</f>
        <v>197</v>
      </c>
      <c r="B205" s="282">
        <f>Ameacas!B205</f>
        <v>0</v>
      </c>
      <c r="C205" s="233">
        <f>Ameacas!C205</f>
        <v>0</v>
      </c>
      <c r="D205" s="434">
        <f>Ameacas!D205</f>
        <v>0</v>
      </c>
      <c r="E205" s="418"/>
      <c r="F205" s="225">
        <f>Ameacas!I205</f>
        <v>0</v>
      </c>
      <c r="G205" s="226">
        <f>'Resposta-Ameacas'!M207</f>
        <v>0</v>
      </c>
      <c r="H205" s="227"/>
      <c r="I205" s="283">
        <f>'Resposta-Ameacas'!N207</f>
        <v>0</v>
      </c>
      <c r="J205" s="284"/>
      <c r="K205" s="284"/>
      <c r="L205" s="285"/>
      <c r="M205" s="228">
        <v>0</v>
      </c>
      <c r="N205" s="284"/>
    </row>
    <row r="206" spans="1:14">
      <c r="A206" s="126">
        <f>Ameacas!A206</f>
        <v>198</v>
      </c>
      <c r="B206" s="282">
        <f>Ameacas!B206</f>
        <v>0</v>
      </c>
      <c r="C206" s="233">
        <f>Ameacas!C206</f>
        <v>0</v>
      </c>
      <c r="D206" s="434">
        <f>Ameacas!D206</f>
        <v>0</v>
      </c>
      <c r="E206" s="418"/>
      <c r="F206" s="225">
        <f>Ameacas!I206</f>
        <v>0</v>
      </c>
      <c r="G206" s="226">
        <f>'Resposta-Ameacas'!M208</f>
        <v>0</v>
      </c>
      <c r="H206" s="227"/>
      <c r="I206" s="283">
        <f>'Resposta-Ameacas'!N208</f>
        <v>0</v>
      </c>
      <c r="J206" s="284"/>
      <c r="K206" s="284"/>
      <c r="L206" s="285"/>
      <c r="M206" s="228">
        <v>0</v>
      </c>
      <c r="N206" s="284"/>
    </row>
    <row r="207" spans="1:14">
      <c r="A207" s="126">
        <f>Ameacas!A207</f>
        <v>199</v>
      </c>
      <c r="B207" s="282">
        <f>Ameacas!B207</f>
        <v>0</v>
      </c>
      <c r="C207" s="233">
        <f>Ameacas!C207</f>
        <v>0</v>
      </c>
      <c r="D207" s="434">
        <f>Ameacas!D207</f>
        <v>0</v>
      </c>
      <c r="E207" s="418"/>
      <c r="F207" s="225">
        <f>Ameacas!I207</f>
        <v>0</v>
      </c>
      <c r="G207" s="226">
        <f>'Resposta-Ameacas'!M209</f>
        <v>0</v>
      </c>
      <c r="H207" s="227"/>
      <c r="I207" s="283">
        <f>'Resposta-Ameacas'!N209</f>
        <v>0</v>
      </c>
      <c r="J207" s="284"/>
      <c r="K207" s="284"/>
      <c r="L207" s="285"/>
      <c r="M207" s="228">
        <v>0</v>
      </c>
      <c r="N207" s="284"/>
    </row>
    <row r="208" spans="1:14">
      <c r="A208" s="126">
        <f>Ameacas!A208</f>
        <v>200</v>
      </c>
      <c r="B208" s="282">
        <f>Ameacas!B208</f>
        <v>0</v>
      </c>
      <c r="C208" s="233">
        <f>Ameacas!C208</f>
        <v>0</v>
      </c>
      <c r="D208" s="434">
        <f>Ameacas!D208</f>
        <v>0</v>
      </c>
      <c r="E208" s="418"/>
      <c r="F208" s="225">
        <f>Ameacas!I208</f>
        <v>0</v>
      </c>
      <c r="G208" s="226">
        <f>'Resposta-Ameacas'!M210</f>
        <v>0</v>
      </c>
      <c r="H208" s="227"/>
      <c r="I208" s="283">
        <f>'Resposta-Ameacas'!N210</f>
        <v>0</v>
      </c>
      <c r="J208" s="284"/>
      <c r="K208" s="284"/>
      <c r="L208" s="285"/>
      <c r="M208" s="228">
        <v>0</v>
      </c>
      <c r="N208" s="284"/>
    </row>
    <row r="209" spans="1:113">
      <c r="A209" s="286"/>
      <c r="B209" s="287"/>
      <c r="C209" s="288"/>
      <c r="D209" s="289"/>
      <c r="E209" s="124"/>
      <c r="F209" s="290"/>
      <c r="G209" s="291"/>
      <c r="H209" s="292"/>
      <c r="I209" s="293"/>
      <c r="J209" s="294"/>
      <c r="K209" s="294"/>
      <c r="L209" s="295"/>
      <c r="M209" s="290"/>
      <c r="N209" s="294"/>
    </row>
    <row r="210" spans="1:113" s="12" customFormat="1">
      <c r="A210" s="7"/>
      <c r="B210" s="11"/>
      <c r="C210" s="7"/>
      <c r="D210" s="6"/>
      <c r="E210" s="6"/>
      <c r="F210" s="6"/>
      <c r="G210" s="7"/>
      <c r="H210" s="7"/>
      <c r="I210" s="67"/>
      <c r="J210" s="54"/>
      <c r="K210" s="54"/>
      <c r="L210" s="57"/>
      <c r="M210" s="7"/>
      <c r="N210" s="54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</row>
  </sheetData>
  <mergeCells count="202">
    <mergeCell ref="B6:F6"/>
    <mergeCell ref="D9:E9"/>
    <mergeCell ref="D10:E10"/>
    <mergeCell ref="D11:E11"/>
    <mergeCell ref="D12:E12"/>
    <mergeCell ref="D13:E13"/>
    <mergeCell ref="D8:E8"/>
    <mergeCell ref="D23:E23"/>
    <mergeCell ref="D24:E24"/>
    <mergeCell ref="D25:E25"/>
    <mergeCell ref="D26:E26"/>
    <mergeCell ref="D27:E27"/>
    <mergeCell ref="D28:E28"/>
    <mergeCell ref="D208:E208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35:E35"/>
    <mergeCell ref="D36:E36"/>
    <mergeCell ref="D37:E37"/>
    <mergeCell ref="D38:E38"/>
    <mergeCell ref="D39:E39"/>
    <mergeCell ref="D40:E40"/>
    <mergeCell ref="D29:E29"/>
    <mergeCell ref="D30:E30"/>
    <mergeCell ref="D31:E31"/>
    <mergeCell ref="D32:E32"/>
    <mergeCell ref="D33:E33"/>
    <mergeCell ref="D34:E34"/>
    <mergeCell ref="D47:E47"/>
    <mergeCell ref="D48:E48"/>
    <mergeCell ref="D49:E49"/>
    <mergeCell ref="D50:E50"/>
    <mergeCell ref="D51:E51"/>
    <mergeCell ref="D52:E52"/>
    <mergeCell ref="D41:E41"/>
    <mergeCell ref="D42:E42"/>
    <mergeCell ref="D43:E43"/>
    <mergeCell ref="D44:E44"/>
    <mergeCell ref="D45:E45"/>
    <mergeCell ref="D46:E46"/>
    <mergeCell ref="D59:E59"/>
    <mergeCell ref="D60:E60"/>
    <mergeCell ref="D61:E61"/>
    <mergeCell ref="D62:E62"/>
    <mergeCell ref="D63:E63"/>
    <mergeCell ref="D64:E64"/>
    <mergeCell ref="D53:E53"/>
    <mergeCell ref="D54:E54"/>
    <mergeCell ref="D55:E55"/>
    <mergeCell ref="D56:E56"/>
    <mergeCell ref="D57:E57"/>
    <mergeCell ref="D58:E58"/>
    <mergeCell ref="D71:E71"/>
    <mergeCell ref="D72:E72"/>
    <mergeCell ref="D73:E73"/>
    <mergeCell ref="D74:E74"/>
    <mergeCell ref="D75:E75"/>
    <mergeCell ref="D76:E76"/>
    <mergeCell ref="D65:E65"/>
    <mergeCell ref="D66:E66"/>
    <mergeCell ref="D67:E67"/>
    <mergeCell ref="D68:E68"/>
    <mergeCell ref="D69:E69"/>
    <mergeCell ref="D70:E70"/>
    <mergeCell ref="D83:E83"/>
    <mergeCell ref="D84:E84"/>
    <mergeCell ref="D85:E85"/>
    <mergeCell ref="D86:E86"/>
    <mergeCell ref="D87:E87"/>
    <mergeCell ref="D88:E88"/>
    <mergeCell ref="D77:E77"/>
    <mergeCell ref="D78:E78"/>
    <mergeCell ref="D79:E79"/>
    <mergeCell ref="D80:E80"/>
    <mergeCell ref="D81:E81"/>
    <mergeCell ref="D82:E82"/>
    <mergeCell ref="D95:E95"/>
    <mergeCell ref="D96:E96"/>
    <mergeCell ref="D97:E97"/>
    <mergeCell ref="D98:E98"/>
    <mergeCell ref="D99:E99"/>
    <mergeCell ref="D100:E100"/>
    <mergeCell ref="D89:E89"/>
    <mergeCell ref="D90:E90"/>
    <mergeCell ref="D91:E91"/>
    <mergeCell ref="D92:E92"/>
    <mergeCell ref="D93:E93"/>
    <mergeCell ref="D94:E94"/>
    <mergeCell ref="D107:E107"/>
    <mergeCell ref="D108:E108"/>
    <mergeCell ref="D109:E109"/>
    <mergeCell ref="D110:E110"/>
    <mergeCell ref="D111:E111"/>
    <mergeCell ref="D112:E112"/>
    <mergeCell ref="D101:E101"/>
    <mergeCell ref="D102:E102"/>
    <mergeCell ref="D103:E103"/>
    <mergeCell ref="D104:E104"/>
    <mergeCell ref="D105:E105"/>
    <mergeCell ref="D106:E106"/>
    <mergeCell ref="D119:E119"/>
    <mergeCell ref="D120:E120"/>
    <mergeCell ref="D121:E121"/>
    <mergeCell ref="D122:E122"/>
    <mergeCell ref="D123:E123"/>
    <mergeCell ref="D124:E124"/>
    <mergeCell ref="D113:E113"/>
    <mergeCell ref="D114:E114"/>
    <mergeCell ref="D115:E115"/>
    <mergeCell ref="D116:E116"/>
    <mergeCell ref="D117:E117"/>
    <mergeCell ref="D118:E118"/>
    <mergeCell ref="D131:E131"/>
    <mergeCell ref="D132:E132"/>
    <mergeCell ref="D133:E133"/>
    <mergeCell ref="D134:E134"/>
    <mergeCell ref="D135:E135"/>
    <mergeCell ref="D136:E136"/>
    <mergeCell ref="D125:E125"/>
    <mergeCell ref="D126:E126"/>
    <mergeCell ref="D127:E127"/>
    <mergeCell ref="D128:E128"/>
    <mergeCell ref="D129:E129"/>
    <mergeCell ref="D130:E130"/>
    <mergeCell ref="D143:E143"/>
    <mergeCell ref="D144:E144"/>
    <mergeCell ref="D145:E145"/>
    <mergeCell ref="D146:E146"/>
    <mergeCell ref="D147:E147"/>
    <mergeCell ref="D148:E148"/>
    <mergeCell ref="D137:E137"/>
    <mergeCell ref="D138:E138"/>
    <mergeCell ref="D139:E139"/>
    <mergeCell ref="D140:E140"/>
    <mergeCell ref="D141:E141"/>
    <mergeCell ref="D142:E142"/>
    <mergeCell ref="D155:E155"/>
    <mergeCell ref="D156:E156"/>
    <mergeCell ref="D157:E157"/>
    <mergeCell ref="D158:E158"/>
    <mergeCell ref="D159:E159"/>
    <mergeCell ref="D160:E160"/>
    <mergeCell ref="D149:E149"/>
    <mergeCell ref="D150:E150"/>
    <mergeCell ref="D151:E151"/>
    <mergeCell ref="D152:E152"/>
    <mergeCell ref="D153:E153"/>
    <mergeCell ref="D154:E154"/>
    <mergeCell ref="D167:E167"/>
    <mergeCell ref="D168:E168"/>
    <mergeCell ref="D169:E169"/>
    <mergeCell ref="D170:E170"/>
    <mergeCell ref="D171:E171"/>
    <mergeCell ref="D172:E172"/>
    <mergeCell ref="D161:E161"/>
    <mergeCell ref="D162:E162"/>
    <mergeCell ref="D163:E163"/>
    <mergeCell ref="D164:E164"/>
    <mergeCell ref="D165:E165"/>
    <mergeCell ref="D166:E166"/>
    <mergeCell ref="D179:E179"/>
    <mergeCell ref="D180:E180"/>
    <mergeCell ref="D181:E181"/>
    <mergeCell ref="D182:E182"/>
    <mergeCell ref="D183:E183"/>
    <mergeCell ref="D184:E184"/>
    <mergeCell ref="D173:E173"/>
    <mergeCell ref="D174:E174"/>
    <mergeCell ref="D175:E175"/>
    <mergeCell ref="D176:E176"/>
    <mergeCell ref="D177:E177"/>
    <mergeCell ref="D178:E178"/>
    <mergeCell ref="D191:E191"/>
    <mergeCell ref="D192:E192"/>
    <mergeCell ref="D193:E193"/>
    <mergeCell ref="D194:E194"/>
    <mergeCell ref="D195:E195"/>
    <mergeCell ref="D196:E196"/>
    <mergeCell ref="D185:E185"/>
    <mergeCell ref="D186:E186"/>
    <mergeCell ref="D187:E187"/>
    <mergeCell ref="D188:E188"/>
    <mergeCell ref="D189:E189"/>
    <mergeCell ref="D190:E190"/>
    <mergeCell ref="D203:E203"/>
    <mergeCell ref="D204:E204"/>
    <mergeCell ref="D205:E205"/>
    <mergeCell ref="D206:E206"/>
    <mergeCell ref="D207:E207"/>
    <mergeCell ref="D197:E197"/>
    <mergeCell ref="D198:E198"/>
    <mergeCell ref="D199:E199"/>
    <mergeCell ref="D200:E200"/>
    <mergeCell ref="D201:E201"/>
    <mergeCell ref="D202:E202"/>
  </mergeCells>
  <phoneticPr fontId="0" type="noConversion"/>
  <dataValidations count="1">
    <dataValidation type="list" showInputMessage="1" showErrorMessage="1" promptTitle="Selecione o tipo de reação" sqref="H9:H208" xr:uid="{00000000-0002-0000-0A00-000000000000}">
      <formula1>$P$2:$P$4</formula1>
    </dataValidation>
  </dataValidations>
  <pageMargins left="0.78740157499999996" right="0.78740157499999996" top="0.984251969" bottom="0.984251969" header="0.49212598499999999" footer="0.49212598499999999"/>
  <pageSetup paperSize="9" scale="70" orientation="landscape" horizontalDpi="360" verticalDpi="36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2"/>
  <dimension ref="A1:DI210"/>
  <sheetViews>
    <sheetView zoomScale="75" workbookViewId="0">
      <pane ySplit="5" topLeftCell="A6" activePane="bottomLeft" state="frozen"/>
      <selection pane="bottomLeft" activeCell="D9" sqref="D9:E10"/>
    </sheetView>
  </sheetViews>
  <sheetFormatPr defaultColWidth="9.09765625" defaultRowHeight="13"/>
  <cols>
    <col min="1" max="1" width="11.8984375" style="7" customWidth="1"/>
    <col min="2" max="2" width="9.3984375" style="11" customWidth="1"/>
    <col min="3" max="3" width="10.3984375" style="7" customWidth="1"/>
    <col min="4" max="4" width="35.09765625" style="6" customWidth="1"/>
    <col min="5" max="5" width="21.8984375" style="6" customWidth="1"/>
    <col min="6" max="6" width="17.8984375" style="6" customWidth="1"/>
    <col min="7" max="7" width="35" style="7" customWidth="1"/>
    <col min="8" max="8" width="14.296875" style="7" customWidth="1"/>
    <col min="9" max="9" width="14.8984375" style="67" customWidth="1"/>
    <col min="10" max="11" width="14.296875" style="54" customWidth="1"/>
    <col min="12" max="12" width="11.3984375" style="57" customWidth="1"/>
    <col min="13" max="13" width="12.3984375" style="7" customWidth="1"/>
    <col min="14" max="14" width="43.3984375" style="54" customWidth="1"/>
    <col min="15" max="15" width="9.09765625" style="1"/>
    <col min="16" max="16" width="17.3984375" style="1" bestFit="1" customWidth="1"/>
    <col min="17" max="16384" width="9.09765625" style="1"/>
  </cols>
  <sheetData>
    <row r="1" spans="1:113" ht="18">
      <c r="A1" s="141" t="s">
        <v>164</v>
      </c>
      <c r="B1" s="264"/>
      <c r="C1" s="143"/>
      <c r="D1" s="144"/>
      <c r="E1" s="91"/>
      <c r="F1" s="91"/>
      <c r="G1" s="98"/>
      <c r="H1" s="96"/>
      <c r="I1" s="273"/>
      <c r="J1" s="146" t="s">
        <v>11</v>
      </c>
      <c r="K1" s="146"/>
      <c r="L1" s="119"/>
      <c r="M1" s="145" t="s">
        <v>11</v>
      </c>
      <c r="N1" s="96"/>
      <c r="P1" s="35" t="s">
        <v>39</v>
      </c>
    </row>
    <row r="2" spans="1:113">
      <c r="A2" s="98"/>
      <c r="B2" s="265"/>
      <c r="C2" s="147" t="s">
        <v>0</v>
      </c>
      <c r="D2" s="96" t="str">
        <f>Abertura!B6</f>
        <v>Projeto Realização do Churrasco da Turma</v>
      </c>
      <c r="E2" s="96"/>
      <c r="F2" s="91"/>
      <c r="G2" s="89"/>
      <c r="H2" s="89"/>
      <c r="I2" s="273"/>
      <c r="J2" s="274"/>
      <c r="K2" s="274"/>
      <c r="L2" s="200"/>
      <c r="M2" s="89"/>
      <c r="N2" s="274"/>
      <c r="P2" s="36"/>
    </row>
    <row r="3" spans="1:113">
      <c r="A3" s="98"/>
      <c r="B3" s="265"/>
      <c r="C3" s="147" t="s">
        <v>14</v>
      </c>
      <c r="D3" s="96" t="str">
        <f>Abertura!B7</f>
        <v>Turma MBA GP18</v>
      </c>
      <c r="E3" s="96"/>
      <c r="F3" s="91"/>
      <c r="G3" s="96"/>
      <c r="H3" s="89">
        <f>Abertura!B9</f>
        <v>45277</v>
      </c>
      <c r="I3" s="273"/>
      <c r="J3" s="274"/>
      <c r="K3" s="275"/>
      <c r="L3" s="119"/>
      <c r="M3" s="96"/>
      <c r="N3" s="275"/>
      <c r="P3" s="36" t="s">
        <v>65</v>
      </c>
    </row>
    <row r="4" spans="1:113" ht="14">
      <c r="A4" s="98"/>
      <c r="B4" s="265"/>
      <c r="C4" s="147" t="s">
        <v>15</v>
      </c>
      <c r="D4" s="96" t="str">
        <f>Abertura!B8</f>
        <v>Vicente</v>
      </c>
      <c r="E4" s="96"/>
      <c r="F4" s="331"/>
      <c r="G4" s="81" t="s">
        <v>11</v>
      </c>
      <c r="H4" s="81"/>
      <c r="I4" s="331"/>
      <c r="J4" s="274"/>
      <c r="K4" s="330"/>
      <c r="L4" s="119"/>
      <c r="M4" s="331"/>
      <c r="N4" s="330"/>
      <c r="P4" s="56" t="s">
        <v>66</v>
      </c>
    </row>
    <row r="5" spans="1:113">
      <c r="A5" s="98"/>
      <c r="B5" s="98"/>
      <c r="C5" s="96"/>
      <c r="D5" s="96"/>
      <c r="E5" s="96"/>
      <c r="F5" s="332">
        <f>SUM(F9:F208)</f>
        <v>2750</v>
      </c>
      <c r="G5" s="119"/>
      <c r="H5" s="119"/>
      <c r="I5" s="333">
        <f>SUM(I9:I208)</f>
        <v>0</v>
      </c>
      <c r="J5" s="330"/>
      <c r="K5" s="330"/>
      <c r="L5" s="119"/>
      <c r="M5" s="334">
        <f>SUM(M9:M208)</f>
        <v>0</v>
      </c>
      <c r="N5" s="330"/>
      <c r="P5" s="1" t="s">
        <v>11</v>
      </c>
    </row>
    <row r="6" spans="1:113" s="42" customFormat="1" ht="15" customHeight="1">
      <c r="A6" s="296" t="s">
        <v>162</v>
      </c>
      <c r="B6" s="463" t="s">
        <v>161</v>
      </c>
      <c r="C6" s="464"/>
      <c r="D6" s="464"/>
      <c r="E6" s="464"/>
      <c r="F6" s="465"/>
      <c r="G6" s="297"/>
      <c r="H6" s="297"/>
      <c r="I6" s="326"/>
      <c r="J6" s="327"/>
      <c r="K6" s="327"/>
      <c r="L6" s="328"/>
      <c r="M6" s="329"/>
      <c r="N6" s="327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</row>
    <row r="7" spans="1:113">
      <c r="A7" s="213" t="s">
        <v>1</v>
      </c>
      <c r="B7" s="276" t="s">
        <v>32</v>
      </c>
      <c r="C7" s="215" t="s">
        <v>2</v>
      </c>
      <c r="D7" s="216" t="s">
        <v>18</v>
      </c>
      <c r="E7" s="216"/>
      <c r="F7" s="217" t="s">
        <v>29</v>
      </c>
      <c r="G7" s="215" t="s">
        <v>146</v>
      </c>
      <c r="H7" s="215" t="s">
        <v>61</v>
      </c>
      <c r="I7" s="277" t="s">
        <v>163</v>
      </c>
      <c r="J7" s="215" t="s">
        <v>27</v>
      </c>
      <c r="K7" s="215" t="s">
        <v>27</v>
      </c>
      <c r="L7" s="278" t="s">
        <v>30</v>
      </c>
      <c r="M7" s="218" t="s">
        <v>29</v>
      </c>
      <c r="N7" s="215" t="s">
        <v>19</v>
      </c>
    </row>
    <row r="8" spans="1:113">
      <c r="A8" s="121"/>
      <c r="B8" s="279" t="s">
        <v>33</v>
      </c>
      <c r="C8" s="123"/>
      <c r="D8" s="460" t="s">
        <v>196</v>
      </c>
      <c r="E8" s="462"/>
      <c r="F8" s="220" t="s">
        <v>9</v>
      </c>
      <c r="G8" s="123" t="s">
        <v>11</v>
      </c>
      <c r="H8" s="158"/>
      <c r="I8" s="280" t="s">
        <v>146</v>
      </c>
      <c r="J8" s="158" t="s">
        <v>67</v>
      </c>
      <c r="K8" s="158" t="s">
        <v>146</v>
      </c>
      <c r="L8" s="219" t="s">
        <v>31</v>
      </c>
      <c r="M8" s="221" t="s">
        <v>31</v>
      </c>
      <c r="N8" s="158" t="s">
        <v>11</v>
      </c>
    </row>
    <row r="9" spans="1:113" ht="52.15" customHeight="1">
      <c r="A9" s="126">
        <f>Oportunidades!A9</f>
        <v>1</v>
      </c>
      <c r="B9" s="282">
        <f>Oportunidades!B9</f>
        <v>0</v>
      </c>
      <c r="C9" s="223" t="str">
        <f>Oportunidades!C9</f>
        <v>Organizacional</v>
      </c>
      <c r="D9" s="434" t="str">
        <f>Oportunidades!D9</f>
        <v>Redução do custo da bebida</v>
      </c>
      <c r="E9" s="418"/>
      <c r="F9" s="225">
        <f>Oportunidades!I9</f>
        <v>1400</v>
      </c>
      <c r="G9" s="226">
        <f>'Resposta-Oport'!M11</f>
        <v>0</v>
      </c>
      <c r="H9" s="226"/>
      <c r="I9" s="283">
        <f>'Resposta-Oport'!N11</f>
        <v>0</v>
      </c>
      <c r="J9" s="284"/>
      <c r="K9" s="284"/>
      <c r="L9" s="285"/>
      <c r="M9" s="228">
        <v>0</v>
      </c>
      <c r="N9" s="284"/>
    </row>
    <row r="10" spans="1:113" ht="52.15" customHeight="1">
      <c r="A10" s="126">
        <f>Oportunidades!A10</f>
        <v>2</v>
      </c>
      <c r="B10" s="282">
        <f>Oportunidades!B10</f>
        <v>0</v>
      </c>
      <c r="C10" s="223" t="str">
        <f>Oportunidades!C10</f>
        <v>Organizacional</v>
      </c>
      <c r="D10" s="434" t="str">
        <f>Oportunidades!D10</f>
        <v>Fornecimento do espaço de forma gratuita</v>
      </c>
      <c r="E10" s="418"/>
      <c r="F10" s="225">
        <f>Oportunidades!I10</f>
        <v>1350</v>
      </c>
      <c r="G10" s="226">
        <f>'Resposta-Oport'!M12</f>
        <v>0</v>
      </c>
      <c r="H10" s="226"/>
      <c r="I10" s="283">
        <f>'Resposta-Oport'!N12</f>
        <v>0</v>
      </c>
      <c r="J10" s="284"/>
      <c r="K10" s="284"/>
      <c r="L10" s="285"/>
      <c r="M10" s="228">
        <v>0</v>
      </c>
      <c r="N10" s="284"/>
    </row>
    <row r="11" spans="1:113">
      <c r="A11" s="126">
        <f>Oportunidades!A11</f>
        <v>3</v>
      </c>
      <c r="B11" s="282">
        <f>Oportunidades!B11</f>
        <v>0</v>
      </c>
      <c r="C11" s="223">
        <f>Oportunidades!C11</f>
        <v>0</v>
      </c>
      <c r="D11" s="437">
        <f>Oportunidades!D11</f>
        <v>0</v>
      </c>
      <c r="E11" s="438"/>
      <c r="F11" s="225">
        <f>Oportunidades!I11</f>
        <v>0</v>
      </c>
      <c r="G11" s="226">
        <f>'Resposta-Oport'!M13</f>
        <v>0</v>
      </c>
      <c r="H11" s="226"/>
      <c r="I11" s="283">
        <f>'Resposta-Oport'!N13</f>
        <v>0</v>
      </c>
      <c r="J11" s="284"/>
      <c r="K11" s="284"/>
      <c r="L11" s="285"/>
      <c r="M11" s="228">
        <v>0</v>
      </c>
      <c r="N11" s="284"/>
    </row>
    <row r="12" spans="1:113">
      <c r="A12" s="126">
        <f>Oportunidades!A12</f>
        <v>4</v>
      </c>
      <c r="B12" s="282">
        <f>Oportunidades!B12</f>
        <v>0</v>
      </c>
      <c r="C12" s="223">
        <f>Oportunidades!C12</f>
        <v>0</v>
      </c>
      <c r="D12" s="437">
        <f>Oportunidades!D12</f>
        <v>0</v>
      </c>
      <c r="E12" s="438"/>
      <c r="F12" s="225">
        <f>Oportunidades!I12</f>
        <v>0</v>
      </c>
      <c r="G12" s="226">
        <f>'Resposta-Oport'!M14</f>
        <v>0</v>
      </c>
      <c r="H12" s="226"/>
      <c r="I12" s="283">
        <f>'Resposta-Oport'!N14</f>
        <v>0</v>
      </c>
      <c r="J12" s="284"/>
      <c r="K12" s="284"/>
      <c r="L12" s="285"/>
      <c r="M12" s="228">
        <v>0</v>
      </c>
      <c r="N12" s="284"/>
    </row>
    <row r="13" spans="1:113">
      <c r="A13" s="126">
        <f>Oportunidades!A13</f>
        <v>5</v>
      </c>
      <c r="B13" s="282">
        <f>Oportunidades!B13</f>
        <v>0</v>
      </c>
      <c r="C13" s="223">
        <f>Oportunidades!C13</f>
        <v>0</v>
      </c>
      <c r="D13" s="437">
        <f>Oportunidades!D13</f>
        <v>0</v>
      </c>
      <c r="E13" s="438"/>
      <c r="F13" s="225">
        <f>Oportunidades!I13</f>
        <v>0</v>
      </c>
      <c r="G13" s="226">
        <f>'Resposta-Oport'!M15</f>
        <v>0</v>
      </c>
      <c r="H13" s="226"/>
      <c r="I13" s="283">
        <f>'Resposta-Oport'!N15</f>
        <v>0</v>
      </c>
      <c r="J13" s="284"/>
      <c r="K13" s="284"/>
      <c r="L13" s="285"/>
      <c r="M13" s="228">
        <v>0</v>
      </c>
      <c r="N13" s="284"/>
    </row>
    <row r="14" spans="1:113">
      <c r="A14" s="126">
        <f>Oportunidades!A14</f>
        <v>6</v>
      </c>
      <c r="B14" s="282">
        <f>Oportunidades!B14</f>
        <v>0</v>
      </c>
      <c r="C14" s="223">
        <f>Oportunidades!C14</f>
        <v>0</v>
      </c>
      <c r="D14" s="437">
        <f>Oportunidades!D14</f>
        <v>0</v>
      </c>
      <c r="E14" s="438"/>
      <c r="F14" s="225">
        <f>Oportunidades!I14</f>
        <v>0</v>
      </c>
      <c r="G14" s="226">
        <f>'Resposta-Oport'!M16</f>
        <v>0</v>
      </c>
      <c r="H14" s="226"/>
      <c r="I14" s="283">
        <f>'Resposta-Oport'!N16</f>
        <v>0</v>
      </c>
      <c r="J14" s="284"/>
      <c r="K14" s="284"/>
      <c r="L14" s="285"/>
      <c r="M14" s="228">
        <v>0</v>
      </c>
      <c r="N14" s="284"/>
    </row>
    <row r="15" spans="1:113">
      <c r="A15" s="126">
        <f>Oportunidades!A15</f>
        <v>7</v>
      </c>
      <c r="B15" s="282">
        <f>Oportunidades!B15</f>
        <v>0</v>
      </c>
      <c r="C15" s="223">
        <f>Oportunidades!C15</f>
        <v>0</v>
      </c>
      <c r="D15" s="437">
        <f>Oportunidades!D15</f>
        <v>0</v>
      </c>
      <c r="E15" s="438"/>
      <c r="F15" s="225">
        <f>Oportunidades!I15</f>
        <v>0</v>
      </c>
      <c r="G15" s="226">
        <f>'Resposta-Oport'!M17</f>
        <v>0</v>
      </c>
      <c r="H15" s="226"/>
      <c r="I15" s="283">
        <f>'Resposta-Oport'!N17</f>
        <v>0</v>
      </c>
      <c r="J15" s="284"/>
      <c r="K15" s="284"/>
      <c r="L15" s="285"/>
      <c r="M15" s="228">
        <v>0</v>
      </c>
      <c r="N15" s="284"/>
    </row>
    <row r="16" spans="1:113">
      <c r="A16" s="126">
        <f>Oportunidades!A16</f>
        <v>8</v>
      </c>
      <c r="B16" s="282">
        <f>Oportunidades!B16</f>
        <v>0</v>
      </c>
      <c r="C16" s="223">
        <f>Oportunidades!C16</f>
        <v>0</v>
      </c>
      <c r="D16" s="437">
        <f>Oportunidades!D16</f>
        <v>0</v>
      </c>
      <c r="E16" s="438"/>
      <c r="F16" s="225">
        <f>Oportunidades!I16</f>
        <v>0</v>
      </c>
      <c r="G16" s="226">
        <f>'Resposta-Oport'!M18</f>
        <v>0</v>
      </c>
      <c r="H16" s="226"/>
      <c r="I16" s="283">
        <f>'Resposta-Oport'!N18</f>
        <v>0</v>
      </c>
      <c r="J16" s="284"/>
      <c r="K16" s="284"/>
      <c r="L16" s="285"/>
      <c r="M16" s="228">
        <v>0</v>
      </c>
      <c r="N16" s="284"/>
    </row>
    <row r="17" spans="1:14">
      <c r="A17" s="126">
        <f>Oportunidades!A17</f>
        <v>9</v>
      </c>
      <c r="B17" s="282">
        <f>Oportunidades!B17</f>
        <v>0</v>
      </c>
      <c r="C17" s="223">
        <f>Oportunidades!C17</f>
        <v>0</v>
      </c>
      <c r="D17" s="437">
        <f>Oportunidades!D17</f>
        <v>0</v>
      </c>
      <c r="E17" s="438"/>
      <c r="F17" s="225">
        <f>Oportunidades!I17</f>
        <v>0</v>
      </c>
      <c r="G17" s="226">
        <f>'Resposta-Oport'!M19</f>
        <v>0</v>
      </c>
      <c r="H17" s="226"/>
      <c r="I17" s="283">
        <f>'Resposta-Oport'!N19</f>
        <v>0</v>
      </c>
      <c r="J17" s="284"/>
      <c r="K17" s="284"/>
      <c r="L17" s="285"/>
      <c r="M17" s="228">
        <v>0</v>
      </c>
      <c r="N17" s="284"/>
    </row>
    <row r="18" spans="1:14">
      <c r="A18" s="126">
        <f>Oportunidades!A18</f>
        <v>10</v>
      </c>
      <c r="B18" s="282">
        <f>Oportunidades!B18</f>
        <v>0</v>
      </c>
      <c r="C18" s="223">
        <f>Oportunidades!C18</f>
        <v>0</v>
      </c>
      <c r="D18" s="437">
        <f>Oportunidades!D18</f>
        <v>0</v>
      </c>
      <c r="E18" s="438"/>
      <c r="F18" s="225">
        <f>Oportunidades!I18</f>
        <v>0</v>
      </c>
      <c r="G18" s="226">
        <f>'Resposta-Oport'!M20</f>
        <v>0</v>
      </c>
      <c r="H18" s="226"/>
      <c r="I18" s="283">
        <f>'Resposta-Oport'!N20</f>
        <v>0</v>
      </c>
      <c r="J18" s="284"/>
      <c r="K18" s="284"/>
      <c r="L18" s="285"/>
      <c r="M18" s="228">
        <v>0</v>
      </c>
      <c r="N18" s="284"/>
    </row>
    <row r="19" spans="1:14">
      <c r="A19" s="126">
        <f>Oportunidades!A19</f>
        <v>11</v>
      </c>
      <c r="B19" s="282">
        <f>Oportunidades!B19</f>
        <v>0</v>
      </c>
      <c r="C19" s="223">
        <f>Oportunidades!C19</f>
        <v>0</v>
      </c>
      <c r="D19" s="437">
        <f>Oportunidades!D19</f>
        <v>0</v>
      </c>
      <c r="E19" s="438"/>
      <c r="F19" s="225">
        <f>Oportunidades!I19</f>
        <v>0</v>
      </c>
      <c r="G19" s="226">
        <f>'Resposta-Oport'!M21</f>
        <v>0</v>
      </c>
      <c r="H19" s="226"/>
      <c r="I19" s="283">
        <f>'Resposta-Oport'!N21</f>
        <v>0</v>
      </c>
      <c r="J19" s="284"/>
      <c r="K19" s="284"/>
      <c r="L19" s="285"/>
      <c r="M19" s="228">
        <v>0</v>
      </c>
      <c r="N19" s="284"/>
    </row>
    <row r="20" spans="1:14">
      <c r="A20" s="126">
        <f>Oportunidades!A20</f>
        <v>12</v>
      </c>
      <c r="B20" s="282">
        <f>Oportunidades!B20</f>
        <v>0</v>
      </c>
      <c r="C20" s="223">
        <f>Oportunidades!C20</f>
        <v>0</v>
      </c>
      <c r="D20" s="437">
        <f>Oportunidades!D20</f>
        <v>0</v>
      </c>
      <c r="E20" s="438"/>
      <c r="F20" s="225">
        <f>Oportunidades!I20</f>
        <v>0</v>
      </c>
      <c r="G20" s="226">
        <f>'Resposta-Oport'!M22</f>
        <v>0</v>
      </c>
      <c r="H20" s="226"/>
      <c r="I20" s="283">
        <f>'Resposta-Oport'!N22</f>
        <v>0</v>
      </c>
      <c r="J20" s="284"/>
      <c r="K20" s="284"/>
      <c r="L20" s="285"/>
      <c r="M20" s="228">
        <v>0</v>
      </c>
      <c r="N20" s="284"/>
    </row>
    <row r="21" spans="1:14">
      <c r="A21" s="126">
        <f>Oportunidades!A21</f>
        <v>13</v>
      </c>
      <c r="B21" s="282">
        <f>Oportunidades!B21</f>
        <v>0</v>
      </c>
      <c r="C21" s="223">
        <f>Oportunidades!C21</f>
        <v>0</v>
      </c>
      <c r="D21" s="437">
        <f>Oportunidades!D21</f>
        <v>0</v>
      </c>
      <c r="E21" s="438"/>
      <c r="F21" s="225">
        <f>Oportunidades!I21</f>
        <v>0</v>
      </c>
      <c r="G21" s="226">
        <f>'Resposta-Oport'!M23</f>
        <v>0</v>
      </c>
      <c r="H21" s="226"/>
      <c r="I21" s="283">
        <f>'Resposta-Oport'!N23</f>
        <v>0</v>
      </c>
      <c r="J21" s="284"/>
      <c r="K21" s="284"/>
      <c r="L21" s="285"/>
      <c r="M21" s="228">
        <v>0</v>
      </c>
      <c r="N21" s="284"/>
    </row>
    <row r="22" spans="1:14">
      <c r="A22" s="126">
        <f>Oportunidades!A22</f>
        <v>14</v>
      </c>
      <c r="B22" s="282">
        <f>Oportunidades!B22</f>
        <v>0</v>
      </c>
      <c r="C22" s="223">
        <f>Oportunidades!C22</f>
        <v>0</v>
      </c>
      <c r="D22" s="437">
        <f>Oportunidades!D22</f>
        <v>0</v>
      </c>
      <c r="E22" s="438"/>
      <c r="F22" s="225">
        <f>Oportunidades!I22</f>
        <v>0</v>
      </c>
      <c r="G22" s="226">
        <f>'Resposta-Oport'!M24</f>
        <v>0</v>
      </c>
      <c r="H22" s="226"/>
      <c r="I22" s="283">
        <f>'Resposta-Oport'!N24</f>
        <v>0</v>
      </c>
      <c r="J22" s="284"/>
      <c r="K22" s="284"/>
      <c r="L22" s="285"/>
      <c r="M22" s="228">
        <v>0</v>
      </c>
      <c r="N22" s="284"/>
    </row>
    <row r="23" spans="1:14">
      <c r="A23" s="126">
        <f>Oportunidades!A23</f>
        <v>15</v>
      </c>
      <c r="B23" s="282">
        <f>Oportunidades!B23</f>
        <v>0</v>
      </c>
      <c r="C23" s="223">
        <f>Oportunidades!C23</f>
        <v>0</v>
      </c>
      <c r="D23" s="437">
        <f>Oportunidades!D23</f>
        <v>0</v>
      </c>
      <c r="E23" s="438"/>
      <c r="F23" s="225">
        <f>Oportunidades!I23</f>
        <v>0</v>
      </c>
      <c r="G23" s="226">
        <f>'Resposta-Oport'!M25</f>
        <v>0</v>
      </c>
      <c r="H23" s="226"/>
      <c r="I23" s="283">
        <f>'Resposta-Oport'!N25</f>
        <v>0</v>
      </c>
      <c r="J23" s="284"/>
      <c r="K23" s="284"/>
      <c r="L23" s="285"/>
      <c r="M23" s="228">
        <v>0</v>
      </c>
      <c r="N23" s="284"/>
    </row>
    <row r="24" spans="1:14">
      <c r="A24" s="126">
        <f>Oportunidades!A24</f>
        <v>16</v>
      </c>
      <c r="B24" s="282">
        <f>Oportunidades!B24</f>
        <v>0</v>
      </c>
      <c r="C24" s="223">
        <f>Oportunidades!C24</f>
        <v>0</v>
      </c>
      <c r="D24" s="437">
        <f>Oportunidades!D24</f>
        <v>0</v>
      </c>
      <c r="E24" s="438"/>
      <c r="F24" s="225">
        <f>Oportunidades!I24</f>
        <v>0</v>
      </c>
      <c r="G24" s="226">
        <f>'Resposta-Oport'!M26</f>
        <v>0</v>
      </c>
      <c r="H24" s="226"/>
      <c r="I24" s="283">
        <f>'Resposta-Oport'!N26</f>
        <v>0</v>
      </c>
      <c r="J24" s="284"/>
      <c r="K24" s="284"/>
      <c r="L24" s="285"/>
      <c r="M24" s="228">
        <v>0</v>
      </c>
      <c r="N24" s="284"/>
    </row>
    <row r="25" spans="1:14">
      <c r="A25" s="126">
        <f>Oportunidades!A25</f>
        <v>17</v>
      </c>
      <c r="B25" s="282">
        <f>Oportunidades!B25</f>
        <v>0</v>
      </c>
      <c r="C25" s="223">
        <f>Oportunidades!C25</f>
        <v>0</v>
      </c>
      <c r="D25" s="437">
        <f>Oportunidades!D25</f>
        <v>0</v>
      </c>
      <c r="E25" s="438"/>
      <c r="F25" s="225">
        <f>Oportunidades!I25</f>
        <v>0</v>
      </c>
      <c r="G25" s="226">
        <f>'Resposta-Oport'!M27</f>
        <v>0</v>
      </c>
      <c r="H25" s="226"/>
      <c r="I25" s="283">
        <f>'Resposta-Oport'!N27</f>
        <v>0</v>
      </c>
      <c r="J25" s="284"/>
      <c r="K25" s="284"/>
      <c r="L25" s="285"/>
      <c r="M25" s="228">
        <v>0</v>
      </c>
      <c r="N25" s="284"/>
    </row>
    <row r="26" spans="1:14">
      <c r="A26" s="126">
        <f>Oportunidades!A26</f>
        <v>18</v>
      </c>
      <c r="B26" s="282">
        <f>Oportunidades!B26</f>
        <v>0</v>
      </c>
      <c r="C26" s="223">
        <f>Oportunidades!C26</f>
        <v>0</v>
      </c>
      <c r="D26" s="437">
        <f>Oportunidades!D26</f>
        <v>0</v>
      </c>
      <c r="E26" s="438"/>
      <c r="F26" s="225">
        <f>Oportunidades!I26</f>
        <v>0</v>
      </c>
      <c r="G26" s="226">
        <f>'Resposta-Oport'!M28</f>
        <v>0</v>
      </c>
      <c r="H26" s="226"/>
      <c r="I26" s="283">
        <f>'Resposta-Oport'!N28</f>
        <v>0</v>
      </c>
      <c r="J26" s="284"/>
      <c r="K26" s="284"/>
      <c r="L26" s="285"/>
      <c r="M26" s="228">
        <v>0</v>
      </c>
      <c r="N26" s="284"/>
    </row>
    <row r="27" spans="1:14">
      <c r="A27" s="126">
        <f>Oportunidades!A27</f>
        <v>19</v>
      </c>
      <c r="B27" s="282">
        <f>Oportunidades!B27</f>
        <v>0</v>
      </c>
      <c r="C27" s="223">
        <f>Oportunidades!C27</f>
        <v>0</v>
      </c>
      <c r="D27" s="437">
        <f>Oportunidades!D27</f>
        <v>0</v>
      </c>
      <c r="E27" s="438"/>
      <c r="F27" s="225">
        <f>Oportunidades!I27</f>
        <v>0</v>
      </c>
      <c r="G27" s="226">
        <f>'Resposta-Oport'!M29</f>
        <v>0</v>
      </c>
      <c r="H27" s="226"/>
      <c r="I27" s="283">
        <f>'Resposta-Oport'!N29</f>
        <v>0</v>
      </c>
      <c r="J27" s="284"/>
      <c r="K27" s="284"/>
      <c r="L27" s="285"/>
      <c r="M27" s="228">
        <v>0</v>
      </c>
      <c r="N27" s="284"/>
    </row>
    <row r="28" spans="1:14">
      <c r="A28" s="126">
        <f>Oportunidades!A28</f>
        <v>20</v>
      </c>
      <c r="B28" s="282">
        <f>Oportunidades!B28</f>
        <v>0</v>
      </c>
      <c r="C28" s="223">
        <f>Oportunidades!C28</f>
        <v>0</v>
      </c>
      <c r="D28" s="437">
        <f>Oportunidades!D28</f>
        <v>0</v>
      </c>
      <c r="E28" s="438"/>
      <c r="F28" s="225">
        <f>Oportunidades!I28</f>
        <v>0</v>
      </c>
      <c r="G28" s="226">
        <f>'Resposta-Oport'!M30</f>
        <v>0</v>
      </c>
      <c r="H28" s="226"/>
      <c r="I28" s="283">
        <f>'Resposta-Oport'!N30</f>
        <v>0</v>
      </c>
      <c r="J28" s="284"/>
      <c r="K28" s="284"/>
      <c r="L28" s="285"/>
      <c r="M28" s="228">
        <v>0</v>
      </c>
      <c r="N28" s="284"/>
    </row>
    <row r="29" spans="1:14">
      <c r="A29" s="126">
        <f>Oportunidades!A29</f>
        <v>21</v>
      </c>
      <c r="B29" s="282">
        <f>Oportunidades!B29</f>
        <v>0</v>
      </c>
      <c r="C29" s="223">
        <f>Oportunidades!C29</f>
        <v>0</v>
      </c>
      <c r="D29" s="437">
        <f>Oportunidades!D29</f>
        <v>0</v>
      </c>
      <c r="E29" s="438"/>
      <c r="F29" s="225">
        <f>Oportunidades!I29</f>
        <v>0</v>
      </c>
      <c r="G29" s="226">
        <f>'Resposta-Oport'!M31</f>
        <v>0</v>
      </c>
      <c r="H29" s="226"/>
      <c r="I29" s="283">
        <f>'Resposta-Oport'!N31</f>
        <v>0</v>
      </c>
      <c r="J29" s="284"/>
      <c r="K29" s="284"/>
      <c r="L29" s="285"/>
      <c r="M29" s="228">
        <v>0</v>
      </c>
      <c r="N29" s="284"/>
    </row>
    <row r="30" spans="1:14">
      <c r="A30" s="126">
        <f>Oportunidades!A30</f>
        <v>22</v>
      </c>
      <c r="B30" s="282">
        <f>Oportunidades!B30</f>
        <v>0</v>
      </c>
      <c r="C30" s="223">
        <f>Oportunidades!C30</f>
        <v>0</v>
      </c>
      <c r="D30" s="437">
        <f>Oportunidades!D30</f>
        <v>0</v>
      </c>
      <c r="E30" s="438"/>
      <c r="F30" s="225">
        <f>Oportunidades!I30</f>
        <v>0</v>
      </c>
      <c r="G30" s="226">
        <f>'Resposta-Oport'!M32</f>
        <v>0</v>
      </c>
      <c r="H30" s="226"/>
      <c r="I30" s="283">
        <f>'Resposta-Oport'!N32</f>
        <v>0</v>
      </c>
      <c r="J30" s="284"/>
      <c r="K30" s="284"/>
      <c r="L30" s="285"/>
      <c r="M30" s="228">
        <v>0</v>
      </c>
      <c r="N30" s="284"/>
    </row>
    <row r="31" spans="1:14">
      <c r="A31" s="126">
        <f>Oportunidades!A31</f>
        <v>23</v>
      </c>
      <c r="B31" s="282">
        <f>Oportunidades!B31</f>
        <v>0</v>
      </c>
      <c r="C31" s="223">
        <f>Oportunidades!C31</f>
        <v>0</v>
      </c>
      <c r="D31" s="437">
        <f>Oportunidades!D31</f>
        <v>0</v>
      </c>
      <c r="E31" s="438"/>
      <c r="F31" s="225">
        <f>Oportunidades!I31</f>
        <v>0</v>
      </c>
      <c r="G31" s="226">
        <f>'Resposta-Oport'!M33</f>
        <v>0</v>
      </c>
      <c r="H31" s="226"/>
      <c r="I31" s="283">
        <f>'Resposta-Oport'!N33</f>
        <v>0</v>
      </c>
      <c r="J31" s="284"/>
      <c r="K31" s="284"/>
      <c r="L31" s="285"/>
      <c r="M31" s="228">
        <v>0</v>
      </c>
      <c r="N31" s="284"/>
    </row>
    <row r="32" spans="1:14">
      <c r="A32" s="126">
        <f>Oportunidades!A32</f>
        <v>24</v>
      </c>
      <c r="B32" s="282">
        <f>Oportunidades!B32</f>
        <v>0</v>
      </c>
      <c r="C32" s="223">
        <f>Oportunidades!C32</f>
        <v>0</v>
      </c>
      <c r="D32" s="437">
        <f>Oportunidades!D32</f>
        <v>0</v>
      </c>
      <c r="E32" s="438"/>
      <c r="F32" s="225">
        <f>Oportunidades!I32</f>
        <v>0</v>
      </c>
      <c r="G32" s="226">
        <f>'Resposta-Oport'!M34</f>
        <v>0</v>
      </c>
      <c r="H32" s="226"/>
      <c r="I32" s="283">
        <f>'Resposta-Oport'!N34</f>
        <v>0</v>
      </c>
      <c r="J32" s="284"/>
      <c r="K32" s="284"/>
      <c r="L32" s="285"/>
      <c r="M32" s="228">
        <v>0</v>
      </c>
      <c r="N32" s="284"/>
    </row>
    <row r="33" spans="1:14">
      <c r="A33" s="126">
        <f>Oportunidades!A33</f>
        <v>25</v>
      </c>
      <c r="B33" s="282">
        <f>Oportunidades!B33</f>
        <v>0</v>
      </c>
      <c r="C33" s="223">
        <f>Oportunidades!C33</f>
        <v>0</v>
      </c>
      <c r="D33" s="437">
        <f>Oportunidades!D33</f>
        <v>0</v>
      </c>
      <c r="E33" s="438"/>
      <c r="F33" s="225">
        <f>Oportunidades!I33</f>
        <v>0</v>
      </c>
      <c r="G33" s="226">
        <f>'Resposta-Oport'!M35</f>
        <v>0</v>
      </c>
      <c r="H33" s="226"/>
      <c r="I33" s="283">
        <f>'Resposta-Oport'!N35</f>
        <v>0</v>
      </c>
      <c r="J33" s="284"/>
      <c r="K33" s="284"/>
      <c r="L33" s="285"/>
      <c r="M33" s="228">
        <v>0</v>
      </c>
      <c r="N33" s="284"/>
    </row>
    <row r="34" spans="1:14">
      <c r="A34" s="126">
        <f>Oportunidades!A34</f>
        <v>26</v>
      </c>
      <c r="B34" s="282">
        <f>Oportunidades!B34</f>
        <v>0</v>
      </c>
      <c r="C34" s="223">
        <f>Oportunidades!C34</f>
        <v>0</v>
      </c>
      <c r="D34" s="437">
        <f>Oportunidades!D34</f>
        <v>0</v>
      </c>
      <c r="E34" s="438"/>
      <c r="F34" s="225">
        <f>Oportunidades!I34</f>
        <v>0</v>
      </c>
      <c r="G34" s="226">
        <f>'Resposta-Oport'!M36</f>
        <v>0</v>
      </c>
      <c r="H34" s="226"/>
      <c r="I34" s="283">
        <f>'Resposta-Oport'!N36</f>
        <v>0</v>
      </c>
      <c r="J34" s="284"/>
      <c r="K34" s="284"/>
      <c r="L34" s="285"/>
      <c r="M34" s="228">
        <v>0</v>
      </c>
      <c r="N34" s="284"/>
    </row>
    <row r="35" spans="1:14">
      <c r="A35" s="126">
        <f>Oportunidades!A35</f>
        <v>27</v>
      </c>
      <c r="B35" s="282">
        <f>Oportunidades!B35</f>
        <v>0</v>
      </c>
      <c r="C35" s="223">
        <f>Oportunidades!C35</f>
        <v>0</v>
      </c>
      <c r="D35" s="437">
        <f>Oportunidades!D35</f>
        <v>0</v>
      </c>
      <c r="E35" s="438"/>
      <c r="F35" s="225">
        <f>Oportunidades!I35</f>
        <v>0</v>
      </c>
      <c r="G35" s="226">
        <f>'Resposta-Oport'!M37</f>
        <v>0</v>
      </c>
      <c r="H35" s="226"/>
      <c r="I35" s="283">
        <f>'Resposta-Oport'!N37</f>
        <v>0</v>
      </c>
      <c r="J35" s="284"/>
      <c r="K35" s="284"/>
      <c r="L35" s="285"/>
      <c r="M35" s="228">
        <v>0</v>
      </c>
      <c r="N35" s="284"/>
    </row>
    <row r="36" spans="1:14">
      <c r="A36" s="126">
        <f>Oportunidades!A36</f>
        <v>28</v>
      </c>
      <c r="B36" s="282">
        <f>Oportunidades!B36</f>
        <v>0</v>
      </c>
      <c r="C36" s="223">
        <f>Oportunidades!C36</f>
        <v>0</v>
      </c>
      <c r="D36" s="437">
        <f>Oportunidades!D36</f>
        <v>0</v>
      </c>
      <c r="E36" s="438"/>
      <c r="F36" s="225">
        <f>Oportunidades!I36</f>
        <v>0</v>
      </c>
      <c r="G36" s="226">
        <f>'Resposta-Oport'!M38</f>
        <v>0</v>
      </c>
      <c r="H36" s="226"/>
      <c r="I36" s="283">
        <f>'Resposta-Oport'!N38</f>
        <v>0</v>
      </c>
      <c r="J36" s="284"/>
      <c r="K36" s="284"/>
      <c r="L36" s="285"/>
      <c r="M36" s="228">
        <v>0</v>
      </c>
      <c r="N36" s="284"/>
    </row>
    <row r="37" spans="1:14">
      <c r="A37" s="126">
        <f>Oportunidades!A37</f>
        <v>29</v>
      </c>
      <c r="B37" s="282">
        <f>Oportunidades!B37</f>
        <v>0</v>
      </c>
      <c r="C37" s="223">
        <f>Oportunidades!C37</f>
        <v>0</v>
      </c>
      <c r="D37" s="437">
        <f>Oportunidades!D37</f>
        <v>0</v>
      </c>
      <c r="E37" s="438"/>
      <c r="F37" s="225">
        <f>Oportunidades!I37</f>
        <v>0</v>
      </c>
      <c r="G37" s="226">
        <f>'Resposta-Oport'!M39</f>
        <v>0</v>
      </c>
      <c r="H37" s="226"/>
      <c r="I37" s="283">
        <f>'Resposta-Oport'!N39</f>
        <v>0</v>
      </c>
      <c r="J37" s="284"/>
      <c r="K37" s="284"/>
      <c r="L37" s="285"/>
      <c r="M37" s="228">
        <v>0</v>
      </c>
      <c r="N37" s="284"/>
    </row>
    <row r="38" spans="1:14">
      <c r="A38" s="126">
        <f>Oportunidades!A38</f>
        <v>30</v>
      </c>
      <c r="B38" s="282">
        <f>Oportunidades!B38</f>
        <v>0</v>
      </c>
      <c r="C38" s="223">
        <f>Oportunidades!C38</f>
        <v>0</v>
      </c>
      <c r="D38" s="437">
        <f>Oportunidades!D38</f>
        <v>0</v>
      </c>
      <c r="E38" s="438"/>
      <c r="F38" s="225">
        <f>Oportunidades!I38</f>
        <v>0</v>
      </c>
      <c r="G38" s="226">
        <f>'Resposta-Oport'!M40</f>
        <v>0</v>
      </c>
      <c r="H38" s="226"/>
      <c r="I38" s="283">
        <f>'Resposta-Oport'!N40</f>
        <v>0</v>
      </c>
      <c r="J38" s="284"/>
      <c r="K38" s="284"/>
      <c r="L38" s="285"/>
      <c r="M38" s="228">
        <v>0</v>
      </c>
      <c r="N38" s="284"/>
    </row>
    <row r="39" spans="1:14">
      <c r="A39" s="126">
        <f>Oportunidades!A39</f>
        <v>31</v>
      </c>
      <c r="B39" s="282">
        <f>Oportunidades!B39</f>
        <v>0</v>
      </c>
      <c r="C39" s="223">
        <f>Oportunidades!C39</f>
        <v>0</v>
      </c>
      <c r="D39" s="437">
        <f>Oportunidades!D39</f>
        <v>0</v>
      </c>
      <c r="E39" s="438"/>
      <c r="F39" s="225">
        <f>Oportunidades!I39</f>
        <v>0</v>
      </c>
      <c r="G39" s="226">
        <f>'Resposta-Oport'!M41</f>
        <v>0</v>
      </c>
      <c r="H39" s="226"/>
      <c r="I39" s="283">
        <f>'Resposta-Oport'!N41</f>
        <v>0</v>
      </c>
      <c r="J39" s="284"/>
      <c r="K39" s="284"/>
      <c r="L39" s="285"/>
      <c r="M39" s="228">
        <v>0</v>
      </c>
      <c r="N39" s="284"/>
    </row>
    <row r="40" spans="1:14">
      <c r="A40" s="126">
        <f>Oportunidades!A40</f>
        <v>32</v>
      </c>
      <c r="B40" s="282">
        <f>Oportunidades!B40</f>
        <v>0</v>
      </c>
      <c r="C40" s="223">
        <f>Oportunidades!C40</f>
        <v>0</v>
      </c>
      <c r="D40" s="437">
        <f>Oportunidades!D40</f>
        <v>0</v>
      </c>
      <c r="E40" s="438"/>
      <c r="F40" s="225">
        <f>Oportunidades!I40</f>
        <v>0</v>
      </c>
      <c r="G40" s="226">
        <f>'Resposta-Oport'!M42</f>
        <v>0</v>
      </c>
      <c r="H40" s="226"/>
      <c r="I40" s="283">
        <f>'Resposta-Oport'!N42</f>
        <v>0</v>
      </c>
      <c r="J40" s="284"/>
      <c r="K40" s="284"/>
      <c r="L40" s="285"/>
      <c r="M40" s="228">
        <v>0</v>
      </c>
      <c r="N40" s="284"/>
    </row>
    <row r="41" spans="1:14">
      <c r="A41" s="126">
        <f>Oportunidades!A41</f>
        <v>33</v>
      </c>
      <c r="B41" s="282">
        <f>Oportunidades!B41</f>
        <v>0</v>
      </c>
      <c r="C41" s="223">
        <f>Oportunidades!C41</f>
        <v>0</v>
      </c>
      <c r="D41" s="437">
        <f>Oportunidades!D41</f>
        <v>0</v>
      </c>
      <c r="E41" s="438"/>
      <c r="F41" s="225">
        <f>Oportunidades!I41</f>
        <v>0</v>
      </c>
      <c r="G41" s="226">
        <f>'Resposta-Oport'!M43</f>
        <v>0</v>
      </c>
      <c r="H41" s="226"/>
      <c r="I41" s="283">
        <f>'Resposta-Oport'!N43</f>
        <v>0</v>
      </c>
      <c r="J41" s="284"/>
      <c r="K41" s="284"/>
      <c r="L41" s="285"/>
      <c r="M41" s="228">
        <v>0</v>
      </c>
      <c r="N41" s="284"/>
    </row>
    <row r="42" spans="1:14">
      <c r="A42" s="126">
        <f>Oportunidades!A42</f>
        <v>34</v>
      </c>
      <c r="B42" s="282">
        <f>Oportunidades!B42</f>
        <v>0</v>
      </c>
      <c r="C42" s="223">
        <f>Oportunidades!C42</f>
        <v>0</v>
      </c>
      <c r="D42" s="437">
        <f>Oportunidades!D42</f>
        <v>0</v>
      </c>
      <c r="E42" s="438"/>
      <c r="F42" s="225">
        <f>Oportunidades!I42</f>
        <v>0</v>
      </c>
      <c r="G42" s="226">
        <f>'Resposta-Oport'!M44</f>
        <v>0</v>
      </c>
      <c r="H42" s="226"/>
      <c r="I42" s="283">
        <f>'Resposta-Oport'!N44</f>
        <v>0</v>
      </c>
      <c r="J42" s="284"/>
      <c r="K42" s="284"/>
      <c r="L42" s="285"/>
      <c r="M42" s="228">
        <v>0</v>
      </c>
      <c r="N42" s="284"/>
    </row>
    <row r="43" spans="1:14">
      <c r="A43" s="126">
        <f>Oportunidades!A43</f>
        <v>35</v>
      </c>
      <c r="B43" s="282">
        <f>Oportunidades!B43</f>
        <v>0</v>
      </c>
      <c r="C43" s="223">
        <f>Oportunidades!C43</f>
        <v>0</v>
      </c>
      <c r="D43" s="437">
        <f>Oportunidades!D43</f>
        <v>0</v>
      </c>
      <c r="E43" s="438"/>
      <c r="F43" s="225">
        <f>Oportunidades!I43</f>
        <v>0</v>
      </c>
      <c r="G43" s="226">
        <f>'Resposta-Oport'!M45</f>
        <v>0</v>
      </c>
      <c r="H43" s="226"/>
      <c r="I43" s="283">
        <f>'Resposta-Oport'!N45</f>
        <v>0</v>
      </c>
      <c r="J43" s="284"/>
      <c r="K43" s="284"/>
      <c r="L43" s="285"/>
      <c r="M43" s="228">
        <v>0</v>
      </c>
      <c r="N43" s="284"/>
    </row>
    <row r="44" spans="1:14">
      <c r="A44" s="126">
        <f>Oportunidades!A44</f>
        <v>36</v>
      </c>
      <c r="B44" s="282">
        <f>Oportunidades!B44</f>
        <v>0</v>
      </c>
      <c r="C44" s="223">
        <f>Oportunidades!C44</f>
        <v>0</v>
      </c>
      <c r="D44" s="437">
        <f>Oportunidades!D44</f>
        <v>0</v>
      </c>
      <c r="E44" s="438"/>
      <c r="F44" s="225">
        <f>Oportunidades!I44</f>
        <v>0</v>
      </c>
      <c r="G44" s="226">
        <f>'Resposta-Oport'!M46</f>
        <v>0</v>
      </c>
      <c r="H44" s="226"/>
      <c r="I44" s="283">
        <f>'Resposta-Oport'!N46</f>
        <v>0</v>
      </c>
      <c r="J44" s="284"/>
      <c r="K44" s="284"/>
      <c r="L44" s="285"/>
      <c r="M44" s="228">
        <v>0</v>
      </c>
      <c r="N44" s="284"/>
    </row>
    <row r="45" spans="1:14">
      <c r="A45" s="126">
        <f>Oportunidades!A45</f>
        <v>37</v>
      </c>
      <c r="B45" s="282">
        <f>Oportunidades!B45</f>
        <v>0</v>
      </c>
      <c r="C45" s="223">
        <f>Oportunidades!C45</f>
        <v>0</v>
      </c>
      <c r="D45" s="437">
        <f>Oportunidades!D45</f>
        <v>0</v>
      </c>
      <c r="E45" s="438"/>
      <c r="F45" s="225">
        <f>Oportunidades!I45</f>
        <v>0</v>
      </c>
      <c r="G45" s="226">
        <f>'Resposta-Oport'!M47</f>
        <v>0</v>
      </c>
      <c r="H45" s="226"/>
      <c r="I45" s="283">
        <f>'Resposta-Oport'!N47</f>
        <v>0</v>
      </c>
      <c r="J45" s="284"/>
      <c r="K45" s="284"/>
      <c r="L45" s="285"/>
      <c r="M45" s="228">
        <v>0</v>
      </c>
      <c r="N45" s="284"/>
    </row>
    <row r="46" spans="1:14">
      <c r="A46" s="126">
        <f>Oportunidades!A46</f>
        <v>38</v>
      </c>
      <c r="B46" s="282">
        <f>Oportunidades!B46</f>
        <v>0</v>
      </c>
      <c r="C46" s="223">
        <f>Oportunidades!C46</f>
        <v>0</v>
      </c>
      <c r="D46" s="437">
        <f>Oportunidades!D46</f>
        <v>0</v>
      </c>
      <c r="E46" s="438"/>
      <c r="F46" s="225">
        <f>Oportunidades!I46</f>
        <v>0</v>
      </c>
      <c r="G46" s="226">
        <f>'Resposta-Oport'!M48</f>
        <v>0</v>
      </c>
      <c r="H46" s="226"/>
      <c r="I46" s="283">
        <f>'Resposta-Oport'!N48</f>
        <v>0</v>
      </c>
      <c r="J46" s="284"/>
      <c r="K46" s="284"/>
      <c r="L46" s="285"/>
      <c r="M46" s="228">
        <v>0</v>
      </c>
      <c r="N46" s="284"/>
    </row>
    <row r="47" spans="1:14">
      <c r="A47" s="126">
        <f>Oportunidades!A47</f>
        <v>39</v>
      </c>
      <c r="B47" s="282">
        <f>Oportunidades!B47</f>
        <v>0</v>
      </c>
      <c r="C47" s="223">
        <f>Oportunidades!C47</f>
        <v>0</v>
      </c>
      <c r="D47" s="437">
        <f>Oportunidades!D47</f>
        <v>0</v>
      </c>
      <c r="E47" s="438"/>
      <c r="F47" s="225">
        <f>Oportunidades!I47</f>
        <v>0</v>
      </c>
      <c r="G47" s="226">
        <f>'Resposta-Oport'!M49</f>
        <v>0</v>
      </c>
      <c r="H47" s="226"/>
      <c r="I47" s="283">
        <f>'Resposta-Oport'!N49</f>
        <v>0</v>
      </c>
      <c r="J47" s="284"/>
      <c r="K47" s="284"/>
      <c r="L47" s="285"/>
      <c r="M47" s="228">
        <v>0</v>
      </c>
      <c r="N47" s="284"/>
    </row>
    <row r="48" spans="1:14">
      <c r="A48" s="126">
        <f>Oportunidades!A48</f>
        <v>40</v>
      </c>
      <c r="B48" s="282">
        <f>Oportunidades!B48</f>
        <v>0</v>
      </c>
      <c r="C48" s="223">
        <f>Oportunidades!C48</f>
        <v>0</v>
      </c>
      <c r="D48" s="437">
        <f>Oportunidades!D48</f>
        <v>0</v>
      </c>
      <c r="E48" s="438"/>
      <c r="F48" s="225">
        <f>Oportunidades!I48</f>
        <v>0</v>
      </c>
      <c r="G48" s="226">
        <f>'Resposta-Oport'!M50</f>
        <v>0</v>
      </c>
      <c r="H48" s="226"/>
      <c r="I48" s="283">
        <f>'Resposta-Oport'!N50</f>
        <v>0</v>
      </c>
      <c r="J48" s="284"/>
      <c r="K48" s="284"/>
      <c r="L48" s="285"/>
      <c r="M48" s="228">
        <v>0</v>
      </c>
      <c r="N48" s="284"/>
    </row>
    <row r="49" spans="1:14">
      <c r="A49" s="126">
        <f>Oportunidades!A49</f>
        <v>41</v>
      </c>
      <c r="B49" s="282">
        <f>Oportunidades!B49</f>
        <v>0</v>
      </c>
      <c r="C49" s="223">
        <f>Oportunidades!C49</f>
        <v>0</v>
      </c>
      <c r="D49" s="437">
        <f>Oportunidades!D49</f>
        <v>0</v>
      </c>
      <c r="E49" s="438"/>
      <c r="F49" s="225">
        <f>Oportunidades!I49</f>
        <v>0</v>
      </c>
      <c r="G49" s="226">
        <f>'Resposta-Oport'!M51</f>
        <v>0</v>
      </c>
      <c r="H49" s="226"/>
      <c r="I49" s="283">
        <f>'Resposta-Oport'!N51</f>
        <v>0</v>
      </c>
      <c r="J49" s="284"/>
      <c r="K49" s="284"/>
      <c r="L49" s="285"/>
      <c r="M49" s="228">
        <v>0</v>
      </c>
      <c r="N49" s="284"/>
    </row>
    <row r="50" spans="1:14">
      <c r="A50" s="126">
        <f>Oportunidades!A50</f>
        <v>42</v>
      </c>
      <c r="B50" s="282">
        <f>Oportunidades!B50</f>
        <v>0</v>
      </c>
      <c r="C50" s="223">
        <f>Oportunidades!C50</f>
        <v>0</v>
      </c>
      <c r="D50" s="437">
        <f>Oportunidades!D50</f>
        <v>0</v>
      </c>
      <c r="E50" s="438"/>
      <c r="F50" s="225">
        <f>Oportunidades!I50</f>
        <v>0</v>
      </c>
      <c r="G50" s="226">
        <f>'Resposta-Oport'!M52</f>
        <v>0</v>
      </c>
      <c r="H50" s="226"/>
      <c r="I50" s="283">
        <f>'Resposta-Oport'!N52</f>
        <v>0</v>
      </c>
      <c r="J50" s="284"/>
      <c r="K50" s="284"/>
      <c r="L50" s="285"/>
      <c r="M50" s="228">
        <v>0</v>
      </c>
      <c r="N50" s="284"/>
    </row>
    <row r="51" spans="1:14">
      <c r="A51" s="126">
        <f>Oportunidades!A51</f>
        <v>43</v>
      </c>
      <c r="B51" s="282">
        <f>Oportunidades!B51</f>
        <v>0</v>
      </c>
      <c r="C51" s="223">
        <f>Oportunidades!C51</f>
        <v>0</v>
      </c>
      <c r="D51" s="437">
        <f>Oportunidades!D51</f>
        <v>0</v>
      </c>
      <c r="E51" s="438"/>
      <c r="F51" s="225">
        <f>Oportunidades!I51</f>
        <v>0</v>
      </c>
      <c r="G51" s="226">
        <f>'Resposta-Oport'!M53</f>
        <v>0</v>
      </c>
      <c r="H51" s="226"/>
      <c r="I51" s="283">
        <f>'Resposta-Oport'!N53</f>
        <v>0</v>
      </c>
      <c r="J51" s="284"/>
      <c r="K51" s="284"/>
      <c r="L51" s="285"/>
      <c r="M51" s="228">
        <v>0</v>
      </c>
      <c r="N51" s="284"/>
    </row>
    <row r="52" spans="1:14">
      <c r="A52" s="126">
        <f>Oportunidades!A52</f>
        <v>44</v>
      </c>
      <c r="B52" s="282">
        <f>Oportunidades!B52</f>
        <v>0</v>
      </c>
      <c r="C52" s="223">
        <f>Oportunidades!C52</f>
        <v>0</v>
      </c>
      <c r="D52" s="437">
        <f>Oportunidades!D52</f>
        <v>0</v>
      </c>
      <c r="E52" s="438"/>
      <c r="F52" s="225">
        <f>Oportunidades!I52</f>
        <v>0</v>
      </c>
      <c r="G52" s="226">
        <f>'Resposta-Oport'!M54</f>
        <v>0</v>
      </c>
      <c r="H52" s="226"/>
      <c r="I52" s="283">
        <f>'Resposta-Oport'!N54</f>
        <v>0</v>
      </c>
      <c r="J52" s="284"/>
      <c r="K52" s="284"/>
      <c r="L52" s="285"/>
      <c r="M52" s="228">
        <v>0</v>
      </c>
      <c r="N52" s="284"/>
    </row>
    <row r="53" spans="1:14">
      <c r="A53" s="126">
        <f>Oportunidades!A53</f>
        <v>45</v>
      </c>
      <c r="B53" s="282">
        <f>Oportunidades!B53</f>
        <v>0</v>
      </c>
      <c r="C53" s="223">
        <f>Oportunidades!C53</f>
        <v>0</v>
      </c>
      <c r="D53" s="437">
        <f>Oportunidades!D53</f>
        <v>0</v>
      </c>
      <c r="E53" s="438"/>
      <c r="F53" s="225">
        <f>Oportunidades!I53</f>
        <v>0</v>
      </c>
      <c r="G53" s="226">
        <f>'Resposta-Oport'!M55</f>
        <v>0</v>
      </c>
      <c r="H53" s="226"/>
      <c r="I53" s="283">
        <f>'Resposta-Oport'!N55</f>
        <v>0</v>
      </c>
      <c r="J53" s="284"/>
      <c r="K53" s="284"/>
      <c r="L53" s="285"/>
      <c r="M53" s="228">
        <v>0</v>
      </c>
      <c r="N53" s="284"/>
    </row>
    <row r="54" spans="1:14">
      <c r="A54" s="126">
        <f>Oportunidades!A54</f>
        <v>46</v>
      </c>
      <c r="B54" s="282">
        <f>Oportunidades!B54</f>
        <v>0</v>
      </c>
      <c r="C54" s="223">
        <f>Oportunidades!C54</f>
        <v>0</v>
      </c>
      <c r="D54" s="437">
        <f>Oportunidades!D54</f>
        <v>0</v>
      </c>
      <c r="E54" s="438"/>
      <c r="F54" s="225">
        <f>Oportunidades!I54</f>
        <v>0</v>
      </c>
      <c r="G54" s="226">
        <f>'Resposta-Oport'!M56</f>
        <v>0</v>
      </c>
      <c r="H54" s="226"/>
      <c r="I54" s="283">
        <f>'Resposta-Oport'!N56</f>
        <v>0</v>
      </c>
      <c r="J54" s="284"/>
      <c r="K54" s="284"/>
      <c r="L54" s="285"/>
      <c r="M54" s="228">
        <v>0</v>
      </c>
      <c r="N54" s="284"/>
    </row>
    <row r="55" spans="1:14">
      <c r="A55" s="126">
        <f>Oportunidades!A55</f>
        <v>47</v>
      </c>
      <c r="B55" s="282">
        <f>Oportunidades!B55</f>
        <v>0</v>
      </c>
      <c r="C55" s="223">
        <f>Oportunidades!C55</f>
        <v>0</v>
      </c>
      <c r="D55" s="437">
        <f>Oportunidades!D55</f>
        <v>0</v>
      </c>
      <c r="E55" s="438"/>
      <c r="F55" s="225">
        <f>Oportunidades!I55</f>
        <v>0</v>
      </c>
      <c r="G55" s="226">
        <f>'Resposta-Oport'!M57</f>
        <v>0</v>
      </c>
      <c r="H55" s="226"/>
      <c r="I55" s="283">
        <f>'Resposta-Oport'!N57</f>
        <v>0</v>
      </c>
      <c r="J55" s="284"/>
      <c r="K55" s="284"/>
      <c r="L55" s="285"/>
      <c r="M55" s="228">
        <v>0</v>
      </c>
      <c r="N55" s="284"/>
    </row>
    <row r="56" spans="1:14">
      <c r="A56" s="126">
        <f>Oportunidades!A56</f>
        <v>48</v>
      </c>
      <c r="B56" s="282">
        <f>Oportunidades!B56</f>
        <v>0</v>
      </c>
      <c r="C56" s="223">
        <f>Oportunidades!C56</f>
        <v>0</v>
      </c>
      <c r="D56" s="437">
        <f>Oportunidades!D56</f>
        <v>0</v>
      </c>
      <c r="E56" s="438"/>
      <c r="F56" s="225">
        <f>Oportunidades!I56</f>
        <v>0</v>
      </c>
      <c r="G56" s="226">
        <f>'Resposta-Oport'!M58</f>
        <v>0</v>
      </c>
      <c r="H56" s="226"/>
      <c r="I56" s="283">
        <f>'Resposta-Oport'!N58</f>
        <v>0</v>
      </c>
      <c r="J56" s="284"/>
      <c r="K56" s="284"/>
      <c r="L56" s="285"/>
      <c r="M56" s="228">
        <v>0</v>
      </c>
      <c r="N56" s="284"/>
    </row>
    <row r="57" spans="1:14">
      <c r="A57" s="126">
        <f>Oportunidades!A57</f>
        <v>49</v>
      </c>
      <c r="B57" s="282">
        <f>Oportunidades!B57</f>
        <v>0</v>
      </c>
      <c r="C57" s="223">
        <f>Oportunidades!C57</f>
        <v>0</v>
      </c>
      <c r="D57" s="437">
        <f>Oportunidades!D57</f>
        <v>0</v>
      </c>
      <c r="E57" s="438"/>
      <c r="F57" s="225">
        <f>Oportunidades!I57</f>
        <v>0</v>
      </c>
      <c r="G57" s="226">
        <f>'Resposta-Oport'!M59</f>
        <v>0</v>
      </c>
      <c r="H57" s="226"/>
      <c r="I57" s="283">
        <f>'Resposta-Oport'!N59</f>
        <v>0</v>
      </c>
      <c r="J57" s="284"/>
      <c r="K57" s="284"/>
      <c r="L57" s="285"/>
      <c r="M57" s="228">
        <v>0</v>
      </c>
      <c r="N57" s="284"/>
    </row>
    <row r="58" spans="1:14">
      <c r="A58" s="126">
        <f>Oportunidades!A58</f>
        <v>50</v>
      </c>
      <c r="B58" s="282">
        <f>Oportunidades!B58</f>
        <v>0</v>
      </c>
      <c r="C58" s="223">
        <f>Oportunidades!C58</f>
        <v>0</v>
      </c>
      <c r="D58" s="437">
        <f>Oportunidades!D58</f>
        <v>0</v>
      </c>
      <c r="E58" s="438"/>
      <c r="F58" s="225">
        <f>Oportunidades!I58</f>
        <v>0</v>
      </c>
      <c r="G58" s="226">
        <f>'Resposta-Oport'!M60</f>
        <v>0</v>
      </c>
      <c r="H58" s="226"/>
      <c r="I58" s="283">
        <f>'Resposta-Oport'!N60</f>
        <v>0</v>
      </c>
      <c r="J58" s="284"/>
      <c r="K58" s="284"/>
      <c r="L58" s="285"/>
      <c r="M58" s="228">
        <v>0</v>
      </c>
      <c r="N58" s="284"/>
    </row>
    <row r="59" spans="1:14">
      <c r="A59" s="126">
        <f>Oportunidades!A59</f>
        <v>51</v>
      </c>
      <c r="B59" s="282">
        <f>Oportunidades!B59</f>
        <v>0</v>
      </c>
      <c r="C59" s="223">
        <f>Oportunidades!C59</f>
        <v>0</v>
      </c>
      <c r="D59" s="437">
        <f>Oportunidades!D59</f>
        <v>0</v>
      </c>
      <c r="E59" s="438"/>
      <c r="F59" s="225">
        <f>Oportunidades!I59</f>
        <v>0</v>
      </c>
      <c r="G59" s="226">
        <f>'Resposta-Oport'!M61</f>
        <v>0</v>
      </c>
      <c r="H59" s="226"/>
      <c r="I59" s="283">
        <f>'Resposta-Oport'!N61</f>
        <v>0</v>
      </c>
      <c r="J59" s="284"/>
      <c r="K59" s="284"/>
      <c r="L59" s="285"/>
      <c r="M59" s="228">
        <v>0</v>
      </c>
      <c r="N59" s="284"/>
    </row>
    <row r="60" spans="1:14">
      <c r="A60" s="126">
        <f>Oportunidades!A60</f>
        <v>52</v>
      </c>
      <c r="B60" s="282">
        <f>Oportunidades!B60</f>
        <v>0</v>
      </c>
      <c r="C60" s="223">
        <f>Oportunidades!C60</f>
        <v>0</v>
      </c>
      <c r="D60" s="437">
        <f>Oportunidades!D60</f>
        <v>0</v>
      </c>
      <c r="E60" s="438"/>
      <c r="F60" s="225">
        <f>Oportunidades!I60</f>
        <v>0</v>
      </c>
      <c r="G60" s="226">
        <f>'Resposta-Oport'!M62</f>
        <v>0</v>
      </c>
      <c r="H60" s="226"/>
      <c r="I60" s="283">
        <f>'Resposta-Oport'!N62</f>
        <v>0</v>
      </c>
      <c r="J60" s="284"/>
      <c r="K60" s="284"/>
      <c r="L60" s="285"/>
      <c r="M60" s="228">
        <v>0</v>
      </c>
      <c r="N60" s="284"/>
    </row>
    <row r="61" spans="1:14">
      <c r="A61" s="126">
        <f>Oportunidades!A61</f>
        <v>53</v>
      </c>
      <c r="B61" s="282">
        <f>Oportunidades!B61</f>
        <v>0</v>
      </c>
      <c r="C61" s="223">
        <f>Oportunidades!C61</f>
        <v>0</v>
      </c>
      <c r="D61" s="437">
        <f>Oportunidades!D61</f>
        <v>0</v>
      </c>
      <c r="E61" s="438"/>
      <c r="F61" s="225">
        <f>Oportunidades!I61</f>
        <v>0</v>
      </c>
      <c r="G61" s="226">
        <f>'Resposta-Oport'!M63</f>
        <v>0</v>
      </c>
      <c r="H61" s="226"/>
      <c r="I61" s="283">
        <f>'Resposta-Oport'!N63</f>
        <v>0</v>
      </c>
      <c r="J61" s="284"/>
      <c r="K61" s="284"/>
      <c r="L61" s="285"/>
      <c r="M61" s="228">
        <v>0</v>
      </c>
      <c r="N61" s="284"/>
    </row>
    <row r="62" spans="1:14">
      <c r="A62" s="126">
        <f>Oportunidades!A62</f>
        <v>54</v>
      </c>
      <c r="B62" s="282">
        <f>Oportunidades!B62</f>
        <v>0</v>
      </c>
      <c r="C62" s="223">
        <f>Oportunidades!C62</f>
        <v>0</v>
      </c>
      <c r="D62" s="437">
        <f>Oportunidades!D62</f>
        <v>0</v>
      </c>
      <c r="E62" s="438"/>
      <c r="F62" s="225">
        <f>Oportunidades!I62</f>
        <v>0</v>
      </c>
      <c r="G62" s="226">
        <f>'Resposta-Oport'!M64</f>
        <v>0</v>
      </c>
      <c r="H62" s="226"/>
      <c r="I62" s="283">
        <f>'Resposta-Oport'!N64</f>
        <v>0</v>
      </c>
      <c r="J62" s="284"/>
      <c r="K62" s="284"/>
      <c r="L62" s="285"/>
      <c r="M62" s="228">
        <v>0</v>
      </c>
      <c r="N62" s="284"/>
    </row>
    <row r="63" spans="1:14">
      <c r="A63" s="126">
        <f>Oportunidades!A63</f>
        <v>55</v>
      </c>
      <c r="B63" s="282">
        <f>Oportunidades!B63</f>
        <v>0</v>
      </c>
      <c r="C63" s="223">
        <f>Oportunidades!C63</f>
        <v>0</v>
      </c>
      <c r="D63" s="437">
        <f>Oportunidades!D63</f>
        <v>0</v>
      </c>
      <c r="E63" s="438"/>
      <c r="F63" s="225">
        <f>Oportunidades!I63</f>
        <v>0</v>
      </c>
      <c r="G63" s="226">
        <f>'Resposta-Oport'!M65</f>
        <v>0</v>
      </c>
      <c r="H63" s="226"/>
      <c r="I63" s="283">
        <f>'Resposta-Oport'!N65</f>
        <v>0</v>
      </c>
      <c r="J63" s="284"/>
      <c r="K63" s="284"/>
      <c r="L63" s="285"/>
      <c r="M63" s="228">
        <v>0</v>
      </c>
      <c r="N63" s="284"/>
    </row>
    <row r="64" spans="1:14">
      <c r="A64" s="126">
        <f>Oportunidades!A64</f>
        <v>56</v>
      </c>
      <c r="B64" s="282">
        <f>Oportunidades!B64</f>
        <v>0</v>
      </c>
      <c r="C64" s="223">
        <f>Oportunidades!C64</f>
        <v>0</v>
      </c>
      <c r="D64" s="437">
        <f>Oportunidades!D64</f>
        <v>0</v>
      </c>
      <c r="E64" s="438"/>
      <c r="F64" s="225">
        <f>Oportunidades!I64</f>
        <v>0</v>
      </c>
      <c r="G64" s="226">
        <f>'Resposta-Oport'!M66</f>
        <v>0</v>
      </c>
      <c r="H64" s="226"/>
      <c r="I64" s="283">
        <f>'Resposta-Oport'!N66</f>
        <v>0</v>
      </c>
      <c r="J64" s="284"/>
      <c r="K64" s="284"/>
      <c r="L64" s="285"/>
      <c r="M64" s="228">
        <v>0</v>
      </c>
      <c r="N64" s="284"/>
    </row>
    <row r="65" spans="1:14">
      <c r="A65" s="126">
        <f>Oportunidades!A65</f>
        <v>57</v>
      </c>
      <c r="B65" s="282">
        <f>Oportunidades!B65</f>
        <v>0</v>
      </c>
      <c r="C65" s="223">
        <f>Oportunidades!C65</f>
        <v>0</v>
      </c>
      <c r="D65" s="437">
        <f>Oportunidades!D65</f>
        <v>0</v>
      </c>
      <c r="E65" s="438"/>
      <c r="F65" s="225">
        <f>Oportunidades!I65</f>
        <v>0</v>
      </c>
      <c r="G65" s="226">
        <f>'Resposta-Oport'!M67</f>
        <v>0</v>
      </c>
      <c r="H65" s="226"/>
      <c r="I65" s="283">
        <f>'Resposta-Oport'!N67</f>
        <v>0</v>
      </c>
      <c r="J65" s="284"/>
      <c r="K65" s="284"/>
      <c r="L65" s="285"/>
      <c r="M65" s="228">
        <v>0</v>
      </c>
      <c r="N65" s="284"/>
    </row>
    <row r="66" spans="1:14">
      <c r="A66" s="126">
        <f>Oportunidades!A66</f>
        <v>58</v>
      </c>
      <c r="B66" s="282">
        <f>Oportunidades!B66</f>
        <v>0</v>
      </c>
      <c r="C66" s="223">
        <f>Oportunidades!C66</f>
        <v>0</v>
      </c>
      <c r="D66" s="437">
        <f>Oportunidades!D66</f>
        <v>0</v>
      </c>
      <c r="E66" s="438"/>
      <c r="F66" s="225">
        <f>Oportunidades!I66</f>
        <v>0</v>
      </c>
      <c r="G66" s="226">
        <f>'Resposta-Oport'!M68</f>
        <v>0</v>
      </c>
      <c r="H66" s="226"/>
      <c r="I66" s="283">
        <f>'Resposta-Oport'!N68</f>
        <v>0</v>
      </c>
      <c r="J66" s="284"/>
      <c r="K66" s="284"/>
      <c r="L66" s="285"/>
      <c r="M66" s="228">
        <v>0</v>
      </c>
      <c r="N66" s="284"/>
    </row>
    <row r="67" spans="1:14">
      <c r="A67" s="126">
        <f>Oportunidades!A67</f>
        <v>59</v>
      </c>
      <c r="B67" s="282">
        <f>Oportunidades!B67</f>
        <v>0</v>
      </c>
      <c r="C67" s="223">
        <f>Oportunidades!C67</f>
        <v>0</v>
      </c>
      <c r="D67" s="437">
        <f>Oportunidades!D67</f>
        <v>0</v>
      </c>
      <c r="E67" s="438"/>
      <c r="F67" s="225">
        <f>Oportunidades!I67</f>
        <v>0</v>
      </c>
      <c r="G67" s="226">
        <f>'Resposta-Oport'!M69</f>
        <v>0</v>
      </c>
      <c r="H67" s="226"/>
      <c r="I67" s="283">
        <f>'Resposta-Oport'!N69</f>
        <v>0</v>
      </c>
      <c r="J67" s="284"/>
      <c r="K67" s="284"/>
      <c r="L67" s="285"/>
      <c r="M67" s="228">
        <v>0</v>
      </c>
      <c r="N67" s="284"/>
    </row>
    <row r="68" spans="1:14">
      <c r="A68" s="126">
        <f>Oportunidades!A68</f>
        <v>60</v>
      </c>
      <c r="B68" s="282">
        <f>Oportunidades!B68</f>
        <v>0</v>
      </c>
      <c r="C68" s="223">
        <f>Oportunidades!C68</f>
        <v>0</v>
      </c>
      <c r="D68" s="437">
        <f>Oportunidades!D68</f>
        <v>0</v>
      </c>
      <c r="E68" s="438"/>
      <c r="F68" s="225">
        <f>Oportunidades!I68</f>
        <v>0</v>
      </c>
      <c r="G68" s="226">
        <f>'Resposta-Oport'!M70</f>
        <v>0</v>
      </c>
      <c r="H68" s="226"/>
      <c r="I68" s="283">
        <f>'Resposta-Oport'!N70</f>
        <v>0</v>
      </c>
      <c r="J68" s="284"/>
      <c r="K68" s="284"/>
      <c r="L68" s="285"/>
      <c r="M68" s="228">
        <v>0</v>
      </c>
      <c r="N68" s="284"/>
    </row>
    <row r="69" spans="1:14">
      <c r="A69" s="126">
        <f>Oportunidades!A69</f>
        <v>61</v>
      </c>
      <c r="B69" s="282">
        <f>Oportunidades!B69</f>
        <v>0</v>
      </c>
      <c r="C69" s="223">
        <f>Oportunidades!C69</f>
        <v>0</v>
      </c>
      <c r="D69" s="437">
        <f>Oportunidades!D69</f>
        <v>0</v>
      </c>
      <c r="E69" s="438"/>
      <c r="F69" s="225">
        <f>Oportunidades!I69</f>
        <v>0</v>
      </c>
      <c r="G69" s="226">
        <f>'Resposta-Oport'!M71</f>
        <v>0</v>
      </c>
      <c r="H69" s="226"/>
      <c r="I69" s="283">
        <f>'Resposta-Oport'!N71</f>
        <v>0</v>
      </c>
      <c r="J69" s="284"/>
      <c r="K69" s="284"/>
      <c r="L69" s="285"/>
      <c r="M69" s="228">
        <v>0</v>
      </c>
      <c r="N69" s="284"/>
    </row>
    <row r="70" spans="1:14">
      <c r="A70" s="126">
        <f>Oportunidades!A70</f>
        <v>62</v>
      </c>
      <c r="B70" s="282">
        <f>Oportunidades!B70</f>
        <v>0</v>
      </c>
      <c r="C70" s="223">
        <f>Oportunidades!C70</f>
        <v>0</v>
      </c>
      <c r="D70" s="437">
        <f>Oportunidades!D70</f>
        <v>0</v>
      </c>
      <c r="E70" s="438"/>
      <c r="F70" s="225">
        <f>Oportunidades!I70</f>
        <v>0</v>
      </c>
      <c r="G70" s="226">
        <f>'Resposta-Oport'!M72</f>
        <v>0</v>
      </c>
      <c r="H70" s="226"/>
      <c r="I70" s="283">
        <f>'Resposta-Oport'!N72</f>
        <v>0</v>
      </c>
      <c r="J70" s="284"/>
      <c r="K70" s="284"/>
      <c r="L70" s="285"/>
      <c r="M70" s="228">
        <v>0</v>
      </c>
      <c r="N70" s="284"/>
    </row>
    <row r="71" spans="1:14">
      <c r="A71" s="126">
        <f>Oportunidades!A71</f>
        <v>63</v>
      </c>
      <c r="B71" s="282">
        <f>Oportunidades!B71</f>
        <v>0</v>
      </c>
      <c r="C71" s="223">
        <f>Oportunidades!C71</f>
        <v>0</v>
      </c>
      <c r="D71" s="437">
        <f>Oportunidades!D71</f>
        <v>0</v>
      </c>
      <c r="E71" s="438"/>
      <c r="F71" s="225">
        <f>Oportunidades!I71</f>
        <v>0</v>
      </c>
      <c r="G71" s="226">
        <f>'Resposta-Oport'!M73</f>
        <v>0</v>
      </c>
      <c r="H71" s="226"/>
      <c r="I71" s="283">
        <f>'Resposta-Oport'!N73</f>
        <v>0</v>
      </c>
      <c r="J71" s="284"/>
      <c r="K71" s="284"/>
      <c r="L71" s="285"/>
      <c r="M71" s="228">
        <v>0</v>
      </c>
      <c r="N71" s="284"/>
    </row>
    <row r="72" spans="1:14">
      <c r="A72" s="126">
        <f>Oportunidades!A72</f>
        <v>64</v>
      </c>
      <c r="B72" s="282">
        <f>Oportunidades!B72</f>
        <v>0</v>
      </c>
      <c r="C72" s="223">
        <f>Oportunidades!C72</f>
        <v>0</v>
      </c>
      <c r="D72" s="437">
        <f>Oportunidades!D72</f>
        <v>0</v>
      </c>
      <c r="E72" s="438"/>
      <c r="F72" s="225">
        <f>Oportunidades!I72</f>
        <v>0</v>
      </c>
      <c r="G72" s="226">
        <f>'Resposta-Oport'!M74</f>
        <v>0</v>
      </c>
      <c r="H72" s="226"/>
      <c r="I72" s="283">
        <f>'Resposta-Oport'!N74</f>
        <v>0</v>
      </c>
      <c r="J72" s="284"/>
      <c r="K72" s="284"/>
      <c r="L72" s="285"/>
      <c r="M72" s="228">
        <v>0</v>
      </c>
      <c r="N72" s="284"/>
    </row>
    <row r="73" spans="1:14">
      <c r="A73" s="126">
        <f>Oportunidades!A73</f>
        <v>65</v>
      </c>
      <c r="B73" s="282">
        <f>Oportunidades!B73</f>
        <v>0</v>
      </c>
      <c r="C73" s="223">
        <f>Oportunidades!C73</f>
        <v>0</v>
      </c>
      <c r="D73" s="437">
        <f>Oportunidades!D73</f>
        <v>0</v>
      </c>
      <c r="E73" s="438"/>
      <c r="F73" s="225">
        <f>Oportunidades!I73</f>
        <v>0</v>
      </c>
      <c r="G73" s="226">
        <f>'Resposta-Oport'!M75</f>
        <v>0</v>
      </c>
      <c r="H73" s="226"/>
      <c r="I73" s="283">
        <f>'Resposta-Oport'!N75</f>
        <v>0</v>
      </c>
      <c r="J73" s="284"/>
      <c r="K73" s="284"/>
      <c r="L73" s="285"/>
      <c r="M73" s="228">
        <v>0</v>
      </c>
      <c r="N73" s="284"/>
    </row>
    <row r="74" spans="1:14">
      <c r="A74" s="126">
        <f>Oportunidades!A74</f>
        <v>66</v>
      </c>
      <c r="B74" s="282">
        <f>Oportunidades!B74</f>
        <v>0</v>
      </c>
      <c r="C74" s="223">
        <f>Oportunidades!C74</f>
        <v>0</v>
      </c>
      <c r="D74" s="437">
        <f>Oportunidades!D74</f>
        <v>0</v>
      </c>
      <c r="E74" s="438"/>
      <c r="F74" s="225">
        <f>Oportunidades!I74</f>
        <v>0</v>
      </c>
      <c r="G74" s="226">
        <f>'Resposta-Oport'!M76</f>
        <v>0</v>
      </c>
      <c r="H74" s="226"/>
      <c r="I74" s="283">
        <f>'Resposta-Oport'!N76</f>
        <v>0</v>
      </c>
      <c r="J74" s="284"/>
      <c r="K74" s="284"/>
      <c r="L74" s="285"/>
      <c r="M74" s="228">
        <v>0</v>
      </c>
      <c r="N74" s="284"/>
    </row>
    <row r="75" spans="1:14">
      <c r="A75" s="126">
        <f>Oportunidades!A75</f>
        <v>67</v>
      </c>
      <c r="B75" s="282">
        <f>Oportunidades!B75</f>
        <v>0</v>
      </c>
      <c r="C75" s="223">
        <f>Oportunidades!C75</f>
        <v>0</v>
      </c>
      <c r="D75" s="437">
        <f>Oportunidades!D75</f>
        <v>0</v>
      </c>
      <c r="E75" s="438"/>
      <c r="F75" s="225">
        <f>Oportunidades!I75</f>
        <v>0</v>
      </c>
      <c r="G75" s="226">
        <f>'Resposta-Oport'!M77</f>
        <v>0</v>
      </c>
      <c r="H75" s="226"/>
      <c r="I75" s="283">
        <f>'Resposta-Oport'!N77</f>
        <v>0</v>
      </c>
      <c r="J75" s="284"/>
      <c r="K75" s="284"/>
      <c r="L75" s="285"/>
      <c r="M75" s="228">
        <v>0</v>
      </c>
      <c r="N75" s="284"/>
    </row>
    <row r="76" spans="1:14">
      <c r="A76" s="126">
        <f>Oportunidades!A76</f>
        <v>68</v>
      </c>
      <c r="B76" s="282">
        <f>Oportunidades!B76</f>
        <v>0</v>
      </c>
      <c r="C76" s="223">
        <f>Oportunidades!C76</f>
        <v>0</v>
      </c>
      <c r="D76" s="437">
        <f>Oportunidades!D76</f>
        <v>0</v>
      </c>
      <c r="E76" s="438"/>
      <c r="F76" s="225">
        <f>Oportunidades!I76</f>
        <v>0</v>
      </c>
      <c r="G76" s="226">
        <f>'Resposta-Oport'!M78</f>
        <v>0</v>
      </c>
      <c r="H76" s="226"/>
      <c r="I76" s="283">
        <f>'Resposta-Oport'!N78</f>
        <v>0</v>
      </c>
      <c r="J76" s="284"/>
      <c r="K76" s="284"/>
      <c r="L76" s="285"/>
      <c r="M76" s="228">
        <v>0</v>
      </c>
      <c r="N76" s="284"/>
    </row>
    <row r="77" spans="1:14">
      <c r="A77" s="126">
        <f>Oportunidades!A77</f>
        <v>69</v>
      </c>
      <c r="B77" s="282">
        <f>Oportunidades!B77</f>
        <v>0</v>
      </c>
      <c r="C77" s="223">
        <f>Oportunidades!C77</f>
        <v>0</v>
      </c>
      <c r="D77" s="437">
        <f>Oportunidades!D77</f>
        <v>0</v>
      </c>
      <c r="E77" s="438"/>
      <c r="F77" s="225">
        <f>Oportunidades!I77</f>
        <v>0</v>
      </c>
      <c r="G77" s="226">
        <f>'Resposta-Oport'!M79</f>
        <v>0</v>
      </c>
      <c r="H77" s="226"/>
      <c r="I77" s="283">
        <f>'Resposta-Oport'!N79</f>
        <v>0</v>
      </c>
      <c r="J77" s="284"/>
      <c r="K77" s="284"/>
      <c r="L77" s="285"/>
      <c r="M77" s="228">
        <v>0</v>
      </c>
      <c r="N77" s="284"/>
    </row>
    <row r="78" spans="1:14">
      <c r="A78" s="126">
        <f>Oportunidades!A78</f>
        <v>70</v>
      </c>
      <c r="B78" s="282">
        <f>Oportunidades!B78</f>
        <v>0</v>
      </c>
      <c r="C78" s="223">
        <f>Oportunidades!C78</f>
        <v>0</v>
      </c>
      <c r="D78" s="437">
        <f>Oportunidades!D78</f>
        <v>0</v>
      </c>
      <c r="E78" s="438"/>
      <c r="F78" s="225">
        <f>Oportunidades!I78</f>
        <v>0</v>
      </c>
      <c r="G78" s="226">
        <f>'Resposta-Oport'!M80</f>
        <v>0</v>
      </c>
      <c r="H78" s="226"/>
      <c r="I78" s="283">
        <f>'Resposta-Oport'!N80</f>
        <v>0</v>
      </c>
      <c r="J78" s="284"/>
      <c r="K78" s="284"/>
      <c r="L78" s="285"/>
      <c r="M78" s="228">
        <v>0</v>
      </c>
      <c r="N78" s="284"/>
    </row>
    <row r="79" spans="1:14">
      <c r="A79" s="126">
        <f>Oportunidades!A79</f>
        <v>71</v>
      </c>
      <c r="B79" s="282">
        <f>Oportunidades!B79</f>
        <v>0</v>
      </c>
      <c r="C79" s="223">
        <f>Oportunidades!C79</f>
        <v>0</v>
      </c>
      <c r="D79" s="437">
        <f>Oportunidades!D79</f>
        <v>0</v>
      </c>
      <c r="E79" s="438"/>
      <c r="F79" s="225">
        <f>Oportunidades!I79</f>
        <v>0</v>
      </c>
      <c r="G79" s="226">
        <f>'Resposta-Oport'!M81</f>
        <v>0</v>
      </c>
      <c r="H79" s="226"/>
      <c r="I79" s="283">
        <f>'Resposta-Oport'!N81</f>
        <v>0</v>
      </c>
      <c r="J79" s="284"/>
      <c r="K79" s="284"/>
      <c r="L79" s="285"/>
      <c r="M79" s="228">
        <v>0</v>
      </c>
      <c r="N79" s="284"/>
    </row>
    <row r="80" spans="1:14">
      <c r="A80" s="126">
        <f>Oportunidades!A80</f>
        <v>72</v>
      </c>
      <c r="B80" s="282">
        <f>Oportunidades!B80</f>
        <v>0</v>
      </c>
      <c r="C80" s="223">
        <f>Oportunidades!C80</f>
        <v>0</v>
      </c>
      <c r="D80" s="437">
        <f>Oportunidades!D80</f>
        <v>0</v>
      </c>
      <c r="E80" s="438"/>
      <c r="F80" s="225">
        <f>Oportunidades!I80</f>
        <v>0</v>
      </c>
      <c r="G80" s="226">
        <f>'Resposta-Oport'!M82</f>
        <v>0</v>
      </c>
      <c r="H80" s="226"/>
      <c r="I80" s="283">
        <f>'Resposta-Oport'!N82</f>
        <v>0</v>
      </c>
      <c r="J80" s="284"/>
      <c r="K80" s="284"/>
      <c r="L80" s="285"/>
      <c r="M80" s="228">
        <v>0</v>
      </c>
      <c r="N80" s="284"/>
    </row>
    <row r="81" spans="1:14">
      <c r="A81" s="126">
        <f>Oportunidades!A81</f>
        <v>73</v>
      </c>
      <c r="B81" s="282">
        <f>Oportunidades!B81</f>
        <v>0</v>
      </c>
      <c r="C81" s="223">
        <f>Oportunidades!C81</f>
        <v>0</v>
      </c>
      <c r="D81" s="437">
        <f>Oportunidades!D81</f>
        <v>0</v>
      </c>
      <c r="E81" s="438"/>
      <c r="F81" s="225">
        <f>Oportunidades!I81</f>
        <v>0</v>
      </c>
      <c r="G81" s="226">
        <f>'Resposta-Oport'!M83</f>
        <v>0</v>
      </c>
      <c r="H81" s="226"/>
      <c r="I81" s="283">
        <f>'Resposta-Oport'!N83</f>
        <v>0</v>
      </c>
      <c r="J81" s="284"/>
      <c r="K81" s="284"/>
      <c r="L81" s="285"/>
      <c r="M81" s="228">
        <v>0</v>
      </c>
      <c r="N81" s="284"/>
    </row>
    <row r="82" spans="1:14">
      <c r="A82" s="126">
        <f>Oportunidades!A82</f>
        <v>74</v>
      </c>
      <c r="B82" s="282">
        <f>Oportunidades!B82</f>
        <v>0</v>
      </c>
      <c r="C82" s="223">
        <f>Oportunidades!C82</f>
        <v>0</v>
      </c>
      <c r="D82" s="437">
        <f>Oportunidades!D82</f>
        <v>0</v>
      </c>
      <c r="E82" s="438"/>
      <c r="F82" s="225">
        <f>Oportunidades!I82</f>
        <v>0</v>
      </c>
      <c r="G82" s="226">
        <f>'Resposta-Oport'!M84</f>
        <v>0</v>
      </c>
      <c r="H82" s="226"/>
      <c r="I82" s="283">
        <f>'Resposta-Oport'!N84</f>
        <v>0</v>
      </c>
      <c r="J82" s="284"/>
      <c r="K82" s="284"/>
      <c r="L82" s="285"/>
      <c r="M82" s="228">
        <v>0</v>
      </c>
      <c r="N82" s="284"/>
    </row>
    <row r="83" spans="1:14">
      <c r="A83" s="126">
        <f>Oportunidades!A83</f>
        <v>75</v>
      </c>
      <c r="B83" s="282">
        <f>Oportunidades!B83</f>
        <v>0</v>
      </c>
      <c r="C83" s="223">
        <f>Oportunidades!C83</f>
        <v>0</v>
      </c>
      <c r="D83" s="437">
        <f>Oportunidades!D83</f>
        <v>0</v>
      </c>
      <c r="E83" s="438"/>
      <c r="F83" s="225">
        <f>Oportunidades!I83</f>
        <v>0</v>
      </c>
      <c r="G83" s="226">
        <f>'Resposta-Oport'!M85</f>
        <v>0</v>
      </c>
      <c r="H83" s="226"/>
      <c r="I83" s="283">
        <f>'Resposta-Oport'!N85</f>
        <v>0</v>
      </c>
      <c r="J83" s="284"/>
      <c r="K83" s="284"/>
      <c r="L83" s="285"/>
      <c r="M83" s="228">
        <v>0</v>
      </c>
      <c r="N83" s="284"/>
    </row>
    <row r="84" spans="1:14">
      <c r="A84" s="126">
        <f>Oportunidades!A84</f>
        <v>76</v>
      </c>
      <c r="B84" s="282">
        <f>Oportunidades!B84</f>
        <v>0</v>
      </c>
      <c r="C84" s="223">
        <f>Oportunidades!C84</f>
        <v>0</v>
      </c>
      <c r="D84" s="437">
        <f>Oportunidades!D84</f>
        <v>0</v>
      </c>
      <c r="E84" s="438"/>
      <c r="F84" s="225">
        <f>Oportunidades!I84</f>
        <v>0</v>
      </c>
      <c r="G84" s="226">
        <f>'Resposta-Oport'!M86</f>
        <v>0</v>
      </c>
      <c r="H84" s="226"/>
      <c r="I84" s="283">
        <f>'Resposta-Oport'!N86</f>
        <v>0</v>
      </c>
      <c r="J84" s="284"/>
      <c r="K84" s="284"/>
      <c r="L84" s="285"/>
      <c r="M84" s="228">
        <v>0</v>
      </c>
      <c r="N84" s="284"/>
    </row>
    <row r="85" spans="1:14">
      <c r="A85" s="126">
        <f>Oportunidades!A85</f>
        <v>77</v>
      </c>
      <c r="B85" s="282">
        <f>Oportunidades!B85</f>
        <v>0</v>
      </c>
      <c r="C85" s="223">
        <f>Oportunidades!C85</f>
        <v>0</v>
      </c>
      <c r="D85" s="437">
        <f>Oportunidades!D85</f>
        <v>0</v>
      </c>
      <c r="E85" s="438"/>
      <c r="F85" s="225">
        <f>Oportunidades!I85</f>
        <v>0</v>
      </c>
      <c r="G85" s="226">
        <f>'Resposta-Oport'!M87</f>
        <v>0</v>
      </c>
      <c r="H85" s="226"/>
      <c r="I85" s="283">
        <f>'Resposta-Oport'!N87</f>
        <v>0</v>
      </c>
      <c r="J85" s="284"/>
      <c r="K85" s="284"/>
      <c r="L85" s="285"/>
      <c r="M85" s="228">
        <v>0</v>
      </c>
      <c r="N85" s="284"/>
    </row>
    <row r="86" spans="1:14">
      <c r="A86" s="126">
        <f>Oportunidades!A86</f>
        <v>78</v>
      </c>
      <c r="B86" s="282">
        <f>Oportunidades!B86</f>
        <v>0</v>
      </c>
      <c r="C86" s="223">
        <f>Oportunidades!C86</f>
        <v>0</v>
      </c>
      <c r="D86" s="437">
        <f>Oportunidades!D86</f>
        <v>0</v>
      </c>
      <c r="E86" s="438"/>
      <c r="F86" s="225">
        <f>Oportunidades!I86</f>
        <v>0</v>
      </c>
      <c r="G86" s="226">
        <f>'Resposta-Oport'!M88</f>
        <v>0</v>
      </c>
      <c r="H86" s="226"/>
      <c r="I86" s="283">
        <f>'Resposta-Oport'!N88</f>
        <v>0</v>
      </c>
      <c r="J86" s="284"/>
      <c r="K86" s="284"/>
      <c r="L86" s="285"/>
      <c r="M86" s="228">
        <v>0</v>
      </c>
      <c r="N86" s="284"/>
    </row>
    <row r="87" spans="1:14">
      <c r="A87" s="126">
        <f>Oportunidades!A87</f>
        <v>79</v>
      </c>
      <c r="B87" s="282">
        <f>Oportunidades!B87</f>
        <v>0</v>
      </c>
      <c r="C87" s="223">
        <f>Oportunidades!C87</f>
        <v>0</v>
      </c>
      <c r="D87" s="437">
        <f>Oportunidades!D87</f>
        <v>0</v>
      </c>
      <c r="E87" s="438"/>
      <c r="F87" s="225">
        <f>Oportunidades!I87</f>
        <v>0</v>
      </c>
      <c r="G87" s="226">
        <f>'Resposta-Oport'!M89</f>
        <v>0</v>
      </c>
      <c r="H87" s="226"/>
      <c r="I87" s="283">
        <f>'Resposta-Oport'!N89</f>
        <v>0</v>
      </c>
      <c r="J87" s="284"/>
      <c r="K87" s="284"/>
      <c r="L87" s="285"/>
      <c r="M87" s="228">
        <v>0</v>
      </c>
      <c r="N87" s="284"/>
    </row>
    <row r="88" spans="1:14">
      <c r="A88" s="126">
        <f>Oportunidades!A88</f>
        <v>80</v>
      </c>
      <c r="B88" s="282">
        <f>Oportunidades!B88</f>
        <v>0</v>
      </c>
      <c r="C88" s="223">
        <f>Oportunidades!C88</f>
        <v>0</v>
      </c>
      <c r="D88" s="437">
        <f>Oportunidades!D88</f>
        <v>0</v>
      </c>
      <c r="E88" s="438"/>
      <c r="F88" s="225">
        <f>Oportunidades!I88</f>
        <v>0</v>
      </c>
      <c r="G88" s="226">
        <f>'Resposta-Oport'!M90</f>
        <v>0</v>
      </c>
      <c r="H88" s="226"/>
      <c r="I88" s="283">
        <f>'Resposta-Oport'!N90</f>
        <v>0</v>
      </c>
      <c r="J88" s="284"/>
      <c r="K88" s="284"/>
      <c r="L88" s="285"/>
      <c r="M88" s="228">
        <v>0</v>
      </c>
      <c r="N88" s="284"/>
    </row>
    <row r="89" spans="1:14">
      <c r="A89" s="126">
        <f>Oportunidades!A89</f>
        <v>81</v>
      </c>
      <c r="B89" s="282">
        <f>Oportunidades!B89</f>
        <v>0</v>
      </c>
      <c r="C89" s="223">
        <f>Oportunidades!C89</f>
        <v>0</v>
      </c>
      <c r="D89" s="437">
        <f>Oportunidades!D89</f>
        <v>0</v>
      </c>
      <c r="E89" s="438"/>
      <c r="F89" s="225">
        <f>Oportunidades!I89</f>
        <v>0</v>
      </c>
      <c r="G89" s="226">
        <f>'Resposta-Oport'!M91</f>
        <v>0</v>
      </c>
      <c r="H89" s="226"/>
      <c r="I89" s="283">
        <f>'Resposta-Oport'!N91</f>
        <v>0</v>
      </c>
      <c r="J89" s="284"/>
      <c r="K89" s="284"/>
      <c r="L89" s="285"/>
      <c r="M89" s="228">
        <v>0</v>
      </c>
      <c r="N89" s="284"/>
    </row>
    <row r="90" spans="1:14">
      <c r="A90" s="126">
        <f>Oportunidades!A90</f>
        <v>82</v>
      </c>
      <c r="B90" s="282">
        <f>Oportunidades!B90</f>
        <v>0</v>
      </c>
      <c r="C90" s="223">
        <f>Oportunidades!C90</f>
        <v>0</v>
      </c>
      <c r="D90" s="437">
        <f>Oportunidades!D90</f>
        <v>0</v>
      </c>
      <c r="E90" s="438"/>
      <c r="F90" s="225">
        <f>Oportunidades!I90</f>
        <v>0</v>
      </c>
      <c r="G90" s="226">
        <f>'Resposta-Oport'!M92</f>
        <v>0</v>
      </c>
      <c r="H90" s="226"/>
      <c r="I90" s="283">
        <f>'Resposta-Oport'!N92</f>
        <v>0</v>
      </c>
      <c r="J90" s="284"/>
      <c r="K90" s="284"/>
      <c r="L90" s="285"/>
      <c r="M90" s="228">
        <v>0</v>
      </c>
      <c r="N90" s="284"/>
    </row>
    <row r="91" spans="1:14">
      <c r="A91" s="126">
        <f>Oportunidades!A91</f>
        <v>83</v>
      </c>
      <c r="B91" s="282">
        <f>Oportunidades!B91</f>
        <v>0</v>
      </c>
      <c r="C91" s="223">
        <f>Oportunidades!C91</f>
        <v>0</v>
      </c>
      <c r="D91" s="437">
        <f>Oportunidades!D91</f>
        <v>0</v>
      </c>
      <c r="E91" s="438"/>
      <c r="F91" s="225">
        <f>Oportunidades!I91</f>
        <v>0</v>
      </c>
      <c r="G91" s="226">
        <f>'Resposta-Oport'!M93</f>
        <v>0</v>
      </c>
      <c r="H91" s="226"/>
      <c r="I91" s="283">
        <f>'Resposta-Oport'!N93</f>
        <v>0</v>
      </c>
      <c r="J91" s="284"/>
      <c r="K91" s="284"/>
      <c r="L91" s="285"/>
      <c r="M91" s="228">
        <v>0</v>
      </c>
      <c r="N91" s="284"/>
    </row>
    <row r="92" spans="1:14">
      <c r="A92" s="126">
        <f>Oportunidades!A92</f>
        <v>84</v>
      </c>
      <c r="B92" s="282">
        <f>Oportunidades!B92</f>
        <v>0</v>
      </c>
      <c r="C92" s="223">
        <f>Oportunidades!C92</f>
        <v>0</v>
      </c>
      <c r="D92" s="437">
        <f>Oportunidades!D92</f>
        <v>0</v>
      </c>
      <c r="E92" s="438"/>
      <c r="F92" s="225">
        <f>Oportunidades!I92</f>
        <v>0</v>
      </c>
      <c r="G92" s="226">
        <f>'Resposta-Oport'!M94</f>
        <v>0</v>
      </c>
      <c r="H92" s="226"/>
      <c r="I92" s="283">
        <f>'Resposta-Oport'!N94</f>
        <v>0</v>
      </c>
      <c r="J92" s="284"/>
      <c r="K92" s="284"/>
      <c r="L92" s="285"/>
      <c r="M92" s="228">
        <v>0</v>
      </c>
      <c r="N92" s="284"/>
    </row>
    <row r="93" spans="1:14">
      <c r="A93" s="126">
        <f>Oportunidades!A93</f>
        <v>85</v>
      </c>
      <c r="B93" s="282">
        <f>Oportunidades!B93</f>
        <v>0</v>
      </c>
      <c r="C93" s="223">
        <f>Oportunidades!C93</f>
        <v>0</v>
      </c>
      <c r="D93" s="437">
        <f>Oportunidades!D93</f>
        <v>0</v>
      </c>
      <c r="E93" s="438"/>
      <c r="F93" s="225">
        <f>Oportunidades!I93</f>
        <v>0</v>
      </c>
      <c r="G93" s="226">
        <f>'Resposta-Oport'!M95</f>
        <v>0</v>
      </c>
      <c r="H93" s="226"/>
      <c r="I93" s="283">
        <f>'Resposta-Oport'!N95</f>
        <v>0</v>
      </c>
      <c r="J93" s="284"/>
      <c r="K93" s="284"/>
      <c r="L93" s="285"/>
      <c r="M93" s="228">
        <v>0</v>
      </c>
      <c r="N93" s="284"/>
    </row>
    <row r="94" spans="1:14">
      <c r="A94" s="126">
        <f>Oportunidades!A94</f>
        <v>86</v>
      </c>
      <c r="B94" s="282">
        <f>Oportunidades!B94</f>
        <v>0</v>
      </c>
      <c r="C94" s="223">
        <f>Oportunidades!C94</f>
        <v>0</v>
      </c>
      <c r="D94" s="437">
        <f>Oportunidades!D94</f>
        <v>0</v>
      </c>
      <c r="E94" s="438"/>
      <c r="F94" s="225">
        <f>Oportunidades!I94</f>
        <v>0</v>
      </c>
      <c r="G94" s="226">
        <f>'Resposta-Oport'!M96</f>
        <v>0</v>
      </c>
      <c r="H94" s="226"/>
      <c r="I94" s="283">
        <f>'Resposta-Oport'!N96</f>
        <v>0</v>
      </c>
      <c r="J94" s="284"/>
      <c r="K94" s="284"/>
      <c r="L94" s="285"/>
      <c r="M94" s="228">
        <v>0</v>
      </c>
      <c r="N94" s="284"/>
    </row>
    <row r="95" spans="1:14">
      <c r="A95" s="126">
        <f>Oportunidades!A95</f>
        <v>87</v>
      </c>
      <c r="B95" s="282">
        <f>Oportunidades!B95</f>
        <v>0</v>
      </c>
      <c r="C95" s="223">
        <f>Oportunidades!C95</f>
        <v>0</v>
      </c>
      <c r="D95" s="437">
        <f>Oportunidades!D95</f>
        <v>0</v>
      </c>
      <c r="E95" s="438"/>
      <c r="F95" s="225">
        <f>Oportunidades!I95</f>
        <v>0</v>
      </c>
      <c r="G95" s="226">
        <f>'Resposta-Oport'!M97</f>
        <v>0</v>
      </c>
      <c r="H95" s="226"/>
      <c r="I95" s="283">
        <f>'Resposta-Oport'!N97</f>
        <v>0</v>
      </c>
      <c r="J95" s="284"/>
      <c r="K95" s="284"/>
      <c r="L95" s="285"/>
      <c r="M95" s="228">
        <v>0</v>
      </c>
      <c r="N95" s="284"/>
    </row>
    <row r="96" spans="1:14">
      <c r="A96" s="126">
        <f>Oportunidades!A96</f>
        <v>88</v>
      </c>
      <c r="B96" s="282">
        <f>Oportunidades!B96</f>
        <v>0</v>
      </c>
      <c r="C96" s="223">
        <f>Oportunidades!C96</f>
        <v>0</v>
      </c>
      <c r="D96" s="437">
        <f>Oportunidades!D96</f>
        <v>0</v>
      </c>
      <c r="E96" s="438"/>
      <c r="F96" s="225">
        <f>Oportunidades!I96</f>
        <v>0</v>
      </c>
      <c r="G96" s="226">
        <f>'Resposta-Oport'!M98</f>
        <v>0</v>
      </c>
      <c r="H96" s="226"/>
      <c r="I96" s="283">
        <f>'Resposta-Oport'!N98</f>
        <v>0</v>
      </c>
      <c r="J96" s="284"/>
      <c r="K96" s="284"/>
      <c r="L96" s="285"/>
      <c r="M96" s="228">
        <v>0</v>
      </c>
      <c r="N96" s="284"/>
    </row>
    <row r="97" spans="1:14">
      <c r="A97" s="126">
        <f>Oportunidades!A97</f>
        <v>89</v>
      </c>
      <c r="B97" s="282">
        <f>Oportunidades!B97</f>
        <v>0</v>
      </c>
      <c r="C97" s="223">
        <f>Oportunidades!C97</f>
        <v>0</v>
      </c>
      <c r="D97" s="437">
        <f>Oportunidades!D97</f>
        <v>0</v>
      </c>
      <c r="E97" s="438"/>
      <c r="F97" s="225">
        <f>Oportunidades!I97</f>
        <v>0</v>
      </c>
      <c r="G97" s="226">
        <f>'Resposta-Oport'!M99</f>
        <v>0</v>
      </c>
      <c r="H97" s="226"/>
      <c r="I97" s="283">
        <f>'Resposta-Oport'!N99</f>
        <v>0</v>
      </c>
      <c r="J97" s="284"/>
      <c r="K97" s="284"/>
      <c r="L97" s="285"/>
      <c r="M97" s="228">
        <v>0</v>
      </c>
      <c r="N97" s="284"/>
    </row>
    <row r="98" spans="1:14">
      <c r="A98" s="126">
        <f>Oportunidades!A98</f>
        <v>90</v>
      </c>
      <c r="B98" s="282">
        <f>Oportunidades!B98</f>
        <v>0</v>
      </c>
      <c r="C98" s="223">
        <f>Oportunidades!C98</f>
        <v>0</v>
      </c>
      <c r="D98" s="437">
        <f>Oportunidades!D98</f>
        <v>0</v>
      </c>
      <c r="E98" s="438"/>
      <c r="F98" s="225">
        <f>Oportunidades!I98</f>
        <v>0</v>
      </c>
      <c r="G98" s="226">
        <f>'Resposta-Oport'!M100</f>
        <v>0</v>
      </c>
      <c r="H98" s="226"/>
      <c r="I98" s="283">
        <f>'Resposta-Oport'!N100</f>
        <v>0</v>
      </c>
      <c r="J98" s="284"/>
      <c r="K98" s="284"/>
      <c r="L98" s="285"/>
      <c r="M98" s="228">
        <v>0</v>
      </c>
      <c r="N98" s="284"/>
    </row>
    <row r="99" spans="1:14">
      <c r="A99" s="126">
        <f>Oportunidades!A99</f>
        <v>91</v>
      </c>
      <c r="B99" s="282">
        <f>Oportunidades!B99</f>
        <v>0</v>
      </c>
      <c r="C99" s="223">
        <f>Oportunidades!C99</f>
        <v>0</v>
      </c>
      <c r="D99" s="437">
        <f>Oportunidades!D99</f>
        <v>0</v>
      </c>
      <c r="E99" s="438"/>
      <c r="F99" s="225">
        <f>Oportunidades!I99</f>
        <v>0</v>
      </c>
      <c r="G99" s="226">
        <f>'Resposta-Oport'!M101</f>
        <v>0</v>
      </c>
      <c r="H99" s="226"/>
      <c r="I99" s="283">
        <f>'Resposta-Oport'!N101</f>
        <v>0</v>
      </c>
      <c r="J99" s="284"/>
      <c r="K99" s="284"/>
      <c r="L99" s="285"/>
      <c r="M99" s="228">
        <v>0</v>
      </c>
      <c r="N99" s="284"/>
    </row>
    <row r="100" spans="1:14">
      <c r="A100" s="126">
        <f>Oportunidades!A100</f>
        <v>92</v>
      </c>
      <c r="B100" s="282">
        <f>Oportunidades!B100</f>
        <v>0</v>
      </c>
      <c r="C100" s="223">
        <f>Oportunidades!C100</f>
        <v>0</v>
      </c>
      <c r="D100" s="437">
        <f>Oportunidades!D100</f>
        <v>0</v>
      </c>
      <c r="E100" s="438"/>
      <c r="F100" s="225">
        <f>Oportunidades!I100</f>
        <v>0</v>
      </c>
      <c r="G100" s="226">
        <f>'Resposta-Oport'!M102</f>
        <v>0</v>
      </c>
      <c r="H100" s="226"/>
      <c r="I100" s="283">
        <f>'Resposta-Oport'!N102</f>
        <v>0</v>
      </c>
      <c r="J100" s="284"/>
      <c r="K100" s="284"/>
      <c r="L100" s="285"/>
      <c r="M100" s="228">
        <v>0</v>
      </c>
      <c r="N100" s="284"/>
    </row>
    <row r="101" spans="1:14">
      <c r="A101" s="126">
        <f>Oportunidades!A101</f>
        <v>93</v>
      </c>
      <c r="B101" s="282">
        <f>Oportunidades!B101</f>
        <v>0</v>
      </c>
      <c r="C101" s="223">
        <f>Oportunidades!C101</f>
        <v>0</v>
      </c>
      <c r="D101" s="437">
        <f>Oportunidades!D101</f>
        <v>0</v>
      </c>
      <c r="E101" s="438"/>
      <c r="F101" s="225">
        <f>Oportunidades!I101</f>
        <v>0</v>
      </c>
      <c r="G101" s="226">
        <f>'Resposta-Oport'!M103</f>
        <v>0</v>
      </c>
      <c r="H101" s="226"/>
      <c r="I101" s="283">
        <f>'Resposta-Oport'!N103</f>
        <v>0</v>
      </c>
      <c r="J101" s="284"/>
      <c r="K101" s="284"/>
      <c r="L101" s="285"/>
      <c r="M101" s="228">
        <v>0</v>
      </c>
      <c r="N101" s="284"/>
    </row>
    <row r="102" spans="1:14">
      <c r="A102" s="126">
        <f>Oportunidades!A102</f>
        <v>94</v>
      </c>
      <c r="B102" s="282">
        <f>Oportunidades!B102</f>
        <v>0</v>
      </c>
      <c r="C102" s="223">
        <f>Oportunidades!C102</f>
        <v>0</v>
      </c>
      <c r="D102" s="437">
        <f>Oportunidades!D102</f>
        <v>0</v>
      </c>
      <c r="E102" s="438"/>
      <c r="F102" s="225">
        <f>Oportunidades!I102</f>
        <v>0</v>
      </c>
      <c r="G102" s="226">
        <f>'Resposta-Oport'!M104</f>
        <v>0</v>
      </c>
      <c r="H102" s="226"/>
      <c r="I102" s="283">
        <f>'Resposta-Oport'!N104</f>
        <v>0</v>
      </c>
      <c r="J102" s="284"/>
      <c r="K102" s="284"/>
      <c r="L102" s="285"/>
      <c r="M102" s="228">
        <v>0</v>
      </c>
      <c r="N102" s="284"/>
    </row>
    <row r="103" spans="1:14">
      <c r="A103" s="126">
        <f>Oportunidades!A103</f>
        <v>95</v>
      </c>
      <c r="B103" s="282">
        <f>Oportunidades!B103</f>
        <v>0</v>
      </c>
      <c r="C103" s="223">
        <f>Oportunidades!C103</f>
        <v>0</v>
      </c>
      <c r="D103" s="437">
        <f>Oportunidades!D103</f>
        <v>0</v>
      </c>
      <c r="E103" s="438"/>
      <c r="F103" s="225">
        <f>Oportunidades!I103</f>
        <v>0</v>
      </c>
      <c r="G103" s="226">
        <f>'Resposta-Oport'!M105</f>
        <v>0</v>
      </c>
      <c r="H103" s="226"/>
      <c r="I103" s="283">
        <f>'Resposta-Oport'!N105</f>
        <v>0</v>
      </c>
      <c r="J103" s="284"/>
      <c r="K103" s="284"/>
      <c r="L103" s="285"/>
      <c r="M103" s="228">
        <v>0</v>
      </c>
      <c r="N103" s="284"/>
    </row>
    <row r="104" spans="1:14">
      <c r="A104" s="126">
        <f>Oportunidades!A104</f>
        <v>96</v>
      </c>
      <c r="B104" s="282">
        <f>Oportunidades!B104</f>
        <v>0</v>
      </c>
      <c r="C104" s="223">
        <f>Oportunidades!C104</f>
        <v>0</v>
      </c>
      <c r="D104" s="437">
        <f>Oportunidades!D104</f>
        <v>0</v>
      </c>
      <c r="E104" s="438"/>
      <c r="F104" s="225">
        <f>Oportunidades!I104</f>
        <v>0</v>
      </c>
      <c r="G104" s="226">
        <f>'Resposta-Oport'!M106</f>
        <v>0</v>
      </c>
      <c r="H104" s="226"/>
      <c r="I104" s="283">
        <f>'Resposta-Oport'!N106</f>
        <v>0</v>
      </c>
      <c r="J104" s="284"/>
      <c r="K104" s="284"/>
      <c r="L104" s="285"/>
      <c r="M104" s="228">
        <v>0</v>
      </c>
      <c r="N104" s="284"/>
    </row>
    <row r="105" spans="1:14">
      <c r="A105" s="126">
        <f>Oportunidades!A105</f>
        <v>97</v>
      </c>
      <c r="B105" s="282">
        <f>Oportunidades!B105</f>
        <v>0</v>
      </c>
      <c r="C105" s="223">
        <f>Oportunidades!C105</f>
        <v>0</v>
      </c>
      <c r="D105" s="437">
        <f>Oportunidades!D105</f>
        <v>0</v>
      </c>
      <c r="E105" s="438"/>
      <c r="F105" s="225">
        <f>Oportunidades!I105</f>
        <v>0</v>
      </c>
      <c r="G105" s="226">
        <f>'Resposta-Oport'!M107</f>
        <v>0</v>
      </c>
      <c r="H105" s="226"/>
      <c r="I105" s="283">
        <f>'Resposta-Oport'!N107</f>
        <v>0</v>
      </c>
      <c r="J105" s="284"/>
      <c r="K105" s="284"/>
      <c r="L105" s="285"/>
      <c r="M105" s="228">
        <v>0</v>
      </c>
      <c r="N105" s="284"/>
    </row>
    <row r="106" spans="1:14">
      <c r="A106" s="126">
        <f>Oportunidades!A106</f>
        <v>98</v>
      </c>
      <c r="B106" s="282">
        <f>Oportunidades!B106</f>
        <v>0</v>
      </c>
      <c r="C106" s="223">
        <f>Oportunidades!C106</f>
        <v>0</v>
      </c>
      <c r="D106" s="437">
        <f>Oportunidades!D106</f>
        <v>0</v>
      </c>
      <c r="E106" s="438"/>
      <c r="F106" s="225">
        <f>Oportunidades!I106</f>
        <v>0</v>
      </c>
      <c r="G106" s="226">
        <f>'Resposta-Oport'!M108</f>
        <v>0</v>
      </c>
      <c r="H106" s="226"/>
      <c r="I106" s="283">
        <f>'Resposta-Oport'!N108</f>
        <v>0</v>
      </c>
      <c r="J106" s="284"/>
      <c r="K106" s="284"/>
      <c r="L106" s="285"/>
      <c r="M106" s="228">
        <v>0</v>
      </c>
      <c r="N106" s="284"/>
    </row>
    <row r="107" spans="1:14">
      <c r="A107" s="126">
        <f>Oportunidades!A107</f>
        <v>99</v>
      </c>
      <c r="B107" s="282">
        <f>Oportunidades!B107</f>
        <v>0</v>
      </c>
      <c r="C107" s="223">
        <f>Oportunidades!C107</f>
        <v>0</v>
      </c>
      <c r="D107" s="437">
        <f>Oportunidades!D107</f>
        <v>0</v>
      </c>
      <c r="E107" s="438"/>
      <c r="F107" s="225">
        <f>Oportunidades!I107</f>
        <v>0</v>
      </c>
      <c r="G107" s="226">
        <f>'Resposta-Oport'!M109</f>
        <v>0</v>
      </c>
      <c r="H107" s="226"/>
      <c r="I107" s="283">
        <f>'Resposta-Oport'!N109</f>
        <v>0</v>
      </c>
      <c r="J107" s="284"/>
      <c r="K107" s="284"/>
      <c r="L107" s="285"/>
      <c r="M107" s="228">
        <v>0</v>
      </c>
      <c r="N107" s="284"/>
    </row>
    <row r="108" spans="1:14">
      <c r="A108" s="126">
        <f>Oportunidades!A108</f>
        <v>100</v>
      </c>
      <c r="B108" s="282">
        <f>Oportunidades!B108</f>
        <v>0</v>
      </c>
      <c r="C108" s="223">
        <f>Oportunidades!C108</f>
        <v>0</v>
      </c>
      <c r="D108" s="437">
        <f>Oportunidades!D108</f>
        <v>0</v>
      </c>
      <c r="E108" s="438"/>
      <c r="F108" s="225">
        <f>Oportunidades!I108</f>
        <v>0</v>
      </c>
      <c r="G108" s="226">
        <f>'Resposta-Oport'!M110</f>
        <v>0</v>
      </c>
      <c r="H108" s="226"/>
      <c r="I108" s="283">
        <f>'Resposta-Oport'!N110</f>
        <v>0</v>
      </c>
      <c r="J108" s="284"/>
      <c r="K108" s="284"/>
      <c r="L108" s="285"/>
      <c r="M108" s="228">
        <v>0</v>
      </c>
      <c r="N108" s="284"/>
    </row>
    <row r="109" spans="1:14">
      <c r="A109" s="126">
        <f>Oportunidades!A109</f>
        <v>101</v>
      </c>
      <c r="B109" s="282">
        <f>Oportunidades!B109</f>
        <v>0</v>
      </c>
      <c r="C109" s="223">
        <f>Oportunidades!C109</f>
        <v>0</v>
      </c>
      <c r="D109" s="437">
        <f>Oportunidades!D109</f>
        <v>0</v>
      </c>
      <c r="E109" s="438"/>
      <c r="F109" s="225">
        <f>Oportunidades!I109</f>
        <v>0</v>
      </c>
      <c r="G109" s="226">
        <f>'Resposta-Oport'!M111</f>
        <v>0</v>
      </c>
      <c r="H109" s="226"/>
      <c r="I109" s="283">
        <f>'Resposta-Oport'!N111</f>
        <v>0</v>
      </c>
      <c r="J109" s="284"/>
      <c r="K109" s="284"/>
      <c r="L109" s="285"/>
      <c r="M109" s="228">
        <v>0</v>
      </c>
      <c r="N109" s="284"/>
    </row>
    <row r="110" spans="1:14">
      <c r="A110" s="126">
        <f>Oportunidades!A110</f>
        <v>102</v>
      </c>
      <c r="B110" s="282">
        <f>Oportunidades!B110</f>
        <v>0</v>
      </c>
      <c r="C110" s="223">
        <f>Oportunidades!C110</f>
        <v>0</v>
      </c>
      <c r="D110" s="437">
        <f>Oportunidades!D110</f>
        <v>0</v>
      </c>
      <c r="E110" s="438"/>
      <c r="F110" s="225">
        <f>Oportunidades!I110</f>
        <v>0</v>
      </c>
      <c r="G110" s="226">
        <f>'Resposta-Oport'!M112</f>
        <v>0</v>
      </c>
      <c r="H110" s="226"/>
      <c r="I110" s="283">
        <f>'Resposta-Oport'!N112</f>
        <v>0</v>
      </c>
      <c r="J110" s="284"/>
      <c r="K110" s="284"/>
      <c r="L110" s="285"/>
      <c r="M110" s="228">
        <v>0</v>
      </c>
      <c r="N110" s="284"/>
    </row>
    <row r="111" spans="1:14">
      <c r="A111" s="126">
        <f>Oportunidades!A111</f>
        <v>103</v>
      </c>
      <c r="B111" s="282">
        <f>Oportunidades!B111</f>
        <v>0</v>
      </c>
      <c r="C111" s="223">
        <f>Oportunidades!C111</f>
        <v>0</v>
      </c>
      <c r="D111" s="437">
        <f>Oportunidades!D111</f>
        <v>0</v>
      </c>
      <c r="E111" s="438"/>
      <c r="F111" s="225">
        <f>Oportunidades!I111</f>
        <v>0</v>
      </c>
      <c r="G111" s="226">
        <f>'Resposta-Oport'!M113</f>
        <v>0</v>
      </c>
      <c r="H111" s="226"/>
      <c r="I111" s="283">
        <f>'Resposta-Oport'!N113</f>
        <v>0</v>
      </c>
      <c r="J111" s="284"/>
      <c r="K111" s="284"/>
      <c r="L111" s="285"/>
      <c r="M111" s="228">
        <v>0</v>
      </c>
      <c r="N111" s="284"/>
    </row>
    <row r="112" spans="1:14">
      <c r="A112" s="126">
        <f>Oportunidades!A112</f>
        <v>104</v>
      </c>
      <c r="B112" s="282">
        <f>Oportunidades!B112</f>
        <v>0</v>
      </c>
      <c r="C112" s="223">
        <f>Oportunidades!C112</f>
        <v>0</v>
      </c>
      <c r="D112" s="437">
        <f>Oportunidades!D112</f>
        <v>0</v>
      </c>
      <c r="E112" s="438"/>
      <c r="F112" s="225">
        <f>Oportunidades!I112</f>
        <v>0</v>
      </c>
      <c r="G112" s="226">
        <f>'Resposta-Oport'!M114</f>
        <v>0</v>
      </c>
      <c r="H112" s="226"/>
      <c r="I112" s="283">
        <f>'Resposta-Oport'!N114</f>
        <v>0</v>
      </c>
      <c r="J112" s="284"/>
      <c r="K112" s="284"/>
      <c r="L112" s="285"/>
      <c r="M112" s="228">
        <v>0</v>
      </c>
      <c r="N112" s="284"/>
    </row>
    <row r="113" spans="1:14">
      <c r="A113" s="126">
        <f>Oportunidades!A113</f>
        <v>105</v>
      </c>
      <c r="B113" s="282">
        <f>Oportunidades!B113</f>
        <v>0</v>
      </c>
      <c r="C113" s="223">
        <f>Oportunidades!C113</f>
        <v>0</v>
      </c>
      <c r="D113" s="437">
        <f>Oportunidades!D113</f>
        <v>0</v>
      </c>
      <c r="E113" s="438"/>
      <c r="F113" s="225">
        <f>Oportunidades!I113</f>
        <v>0</v>
      </c>
      <c r="G113" s="226">
        <f>'Resposta-Oport'!M115</f>
        <v>0</v>
      </c>
      <c r="H113" s="226"/>
      <c r="I113" s="283">
        <f>'Resposta-Oport'!N115</f>
        <v>0</v>
      </c>
      <c r="J113" s="284"/>
      <c r="K113" s="284"/>
      <c r="L113" s="285"/>
      <c r="M113" s="228">
        <v>0</v>
      </c>
      <c r="N113" s="284"/>
    </row>
    <row r="114" spans="1:14">
      <c r="A114" s="126">
        <f>Oportunidades!A114</f>
        <v>106</v>
      </c>
      <c r="B114" s="282">
        <f>Oportunidades!B114</f>
        <v>0</v>
      </c>
      <c r="C114" s="223">
        <f>Oportunidades!C114</f>
        <v>0</v>
      </c>
      <c r="D114" s="437">
        <f>Oportunidades!D114</f>
        <v>0</v>
      </c>
      <c r="E114" s="438"/>
      <c r="F114" s="225">
        <f>Oportunidades!I114</f>
        <v>0</v>
      </c>
      <c r="G114" s="226">
        <f>'Resposta-Oport'!M116</f>
        <v>0</v>
      </c>
      <c r="H114" s="226"/>
      <c r="I114" s="283">
        <f>'Resposta-Oport'!N116</f>
        <v>0</v>
      </c>
      <c r="J114" s="284"/>
      <c r="K114" s="284"/>
      <c r="L114" s="285"/>
      <c r="M114" s="228">
        <v>0</v>
      </c>
      <c r="N114" s="284"/>
    </row>
    <row r="115" spans="1:14">
      <c r="A115" s="126">
        <f>Oportunidades!A115</f>
        <v>107</v>
      </c>
      <c r="B115" s="282">
        <f>Oportunidades!B115</f>
        <v>0</v>
      </c>
      <c r="C115" s="223">
        <f>Oportunidades!C115</f>
        <v>0</v>
      </c>
      <c r="D115" s="437">
        <f>Oportunidades!D115</f>
        <v>0</v>
      </c>
      <c r="E115" s="438"/>
      <c r="F115" s="225">
        <f>Oportunidades!I115</f>
        <v>0</v>
      </c>
      <c r="G115" s="226">
        <f>'Resposta-Oport'!M117</f>
        <v>0</v>
      </c>
      <c r="H115" s="226"/>
      <c r="I115" s="283">
        <f>'Resposta-Oport'!N117</f>
        <v>0</v>
      </c>
      <c r="J115" s="284"/>
      <c r="K115" s="284"/>
      <c r="L115" s="285"/>
      <c r="M115" s="228">
        <v>0</v>
      </c>
      <c r="N115" s="284"/>
    </row>
    <row r="116" spans="1:14">
      <c r="A116" s="126">
        <f>Oportunidades!A116</f>
        <v>108</v>
      </c>
      <c r="B116" s="282">
        <f>Oportunidades!B116</f>
        <v>0</v>
      </c>
      <c r="C116" s="223">
        <f>Oportunidades!C116</f>
        <v>0</v>
      </c>
      <c r="D116" s="437">
        <f>Oportunidades!D116</f>
        <v>0</v>
      </c>
      <c r="E116" s="438"/>
      <c r="F116" s="225">
        <f>Oportunidades!I116</f>
        <v>0</v>
      </c>
      <c r="G116" s="226">
        <f>'Resposta-Oport'!M118</f>
        <v>0</v>
      </c>
      <c r="H116" s="226"/>
      <c r="I116" s="283">
        <f>'Resposta-Oport'!N118</f>
        <v>0</v>
      </c>
      <c r="J116" s="284"/>
      <c r="K116" s="284"/>
      <c r="L116" s="285"/>
      <c r="M116" s="228">
        <v>0</v>
      </c>
      <c r="N116" s="284"/>
    </row>
    <row r="117" spans="1:14">
      <c r="A117" s="126">
        <f>Oportunidades!A117</f>
        <v>109</v>
      </c>
      <c r="B117" s="282">
        <f>Oportunidades!B117</f>
        <v>0</v>
      </c>
      <c r="C117" s="223">
        <f>Oportunidades!C117</f>
        <v>0</v>
      </c>
      <c r="D117" s="437">
        <f>Oportunidades!D117</f>
        <v>0</v>
      </c>
      <c r="E117" s="438"/>
      <c r="F117" s="225">
        <f>Oportunidades!I117</f>
        <v>0</v>
      </c>
      <c r="G117" s="226">
        <f>'Resposta-Oport'!M119</f>
        <v>0</v>
      </c>
      <c r="H117" s="226"/>
      <c r="I117" s="283">
        <f>'Resposta-Oport'!N119</f>
        <v>0</v>
      </c>
      <c r="J117" s="284"/>
      <c r="K117" s="284"/>
      <c r="L117" s="285"/>
      <c r="M117" s="228">
        <v>0</v>
      </c>
      <c r="N117" s="284"/>
    </row>
    <row r="118" spans="1:14">
      <c r="A118" s="126">
        <f>Oportunidades!A118</f>
        <v>110</v>
      </c>
      <c r="B118" s="282">
        <f>Oportunidades!B118</f>
        <v>0</v>
      </c>
      <c r="C118" s="223">
        <f>Oportunidades!C118</f>
        <v>0</v>
      </c>
      <c r="D118" s="437">
        <f>Oportunidades!D118</f>
        <v>0</v>
      </c>
      <c r="E118" s="438"/>
      <c r="F118" s="225">
        <f>Oportunidades!I118</f>
        <v>0</v>
      </c>
      <c r="G118" s="226">
        <f>'Resposta-Oport'!M120</f>
        <v>0</v>
      </c>
      <c r="H118" s="226"/>
      <c r="I118" s="283">
        <f>'Resposta-Oport'!N120</f>
        <v>0</v>
      </c>
      <c r="J118" s="284"/>
      <c r="K118" s="284"/>
      <c r="L118" s="285"/>
      <c r="M118" s="228">
        <v>0</v>
      </c>
      <c r="N118" s="284"/>
    </row>
    <row r="119" spans="1:14">
      <c r="A119" s="126">
        <f>Oportunidades!A119</f>
        <v>111</v>
      </c>
      <c r="B119" s="282">
        <f>Oportunidades!B119</f>
        <v>0</v>
      </c>
      <c r="C119" s="223">
        <f>Oportunidades!C119</f>
        <v>0</v>
      </c>
      <c r="D119" s="437">
        <f>Oportunidades!D119</f>
        <v>0</v>
      </c>
      <c r="E119" s="438"/>
      <c r="F119" s="225">
        <f>Oportunidades!I119</f>
        <v>0</v>
      </c>
      <c r="G119" s="226">
        <f>'Resposta-Oport'!M121</f>
        <v>0</v>
      </c>
      <c r="H119" s="226"/>
      <c r="I119" s="283">
        <f>'Resposta-Oport'!N121</f>
        <v>0</v>
      </c>
      <c r="J119" s="284"/>
      <c r="K119" s="284"/>
      <c r="L119" s="285"/>
      <c r="M119" s="228">
        <v>0</v>
      </c>
      <c r="N119" s="284"/>
    </row>
    <row r="120" spans="1:14">
      <c r="A120" s="126">
        <f>Oportunidades!A120</f>
        <v>112</v>
      </c>
      <c r="B120" s="282">
        <f>Oportunidades!B120</f>
        <v>0</v>
      </c>
      <c r="C120" s="223">
        <f>Oportunidades!C120</f>
        <v>0</v>
      </c>
      <c r="D120" s="437">
        <f>Oportunidades!D120</f>
        <v>0</v>
      </c>
      <c r="E120" s="438"/>
      <c r="F120" s="225">
        <f>Oportunidades!I120</f>
        <v>0</v>
      </c>
      <c r="G120" s="226">
        <f>'Resposta-Oport'!M122</f>
        <v>0</v>
      </c>
      <c r="H120" s="226"/>
      <c r="I120" s="283">
        <f>'Resposta-Oport'!N122</f>
        <v>0</v>
      </c>
      <c r="J120" s="284"/>
      <c r="K120" s="284"/>
      <c r="L120" s="285"/>
      <c r="M120" s="228">
        <v>0</v>
      </c>
      <c r="N120" s="284"/>
    </row>
    <row r="121" spans="1:14">
      <c r="A121" s="126">
        <f>Oportunidades!A121</f>
        <v>113</v>
      </c>
      <c r="B121" s="282">
        <f>Oportunidades!B121</f>
        <v>0</v>
      </c>
      <c r="C121" s="223">
        <f>Oportunidades!C121</f>
        <v>0</v>
      </c>
      <c r="D121" s="437">
        <f>Oportunidades!D121</f>
        <v>0</v>
      </c>
      <c r="E121" s="438"/>
      <c r="F121" s="225">
        <f>Oportunidades!I121</f>
        <v>0</v>
      </c>
      <c r="G121" s="226">
        <f>'Resposta-Oport'!M123</f>
        <v>0</v>
      </c>
      <c r="H121" s="226"/>
      <c r="I121" s="283">
        <f>'Resposta-Oport'!N123</f>
        <v>0</v>
      </c>
      <c r="J121" s="284"/>
      <c r="K121" s="284"/>
      <c r="L121" s="285"/>
      <c r="M121" s="228">
        <v>0</v>
      </c>
      <c r="N121" s="284"/>
    </row>
    <row r="122" spans="1:14">
      <c r="A122" s="126">
        <f>Oportunidades!A122</f>
        <v>114</v>
      </c>
      <c r="B122" s="282">
        <f>Oportunidades!B122</f>
        <v>0</v>
      </c>
      <c r="C122" s="223">
        <f>Oportunidades!C122</f>
        <v>0</v>
      </c>
      <c r="D122" s="437">
        <f>Oportunidades!D122</f>
        <v>0</v>
      </c>
      <c r="E122" s="438"/>
      <c r="F122" s="225">
        <f>Oportunidades!I122</f>
        <v>0</v>
      </c>
      <c r="G122" s="226">
        <f>'Resposta-Oport'!M124</f>
        <v>0</v>
      </c>
      <c r="H122" s="226"/>
      <c r="I122" s="283">
        <f>'Resposta-Oport'!N124</f>
        <v>0</v>
      </c>
      <c r="J122" s="284"/>
      <c r="K122" s="284"/>
      <c r="L122" s="285"/>
      <c r="M122" s="228">
        <v>0</v>
      </c>
      <c r="N122" s="284"/>
    </row>
    <row r="123" spans="1:14">
      <c r="A123" s="126">
        <f>Oportunidades!A123</f>
        <v>115</v>
      </c>
      <c r="B123" s="282">
        <f>Oportunidades!B123</f>
        <v>0</v>
      </c>
      <c r="C123" s="223">
        <f>Oportunidades!C123</f>
        <v>0</v>
      </c>
      <c r="D123" s="437">
        <f>Oportunidades!D123</f>
        <v>0</v>
      </c>
      <c r="E123" s="438"/>
      <c r="F123" s="225">
        <f>Oportunidades!I123</f>
        <v>0</v>
      </c>
      <c r="G123" s="226">
        <f>'Resposta-Oport'!M125</f>
        <v>0</v>
      </c>
      <c r="H123" s="226"/>
      <c r="I123" s="283">
        <f>'Resposta-Oport'!N125</f>
        <v>0</v>
      </c>
      <c r="J123" s="284"/>
      <c r="K123" s="284"/>
      <c r="L123" s="285"/>
      <c r="M123" s="228">
        <v>0</v>
      </c>
      <c r="N123" s="284"/>
    </row>
    <row r="124" spans="1:14">
      <c r="A124" s="126">
        <f>Oportunidades!A124</f>
        <v>116</v>
      </c>
      <c r="B124" s="282">
        <f>Oportunidades!B124</f>
        <v>0</v>
      </c>
      <c r="C124" s="223">
        <f>Oportunidades!C124</f>
        <v>0</v>
      </c>
      <c r="D124" s="437">
        <f>Oportunidades!D124</f>
        <v>0</v>
      </c>
      <c r="E124" s="438"/>
      <c r="F124" s="225">
        <f>Oportunidades!I124</f>
        <v>0</v>
      </c>
      <c r="G124" s="226">
        <f>'Resposta-Oport'!M126</f>
        <v>0</v>
      </c>
      <c r="H124" s="226"/>
      <c r="I124" s="283">
        <f>'Resposta-Oport'!N126</f>
        <v>0</v>
      </c>
      <c r="J124" s="284"/>
      <c r="K124" s="284"/>
      <c r="L124" s="285"/>
      <c r="M124" s="228">
        <v>0</v>
      </c>
      <c r="N124" s="284"/>
    </row>
    <row r="125" spans="1:14">
      <c r="A125" s="126">
        <f>Oportunidades!A125</f>
        <v>117</v>
      </c>
      <c r="B125" s="282">
        <f>Oportunidades!B125</f>
        <v>0</v>
      </c>
      <c r="C125" s="223">
        <f>Oportunidades!C125</f>
        <v>0</v>
      </c>
      <c r="D125" s="437">
        <f>Oportunidades!D125</f>
        <v>0</v>
      </c>
      <c r="E125" s="438"/>
      <c r="F125" s="225">
        <f>Oportunidades!I125</f>
        <v>0</v>
      </c>
      <c r="G125" s="226">
        <f>'Resposta-Oport'!M127</f>
        <v>0</v>
      </c>
      <c r="H125" s="226"/>
      <c r="I125" s="283">
        <f>'Resposta-Oport'!N127</f>
        <v>0</v>
      </c>
      <c r="J125" s="284"/>
      <c r="K125" s="284"/>
      <c r="L125" s="285"/>
      <c r="M125" s="228">
        <v>0</v>
      </c>
      <c r="N125" s="284"/>
    </row>
    <row r="126" spans="1:14">
      <c r="A126" s="126">
        <f>Oportunidades!A126</f>
        <v>118</v>
      </c>
      <c r="B126" s="282">
        <f>Oportunidades!B126</f>
        <v>0</v>
      </c>
      <c r="C126" s="223">
        <f>Oportunidades!C126</f>
        <v>0</v>
      </c>
      <c r="D126" s="437">
        <f>Oportunidades!D126</f>
        <v>0</v>
      </c>
      <c r="E126" s="438"/>
      <c r="F126" s="225">
        <f>Oportunidades!I126</f>
        <v>0</v>
      </c>
      <c r="G126" s="226">
        <f>'Resposta-Oport'!M128</f>
        <v>0</v>
      </c>
      <c r="H126" s="226"/>
      <c r="I126" s="283">
        <f>'Resposta-Oport'!N128</f>
        <v>0</v>
      </c>
      <c r="J126" s="284"/>
      <c r="K126" s="284"/>
      <c r="L126" s="285"/>
      <c r="M126" s="228">
        <v>0</v>
      </c>
      <c r="N126" s="284"/>
    </row>
    <row r="127" spans="1:14">
      <c r="A127" s="126">
        <f>Oportunidades!A127</f>
        <v>119</v>
      </c>
      <c r="B127" s="282">
        <f>Oportunidades!B127</f>
        <v>0</v>
      </c>
      <c r="C127" s="223">
        <f>Oportunidades!C127</f>
        <v>0</v>
      </c>
      <c r="D127" s="437">
        <f>Oportunidades!D127</f>
        <v>0</v>
      </c>
      <c r="E127" s="438"/>
      <c r="F127" s="225">
        <f>Oportunidades!I127</f>
        <v>0</v>
      </c>
      <c r="G127" s="226">
        <f>'Resposta-Oport'!M129</f>
        <v>0</v>
      </c>
      <c r="H127" s="226"/>
      <c r="I127" s="283">
        <f>'Resposta-Oport'!N129</f>
        <v>0</v>
      </c>
      <c r="J127" s="284"/>
      <c r="K127" s="284"/>
      <c r="L127" s="285"/>
      <c r="M127" s="228">
        <v>0</v>
      </c>
      <c r="N127" s="284"/>
    </row>
    <row r="128" spans="1:14">
      <c r="A128" s="126">
        <f>Oportunidades!A128</f>
        <v>120</v>
      </c>
      <c r="B128" s="282">
        <f>Oportunidades!B128</f>
        <v>0</v>
      </c>
      <c r="C128" s="223">
        <f>Oportunidades!C128</f>
        <v>0</v>
      </c>
      <c r="D128" s="437">
        <f>Oportunidades!D128</f>
        <v>0</v>
      </c>
      <c r="E128" s="438"/>
      <c r="F128" s="225">
        <f>Oportunidades!I128</f>
        <v>0</v>
      </c>
      <c r="G128" s="226">
        <f>'Resposta-Oport'!M130</f>
        <v>0</v>
      </c>
      <c r="H128" s="226"/>
      <c r="I128" s="283">
        <f>'Resposta-Oport'!N130</f>
        <v>0</v>
      </c>
      <c r="J128" s="284"/>
      <c r="K128" s="284"/>
      <c r="L128" s="285"/>
      <c r="M128" s="228">
        <v>0</v>
      </c>
      <c r="N128" s="284"/>
    </row>
    <row r="129" spans="1:14">
      <c r="A129" s="126">
        <f>Oportunidades!A129</f>
        <v>121</v>
      </c>
      <c r="B129" s="282">
        <f>Oportunidades!B129</f>
        <v>0</v>
      </c>
      <c r="C129" s="223">
        <f>Oportunidades!C129</f>
        <v>0</v>
      </c>
      <c r="D129" s="437">
        <f>Oportunidades!D129</f>
        <v>0</v>
      </c>
      <c r="E129" s="438"/>
      <c r="F129" s="225">
        <f>Oportunidades!I129</f>
        <v>0</v>
      </c>
      <c r="G129" s="226">
        <f>'Resposta-Oport'!M131</f>
        <v>0</v>
      </c>
      <c r="H129" s="226"/>
      <c r="I129" s="283">
        <f>'Resposta-Oport'!N131</f>
        <v>0</v>
      </c>
      <c r="J129" s="284"/>
      <c r="K129" s="284"/>
      <c r="L129" s="285"/>
      <c r="M129" s="228">
        <v>0</v>
      </c>
      <c r="N129" s="284"/>
    </row>
    <row r="130" spans="1:14">
      <c r="A130" s="126">
        <f>Oportunidades!A130</f>
        <v>122</v>
      </c>
      <c r="B130" s="282">
        <f>Oportunidades!B130</f>
        <v>0</v>
      </c>
      <c r="C130" s="223">
        <f>Oportunidades!C130</f>
        <v>0</v>
      </c>
      <c r="D130" s="437">
        <f>Oportunidades!D130</f>
        <v>0</v>
      </c>
      <c r="E130" s="438"/>
      <c r="F130" s="225">
        <f>Oportunidades!I130</f>
        <v>0</v>
      </c>
      <c r="G130" s="226">
        <f>'Resposta-Oport'!M132</f>
        <v>0</v>
      </c>
      <c r="H130" s="226"/>
      <c r="I130" s="283">
        <f>'Resposta-Oport'!N132</f>
        <v>0</v>
      </c>
      <c r="J130" s="284"/>
      <c r="K130" s="284"/>
      <c r="L130" s="285"/>
      <c r="M130" s="228">
        <v>0</v>
      </c>
      <c r="N130" s="284"/>
    </row>
    <row r="131" spans="1:14">
      <c r="A131" s="126">
        <f>Oportunidades!A131</f>
        <v>123</v>
      </c>
      <c r="B131" s="282">
        <f>Oportunidades!B131</f>
        <v>0</v>
      </c>
      <c r="C131" s="223">
        <f>Oportunidades!C131</f>
        <v>0</v>
      </c>
      <c r="D131" s="437">
        <f>Oportunidades!D131</f>
        <v>0</v>
      </c>
      <c r="E131" s="438"/>
      <c r="F131" s="225">
        <f>Oportunidades!I131</f>
        <v>0</v>
      </c>
      <c r="G131" s="226">
        <f>'Resposta-Oport'!M133</f>
        <v>0</v>
      </c>
      <c r="H131" s="226"/>
      <c r="I131" s="283">
        <f>'Resposta-Oport'!N133</f>
        <v>0</v>
      </c>
      <c r="J131" s="284"/>
      <c r="K131" s="284"/>
      <c r="L131" s="285"/>
      <c r="M131" s="228">
        <v>0</v>
      </c>
      <c r="N131" s="284"/>
    </row>
    <row r="132" spans="1:14">
      <c r="A132" s="126">
        <f>Oportunidades!A132</f>
        <v>124</v>
      </c>
      <c r="B132" s="282">
        <f>Oportunidades!B132</f>
        <v>0</v>
      </c>
      <c r="C132" s="223">
        <f>Oportunidades!C132</f>
        <v>0</v>
      </c>
      <c r="D132" s="437">
        <f>Oportunidades!D132</f>
        <v>0</v>
      </c>
      <c r="E132" s="438"/>
      <c r="F132" s="225">
        <f>Oportunidades!I132</f>
        <v>0</v>
      </c>
      <c r="G132" s="226">
        <f>'Resposta-Oport'!M134</f>
        <v>0</v>
      </c>
      <c r="H132" s="226"/>
      <c r="I132" s="283">
        <f>'Resposta-Oport'!N134</f>
        <v>0</v>
      </c>
      <c r="J132" s="284"/>
      <c r="K132" s="284"/>
      <c r="L132" s="285"/>
      <c r="M132" s="228">
        <v>0</v>
      </c>
      <c r="N132" s="284"/>
    </row>
    <row r="133" spans="1:14">
      <c r="A133" s="126">
        <f>Oportunidades!A133</f>
        <v>125</v>
      </c>
      <c r="B133" s="282">
        <f>Oportunidades!B133</f>
        <v>0</v>
      </c>
      <c r="C133" s="223">
        <f>Oportunidades!C133</f>
        <v>0</v>
      </c>
      <c r="D133" s="437">
        <f>Oportunidades!D133</f>
        <v>0</v>
      </c>
      <c r="E133" s="438"/>
      <c r="F133" s="225">
        <f>Oportunidades!I133</f>
        <v>0</v>
      </c>
      <c r="G133" s="226">
        <f>'Resposta-Oport'!M135</f>
        <v>0</v>
      </c>
      <c r="H133" s="226"/>
      <c r="I133" s="283">
        <f>'Resposta-Oport'!N135</f>
        <v>0</v>
      </c>
      <c r="J133" s="284"/>
      <c r="K133" s="284"/>
      <c r="L133" s="285"/>
      <c r="M133" s="228">
        <v>0</v>
      </c>
      <c r="N133" s="284"/>
    </row>
    <row r="134" spans="1:14">
      <c r="A134" s="126">
        <f>Oportunidades!A134</f>
        <v>126</v>
      </c>
      <c r="B134" s="282">
        <f>Oportunidades!B134</f>
        <v>0</v>
      </c>
      <c r="C134" s="223">
        <f>Oportunidades!C134</f>
        <v>0</v>
      </c>
      <c r="D134" s="437">
        <f>Oportunidades!D134</f>
        <v>0</v>
      </c>
      <c r="E134" s="438"/>
      <c r="F134" s="225">
        <f>Oportunidades!I134</f>
        <v>0</v>
      </c>
      <c r="G134" s="226">
        <f>'Resposta-Oport'!M136</f>
        <v>0</v>
      </c>
      <c r="H134" s="226"/>
      <c r="I134" s="283">
        <f>'Resposta-Oport'!N136</f>
        <v>0</v>
      </c>
      <c r="J134" s="284"/>
      <c r="K134" s="284"/>
      <c r="L134" s="285"/>
      <c r="M134" s="228">
        <v>0</v>
      </c>
      <c r="N134" s="284"/>
    </row>
    <row r="135" spans="1:14">
      <c r="A135" s="126">
        <f>Oportunidades!A135</f>
        <v>127</v>
      </c>
      <c r="B135" s="282">
        <f>Oportunidades!B135</f>
        <v>0</v>
      </c>
      <c r="C135" s="223">
        <f>Oportunidades!C135</f>
        <v>0</v>
      </c>
      <c r="D135" s="437">
        <f>Oportunidades!D135</f>
        <v>0</v>
      </c>
      <c r="E135" s="438"/>
      <c r="F135" s="225">
        <f>Oportunidades!I135</f>
        <v>0</v>
      </c>
      <c r="G135" s="226">
        <f>'Resposta-Oport'!M137</f>
        <v>0</v>
      </c>
      <c r="H135" s="226"/>
      <c r="I135" s="283">
        <f>'Resposta-Oport'!N137</f>
        <v>0</v>
      </c>
      <c r="J135" s="284"/>
      <c r="K135" s="284"/>
      <c r="L135" s="285"/>
      <c r="M135" s="228">
        <v>0</v>
      </c>
      <c r="N135" s="284"/>
    </row>
    <row r="136" spans="1:14">
      <c r="A136" s="126">
        <f>Oportunidades!A136</f>
        <v>128</v>
      </c>
      <c r="B136" s="282">
        <f>Oportunidades!B136</f>
        <v>0</v>
      </c>
      <c r="C136" s="223">
        <f>Oportunidades!C136</f>
        <v>0</v>
      </c>
      <c r="D136" s="437">
        <f>Oportunidades!D136</f>
        <v>0</v>
      </c>
      <c r="E136" s="438"/>
      <c r="F136" s="225">
        <f>Oportunidades!I136</f>
        <v>0</v>
      </c>
      <c r="G136" s="226">
        <f>'Resposta-Oport'!M138</f>
        <v>0</v>
      </c>
      <c r="H136" s="226"/>
      <c r="I136" s="283">
        <f>'Resposta-Oport'!N138</f>
        <v>0</v>
      </c>
      <c r="J136" s="284"/>
      <c r="K136" s="284"/>
      <c r="L136" s="285"/>
      <c r="M136" s="228">
        <v>0</v>
      </c>
      <c r="N136" s="284"/>
    </row>
    <row r="137" spans="1:14">
      <c r="A137" s="126">
        <f>Oportunidades!A137</f>
        <v>129</v>
      </c>
      <c r="B137" s="282">
        <f>Oportunidades!B137</f>
        <v>0</v>
      </c>
      <c r="C137" s="223">
        <f>Oportunidades!C137</f>
        <v>0</v>
      </c>
      <c r="D137" s="437">
        <f>Oportunidades!D137</f>
        <v>0</v>
      </c>
      <c r="E137" s="438"/>
      <c r="F137" s="225">
        <f>Oportunidades!I137</f>
        <v>0</v>
      </c>
      <c r="G137" s="226">
        <f>'Resposta-Oport'!M139</f>
        <v>0</v>
      </c>
      <c r="H137" s="226"/>
      <c r="I137" s="283">
        <f>'Resposta-Oport'!N139</f>
        <v>0</v>
      </c>
      <c r="J137" s="284"/>
      <c r="K137" s="284"/>
      <c r="L137" s="285"/>
      <c r="M137" s="228">
        <v>0</v>
      </c>
      <c r="N137" s="284"/>
    </row>
    <row r="138" spans="1:14">
      <c r="A138" s="126">
        <f>Oportunidades!A138</f>
        <v>130</v>
      </c>
      <c r="B138" s="282">
        <f>Oportunidades!B138</f>
        <v>0</v>
      </c>
      <c r="C138" s="223">
        <f>Oportunidades!C138</f>
        <v>0</v>
      </c>
      <c r="D138" s="437">
        <f>Oportunidades!D138</f>
        <v>0</v>
      </c>
      <c r="E138" s="438"/>
      <c r="F138" s="225">
        <f>Oportunidades!I138</f>
        <v>0</v>
      </c>
      <c r="G138" s="226">
        <f>'Resposta-Oport'!M140</f>
        <v>0</v>
      </c>
      <c r="H138" s="226"/>
      <c r="I138" s="283">
        <f>'Resposta-Oport'!N140</f>
        <v>0</v>
      </c>
      <c r="J138" s="284"/>
      <c r="K138" s="284"/>
      <c r="L138" s="285"/>
      <c r="M138" s="228">
        <v>0</v>
      </c>
      <c r="N138" s="284"/>
    </row>
    <row r="139" spans="1:14">
      <c r="A139" s="126">
        <f>Oportunidades!A139</f>
        <v>131</v>
      </c>
      <c r="B139" s="282">
        <f>Oportunidades!B139</f>
        <v>0</v>
      </c>
      <c r="C139" s="223">
        <f>Oportunidades!C139</f>
        <v>0</v>
      </c>
      <c r="D139" s="437">
        <f>Oportunidades!D139</f>
        <v>0</v>
      </c>
      <c r="E139" s="438"/>
      <c r="F139" s="225">
        <f>Oportunidades!I139</f>
        <v>0</v>
      </c>
      <c r="G139" s="226">
        <f>'Resposta-Oport'!M141</f>
        <v>0</v>
      </c>
      <c r="H139" s="226"/>
      <c r="I139" s="283">
        <f>'Resposta-Oport'!N141</f>
        <v>0</v>
      </c>
      <c r="J139" s="284"/>
      <c r="K139" s="284"/>
      <c r="L139" s="285"/>
      <c r="M139" s="228">
        <v>0</v>
      </c>
      <c r="N139" s="284"/>
    </row>
    <row r="140" spans="1:14">
      <c r="A140" s="126">
        <f>Oportunidades!A140</f>
        <v>132</v>
      </c>
      <c r="B140" s="282">
        <f>Oportunidades!B140</f>
        <v>0</v>
      </c>
      <c r="C140" s="223">
        <f>Oportunidades!C140</f>
        <v>0</v>
      </c>
      <c r="D140" s="437">
        <f>Oportunidades!D140</f>
        <v>0</v>
      </c>
      <c r="E140" s="438"/>
      <c r="F140" s="225">
        <f>Oportunidades!I140</f>
        <v>0</v>
      </c>
      <c r="G140" s="226">
        <f>'Resposta-Oport'!M142</f>
        <v>0</v>
      </c>
      <c r="H140" s="226"/>
      <c r="I140" s="283">
        <f>'Resposta-Oport'!N142</f>
        <v>0</v>
      </c>
      <c r="J140" s="284"/>
      <c r="K140" s="284"/>
      <c r="L140" s="285"/>
      <c r="M140" s="228">
        <v>0</v>
      </c>
      <c r="N140" s="284"/>
    </row>
    <row r="141" spans="1:14">
      <c r="A141" s="126">
        <f>Oportunidades!A141</f>
        <v>133</v>
      </c>
      <c r="B141" s="282">
        <f>Oportunidades!B141</f>
        <v>0</v>
      </c>
      <c r="C141" s="223">
        <f>Oportunidades!C141</f>
        <v>0</v>
      </c>
      <c r="D141" s="437">
        <f>Oportunidades!D141</f>
        <v>0</v>
      </c>
      <c r="E141" s="438"/>
      <c r="F141" s="225">
        <f>Oportunidades!I141</f>
        <v>0</v>
      </c>
      <c r="G141" s="226">
        <f>'Resposta-Oport'!M143</f>
        <v>0</v>
      </c>
      <c r="H141" s="226"/>
      <c r="I141" s="283">
        <f>'Resposta-Oport'!N143</f>
        <v>0</v>
      </c>
      <c r="J141" s="284"/>
      <c r="K141" s="284"/>
      <c r="L141" s="285"/>
      <c r="M141" s="228">
        <v>0</v>
      </c>
      <c r="N141" s="284"/>
    </row>
    <row r="142" spans="1:14">
      <c r="A142" s="126">
        <f>Oportunidades!A142</f>
        <v>134</v>
      </c>
      <c r="B142" s="282">
        <f>Oportunidades!B142</f>
        <v>0</v>
      </c>
      <c r="C142" s="223">
        <f>Oportunidades!C142</f>
        <v>0</v>
      </c>
      <c r="D142" s="437">
        <f>Oportunidades!D142</f>
        <v>0</v>
      </c>
      <c r="E142" s="438"/>
      <c r="F142" s="225">
        <f>Oportunidades!I142</f>
        <v>0</v>
      </c>
      <c r="G142" s="226">
        <f>'Resposta-Oport'!M144</f>
        <v>0</v>
      </c>
      <c r="H142" s="226"/>
      <c r="I142" s="283">
        <f>'Resposta-Oport'!N144</f>
        <v>0</v>
      </c>
      <c r="J142" s="284"/>
      <c r="K142" s="284"/>
      <c r="L142" s="285"/>
      <c r="M142" s="228">
        <v>0</v>
      </c>
      <c r="N142" s="284"/>
    </row>
    <row r="143" spans="1:14">
      <c r="A143" s="126">
        <f>Oportunidades!A143</f>
        <v>135</v>
      </c>
      <c r="B143" s="282">
        <f>Oportunidades!B143</f>
        <v>0</v>
      </c>
      <c r="C143" s="223">
        <f>Oportunidades!C143</f>
        <v>0</v>
      </c>
      <c r="D143" s="437">
        <f>Oportunidades!D143</f>
        <v>0</v>
      </c>
      <c r="E143" s="438"/>
      <c r="F143" s="225">
        <f>Oportunidades!I143</f>
        <v>0</v>
      </c>
      <c r="G143" s="226">
        <f>'Resposta-Oport'!M145</f>
        <v>0</v>
      </c>
      <c r="H143" s="226"/>
      <c r="I143" s="283">
        <f>'Resposta-Oport'!N145</f>
        <v>0</v>
      </c>
      <c r="J143" s="284"/>
      <c r="K143" s="284"/>
      <c r="L143" s="285"/>
      <c r="M143" s="228">
        <v>0</v>
      </c>
      <c r="N143" s="284"/>
    </row>
    <row r="144" spans="1:14">
      <c r="A144" s="126">
        <f>Oportunidades!A144</f>
        <v>136</v>
      </c>
      <c r="B144" s="282">
        <f>Oportunidades!B144</f>
        <v>0</v>
      </c>
      <c r="C144" s="223">
        <f>Oportunidades!C144</f>
        <v>0</v>
      </c>
      <c r="D144" s="437">
        <f>Oportunidades!D144</f>
        <v>0</v>
      </c>
      <c r="E144" s="438"/>
      <c r="F144" s="225">
        <f>Oportunidades!I144</f>
        <v>0</v>
      </c>
      <c r="G144" s="226">
        <f>'Resposta-Oport'!M146</f>
        <v>0</v>
      </c>
      <c r="H144" s="226"/>
      <c r="I144" s="283">
        <f>'Resposta-Oport'!N146</f>
        <v>0</v>
      </c>
      <c r="J144" s="284"/>
      <c r="K144" s="284"/>
      <c r="L144" s="285"/>
      <c r="M144" s="228">
        <v>0</v>
      </c>
      <c r="N144" s="284"/>
    </row>
    <row r="145" spans="1:14">
      <c r="A145" s="126">
        <f>Oportunidades!A145</f>
        <v>137</v>
      </c>
      <c r="B145" s="282">
        <f>Oportunidades!B145</f>
        <v>0</v>
      </c>
      <c r="C145" s="223">
        <f>Oportunidades!C145</f>
        <v>0</v>
      </c>
      <c r="D145" s="437">
        <f>Oportunidades!D145</f>
        <v>0</v>
      </c>
      <c r="E145" s="438"/>
      <c r="F145" s="225">
        <f>Oportunidades!I145</f>
        <v>0</v>
      </c>
      <c r="G145" s="226">
        <f>'Resposta-Oport'!M147</f>
        <v>0</v>
      </c>
      <c r="H145" s="226"/>
      <c r="I145" s="283">
        <f>'Resposta-Oport'!N147</f>
        <v>0</v>
      </c>
      <c r="J145" s="284"/>
      <c r="K145" s="284"/>
      <c r="L145" s="285"/>
      <c r="M145" s="228">
        <v>0</v>
      </c>
      <c r="N145" s="284"/>
    </row>
    <row r="146" spans="1:14">
      <c r="A146" s="126">
        <f>Oportunidades!A146</f>
        <v>138</v>
      </c>
      <c r="B146" s="282">
        <f>Oportunidades!B146</f>
        <v>0</v>
      </c>
      <c r="C146" s="223">
        <f>Oportunidades!C146</f>
        <v>0</v>
      </c>
      <c r="D146" s="437">
        <f>Oportunidades!D146</f>
        <v>0</v>
      </c>
      <c r="E146" s="438"/>
      <c r="F146" s="225">
        <f>Oportunidades!I146</f>
        <v>0</v>
      </c>
      <c r="G146" s="226">
        <f>'Resposta-Oport'!M148</f>
        <v>0</v>
      </c>
      <c r="H146" s="226"/>
      <c r="I146" s="283">
        <f>'Resposta-Oport'!N148</f>
        <v>0</v>
      </c>
      <c r="J146" s="284"/>
      <c r="K146" s="284"/>
      <c r="L146" s="285"/>
      <c r="M146" s="228">
        <v>0</v>
      </c>
      <c r="N146" s="284"/>
    </row>
    <row r="147" spans="1:14">
      <c r="A147" s="126">
        <f>Oportunidades!A147</f>
        <v>139</v>
      </c>
      <c r="B147" s="282">
        <f>Oportunidades!B147</f>
        <v>0</v>
      </c>
      <c r="C147" s="223">
        <f>Oportunidades!C147</f>
        <v>0</v>
      </c>
      <c r="D147" s="437">
        <f>Oportunidades!D147</f>
        <v>0</v>
      </c>
      <c r="E147" s="438"/>
      <c r="F147" s="225">
        <f>Oportunidades!I147</f>
        <v>0</v>
      </c>
      <c r="G147" s="226">
        <f>'Resposta-Oport'!M149</f>
        <v>0</v>
      </c>
      <c r="H147" s="226"/>
      <c r="I147" s="283">
        <f>'Resposta-Oport'!N149</f>
        <v>0</v>
      </c>
      <c r="J147" s="284"/>
      <c r="K147" s="284"/>
      <c r="L147" s="285"/>
      <c r="M147" s="228">
        <v>0</v>
      </c>
      <c r="N147" s="284"/>
    </row>
    <row r="148" spans="1:14">
      <c r="A148" s="126">
        <f>Oportunidades!A148</f>
        <v>140</v>
      </c>
      <c r="B148" s="282">
        <f>Oportunidades!B148</f>
        <v>0</v>
      </c>
      <c r="C148" s="223">
        <f>Oportunidades!C148</f>
        <v>0</v>
      </c>
      <c r="D148" s="437">
        <f>Oportunidades!D148</f>
        <v>0</v>
      </c>
      <c r="E148" s="438"/>
      <c r="F148" s="225">
        <f>Oportunidades!I148</f>
        <v>0</v>
      </c>
      <c r="G148" s="226">
        <f>'Resposta-Oport'!M150</f>
        <v>0</v>
      </c>
      <c r="H148" s="226"/>
      <c r="I148" s="283">
        <f>'Resposta-Oport'!N150</f>
        <v>0</v>
      </c>
      <c r="J148" s="284"/>
      <c r="K148" s="284"/>
      <c r="L148" s="285"/>
      <c r="M148" s="228">
        <v>0</v>
      </c>
      <c r="N148" s="284"/>
    </row>
    <row r="149" spans="1:14">
      <c r="A149" s="126">
        <f>Oportunidades!A149</f>
        <v>141</v>
      </c>
      <c r="B149" s="282">
        <f>Oportunidades!B149</f>
        <v>0</v>
      </c>
      <c r="C149" s="223">
        <f>Oportunidades!C149</f>
        <v>0</v>
      </c>
      <c r="D149" s="437">
        <f>Oportunidades!D149</f>
        <v>0</v>
      </c>
      <c r="E149" s="438"/>
      <c r="F149" s="225">
        <f>Oportunidades!I149</f>
        <v>0</v>
      </c>
      <c r="G149" s="226">
        <f>'Resposta-Oport'!M151</f>
        <v>0</v>
      </c>
      <c r="H149" s="226"/>
      <c r="I149" s="283">
        <f>'Resposta-Oport'!N151</f>
        <v>0</v>
      </c>
      <c r="J149" s="284"/>
      <c r="K149" s="284"/>
      <c r="L149" s="285"/>
      <c r="M149" s="228">
        <v>0</v>
      </c>
      <c r="N149" s="284"/>
    </row>
    <row r="150" spans="1:14">
      <c r="A150" s="126">
        <f>Oportunidades!A150</f>
        <v>142</v>
      </c>
      <c r="B150" s="282">
        <f>Oportunidades!B150</f>
        <v>0</v>
      </c>
      <c r="C150" s="223">
        <f>Oportunidades!C150</f>
        <v>0</v>
      </c>
      <c r="D150" s="437">
        <f>Oportunidades!D150</f>
        <v>0</v>
      </c>
      <c r="E150" s="438"/>
      <c r="F150" s="225">
        <f>Oportunidades!I150</f>
        <v>0</v>
      </c>
      <c r="G150" s="226">
        <f>'Resposta-Oport'!M152</f>
        <v>0</v>
      </c>
      <c r="H150" s="226"/>
      <c r="I150" s="283">
        <f>'Resposta-Oport'!N152</f>
        <v>0</v>
      </c>
      <c r="J150" s="284"/>
      <c r="K150" s="284"/>
      <c r="L150" s="285"/>
      <c r="M150" s="228">
        <v>0</v>
      </c>
      <c r="N150" s="284"/>
    </row>
    <row r="151" spans="1:14">
      <c r="A151" s="126">
        <f>Oportunidades!A151</f>
        <v>143</v>
      </c>
      <c r="B151" s="282">
        <f>Oportunidades!B151</f>
        <v>0</v>
      </c>
      <c r="C151" s="223">
        <f>Oportunidades!C151</f>
        <v>0</v>
      </c>
      <c r="D151" s="437">
        <f>Oportunidades!D151</f>
        <v>0</v>
      </c>
      <c r="E151" s="438"/>
      <c r="F151" s="225">
        <f>Oportunidades!I151</f>
        <v>0</v>
      </c>
      <c r="G151" s="226">
        <f>'Resposta-Oport'!M153</f>
        <v>0</v>
      </c>
      <c r="H151" s="226"/>
      <c r="I151" s="283">
        <f>'Resposta-Oport'!N153</f>
        <v>0</v>
      </c>
      <c r="J151" s="284"/>
      <c r="K151" s="284"/>
      <c r="L151" s="285"/>
      <c r="M151" s="228">
        <v>0</v>
      </c>
      <c r="N151" s="284"/>
    </row>
    <row r="152" spans="1:14">
      <c r="A152" s="126">
        <f>Oportunidades!A152</f>
        <v>144</v>
      </c>
      <c r="B152" s="282">
        <f>Oportunidades!B152</f>
        <v>0</v>
      </c>
      <c r="C152" s="223">
        <f>Oportunidades!C152</f>
        <v>0</v>
      </c>
      <c r="D152" s="437">
        <f>Oportunidades!D152</f>
        <v>0</v>
      </c>
      <c r="E152" s="438"/>
      <c r="F152" s="225">
        <f>Oportunidades!I152</f>
        <v>0</v>
      </c>
      <c r="G152" s="226">
        <f>'Resposta-Oport'!M154</f>
        <v>0</v>
      </c>
      <c r="H152" s="226"/>
      <c r="I152" s="283">
        <f>'Resposta-Oport'!N154</f>
        <v>0</v>
      </c>
      <c r="J152" s="284"/>
      <c r="K152" s="284"/>
      <c r="L152" s="285"/>
      <c r="M152" s="228">
        <v>0</v>
      </c>
      <c r="N152" s="284"/>
    </row>
    <row r="153" spans="1:14">
      <c r="A153" s="126">
        <f>Oportunidades!A153</f>
        <v>145</v>
      </c>
      <c r="B153" s="282">
        <f>Oportunidades!B153</f>
        <v>0</v>
      </c>
      <c r="C153" s="223">
        <f>Oportunidades!C153</f>
        <v>0</v>
      </c>
      <c r="D153" s="437">
        <f>Oportunidades!D153</f>
        <v>0</v>
      </c>
      <c r="E153" s="438"/>
      <c r="F153" s="225">
        <f>Oportunidades!I153</f>
        <v>0</v>
      </c>
      <c r="G153" s="226">
        <f>'Resposta-Oport'!M155</f>
        <v>0</v>
      </c>
      <c r="H153" s="226"/>
      <c r="I153" s="283">
        <f>'Resposta-Oport'!N155</f>
        <v>0</v>
      </c>
      <c r="J153" s="284"/>
      <c r="K153" s="284"/>
      <c r="L153" s="285"/>
      <c r="M153" s="228">
        <v>0</v>
      </c>
      <c r="N153" s="284"/>
    </row>
    <row r="154" spans="1:14">
      <c r="A154" s="126">
        <f>Oportunidades!A154</f>
        <v>146</v>
      </c>
      <c r="B154" s="282">
        <f>Oportunidades!B154</f>
        <v>0</v>
      </c>
      <c r="C154" s="223">
        <f>Oportunidades!C154</f>
        <v>0</v>
      </c>
      <c r="D154" s="437">
        <f>Oportunidades!D154</f>
        <v>0</v>
      </c>
      <c r="E154" s="438"/>
      <c r="F154" s="225">
        <f>Oportunidades!I154</f>
        <v>0</v>
      </c>
      <c r="G154" s="226">
        <f>'Resposta-Oport'!M156</f>
        <v>0</v>
      </c>
      <c r="H154" s="226"/>
      <c r="I154" s="283">
        <f>'Resposta-Oport'!N156</f>
        <v>0</v>
      </c>
      <c r="J154" s="284"/>
      <c r="K154" s="284"/>
      <c r="L154" s="285"/>
      <c r="M154" s="228">
        <v>0</v>
      </c>
      <c r="N154" s="284"/>
    </row>
    <row r="155" spans="1:14">
      <c r="A155" s="126">
        <f>Oportunidades!A155</f>
        <v>147</v>
      </c>
      <c r="B155" s="282">
        <f>Oportunidades!B155</f>
        <v>0</v>
      </c>
      <c r="C155" s="223">
        <f>Oportunidades!C155</f>
        <v>0</v>
      </c>
      <c r="D155" s="437">
        <f>Oportunidades!D155</f>
        <v>0</v>
      </c>
      <c r="E155" s="438"/>
      <c r="F155" s="225">
        <f>Oportunidades!I155</f>
        <v>0</v>
      </c>
      <c r="G155" s="226">
        <f>'Resposta-Oport'!M157</f>
        <v>0</v>
      </c>
      <c r="H155" s="226"/>
      <c r="I155" s="283">
        <f>'Resposta-Oport'!N157</f>
        <v>0</v>
      </c>
      <c r="J155" s="284"/>
      <c r="K155" s="284"/>
      <c r="L155" s="285"/>
      <c r="M155" s="228">
        <v>0</v>
      </c>
      <c r="N155" s="284"/>
    </row>
    <row r="156" spans="1:14">
      <c r="A156" s="126">
        <f>Oportunidades!A156</f>
        <v>148</v>
      </c>
      <c r="B156" s="282">
        <f>Oportunidades!B156</f>
        <v>0</v>
      </c>
      <c r="C156" s="223">
        <f>Oportunidades!C156</f>
        <v>0</v>
      </c>
      <c r="D156" s="437">
        <f>Oportunidades!D156</f>
        <v>0</v>
      </c>
      <c r="E156" s="438"/>
      <c r="F156" s="225">
        <f>Oportunidades!I156</f>
        <v>0</v>
      </c>
      <c r="G156" s="226">
        <f>'Resposta-Oport'!M158</f>
        <v>0</v>
      </c>
      <c r="H156" s="226"/>
      <c r="I156" s="283">
        <f>'Resposta-Oport'!N158</f>
        <v>0</v>
      </c>
      <c r="J156" s="284"/>
      <c r="K156" s="284"/>
      <c r="L156" s="285"/>
      <c r="M156" s="228">
        <v>0</v>
      </c>
      <c r="N156" s="284"/>
    </row>
    <row r="157" spans="1:14">
      <c r="A157" s="126">
        <f>Oportunidades!A157</f>
        <v>149</v>
      </c>
      <c r="B157" s="282">
        <f>Oportunidades!B157</f>
        <v>0</v>
      </c>
      <c r="C157" s="223">
        <f>Oportunidades!C157</f>
        <v>0</v>
      </c>
      <c r="D157" s="437">
        <f>Oportunidades!D157</f>
        <v>0</v>
      </c>
      <c r="E157" s="438"/>
      <c r="F157" s="225">
        <f>Oportunidades!I157</f>
        <v>0</v>
      </c>
      <c r="G157" s="226">
        <f>'Resposta-Oport'!M159</f>
        <v>0</v>
      </c>
      <c r="H157" s="226"/>
      <c r="I157" s="283">
        <f>'Resposta-Oport'!N159</f>
        <v>0</v>
      </c>
      <c r="J157" s="284"/>
      <c r="K157" s="284"/>
      <c r="L157" s="285"/>
      <c r="M157" s="228">
        <v>0</v>
      </c>
      <c r="N157" s="284"/>
    </row>
    <row r="158" spans="1:14">
      <c r="A158" s="126">
        <f>Oportunidades!A158</f>
        <v>150</v>
      </c>
      <c r="B158" s="282">
        <f>Oportunidades!B158</f>
        <v>0</v>
      </c>
      <c r="C158" s="223">
        <f>Oportunidades!C158</f>
        <v>0</v>
      </c>
      <c r="D158" s="437">
        <f>Oportunidades!D158</f>
        <v>0</v>
      </c>
      <c r="E158" s="438"/>
      <c r="F158" s="225">
        <f>Oportunidades!I158</f>
        <v>0</v>
      </c>
      <c r="G158" s="226">
        <f>'Resposta-Oport'!M160</f>
        <v>0</v>
      </c>
      <c r="H158" s="226"/>
      <c r="I158" s="283">
        <f>'Resposta-Oport'!N160</f>
        <v>0</v>
      </c>
      <c r="J158" s="284"/>
      <c r="K158" s="284"/>
      <c r="L158" s="285"/>
      <c r="M158" s="228">
        <v>0</v>
      </c>
      <c r="N158" s="284"/>
    </row>
    <row r="159" spans="1:14">
      <c r="A159" s="126">
        <f>Oportunidades!A159</f>
        <v>151</v>
      </c>
      <c r="B159" s="282">
        <f>Oportunidades!B159</f>
        <v>0</v>
      </c>
      <c r="C159" s="223">
        <f>Oportunidades!C159</f>
        <v>0</v>
      </c>
      <c r="D159" s="437">
        <f>Oportunidades!D159</f>
        <v>0</v>
      </c>
      <c r="E159" s="438"/>
      <c r="F159" s="225">
        <f>Oportunidades!I159</f>
        <v>0</v>
      </c>
      <c r="G159" s="226">
        <f>'Resposta-Oport'!M161</f>
        <v>0</v>
      </c>
      <c r="H159" s="226"/>
      <c r="I159" s="283">
        <f>'Resposta-Oport'!N161</f>
        <v>0</v>
      </c>
      <c r="J159" s="284"/>
      <c r="K159" s="284"/>
      <c r="L159" s="285"/>
      <c r="M159" s="228">
        <v>0</v>
      </c>
      <c r="N159" s="284"/>
    </row>
    <row r="160" spans="1:14">
      <c r="A160" s="126">
        <f>Oportunidades!A160</f>
        <v>152</v>
      </c>
      <c r="B160" s="282">
        <f>Oportunidades!B160</f>
        <v>0</v>
      </c>
      <c r="C160" s="223">
        <f>Oportunidades!C160</f>
        <v>0</v>
      </c>
      <c r="D160" s="437">
        <f>Oportunidades!D160</f>
        <v>0</v>
      </c>
      <c r="E160" s="438"/>
      <c r="F160" s="225">
        <f>Oportunidades!I160</f>
        <v>0</v>
      </c>
      <c r="G160" s="226">
        <f>'Resposta-Oport'!M162</f>
        <v>0</v>
      </c>
      <c r="H160" s="226"/>
      <c r="I160" s="283">
        <f>'Resposta-Oport'!N162</f>
        <v>0</v>
      </c>
      <c r="J160" s="284"/>
      <c r="K160" s="284"/>
      <c r="L160" s="285"/>
      <c r="M160" s="228">
        <v>0</v>
      </c>
      <c r="N160" s="284"/>
    </row>
    <row r="161" spans="1:14">
      <c r="A161" s="126">
        <f>Oportunidades!A161</f>
        <v>153</v>
      </c>
      <c r="B161" s="282">
        <f>Oportunidades!B161</f>
        <v>0</v>
      </c>
      <c r="C161" s="223">
        <f>Oportunidades!C161</f>
        <v>0</v>
      </c>
      <c r="D161" s="437">
        <f>Oportunidades!D161</f>
        <v>0</v>
      </c>
      <c r="E161" s="438"/>
      <c r="F161" s="225">
        <f>Oportunidades!I161</f>
        <v>0</v>
      </c>
      <c r="G161" s="226">
        <f>'Resposta-Oport'!M163</f>
        <v>0</v>
      </c>
      <c r="H161" s="226"/>
      <c r="I161" s="283">
        <f>'Resposta-Oport'!N163</f>
        <v>0</v>
      </c>
      <c r="J161" s="284"/>
      <c r="K161" s="284"/>
      <c r="L161" s="285"/>
      <c r="M161" s="228">
        <v>0</v>
      </c>
      <c r="N161" s="284"/>
    </row>
    <row r="162" spans="1:14">
      <c r="A162" s="126">
        <f>Oportunidades!A162</f>
        <v>154</v>
      </c>
      <c r="B162" s="282">
        <f>Oportunidades!B162</f>
        <v>0</v>
      </c>
      <c r="C162" s="223">
        <f>Oportunidades!C162</f>
        <v>0</v>
      </c>
      <c r="D162" s="437">
        <f>Oportunidades!D162</f>
        <v>0</v>
      </c>
      <c r="E162" s="438"/>
      <c r="F162" s="225">
        <f>Oportunidades!I162</f>
        <v>0</v>
      </c>
      <c r="G162" s="226">
        <f>'Resposta-Oport'!M164</f>
        <v>0</v>
      </c>
      <c r="H162" s="226"/>
      <c r="I162" s="283">
        <f>'Resposta-Oport'!N164</f>
        <v>0</v>
      </c>
      <c r="J162" s="284"/>
      <c r="K162" s="284"/>
      <c r="L162" s="285"/>
      <c r="M162" s="228">
        <v>0</v>
      </c>
      <c r="N162" s="284"/>
    </row>
    <row r="163" spans="1:14">
      <c r="A163" s="126">
        <f>Oportunidades!A163</f>
        <v>155</v>
      </c>
      <c r="B163" s="282">
        <f>Oportunidades!B163</f>
        <v>0</v>
      </c>
      <c r="C163" s="223">
        <f>Oportunidades!C163</f>
        <v>0</v>
      </c>
      <c r="D163" s="437">
        <f>Oportunidades!D163</f>
        <v>0</v>
      </c>
      <c r="E163" s="438"/>
      <c r="F163" s="225">
        <f>Oportunidades!I163</f>
        <v>0</v>
      </c>
      <c r="G163" s="226">
        <f>'Resposta-Oport'!M165</f>
        <v>0</v>
      </c>
      <c r="H163" s="226"/>
      <c r="I163" s="283">
        <f>'Resposta-Oport'!N165</f>
        <v>0</v>
      </c>
      <c r="J163" s="284"/>
      <c r="K163" s="284"/>
      <c r="L163" s="285"/>
      <c r="M163" s="228">
        <v>0</v>
      </c>
      <c r="N163" s="284"/>
    </row>
    <row r="164" spans="1:14">
      <c r="A164" s="126">
        <f>Oportunidades!A164</f>
        <v>156</v>
      </c>
      <c r="B164" s="282">
        <f>Oportunidades!B164</f>
        <v>0</v>
      </c>
      <c r="C164" s="223">
        <f>Oportunidades!C164</f>
        <v>0</v>
      </c>
      <c r="D164" s="437">
        <f>Oportunidades!D164</f>
        <v>0</v>
      </c>
      <c r="E164" s="438"/>
      <c r="F164" s="225">
        <f>Oportunidades!I164</f>
        <v>0</v>
      </c>
      <c r="G164" s="226">
        <f>'Resposta-Oport'!M166</f>
        <v>0</v>
      </c>
      <c r="H164" s="226"/>
      <c r="I164" s="283">
        <f>'Resposta-Oport'!N166</f>
        <v>0</v>
      </c>
      <c r="J164" s="284"/>
      <c r="K164" s="284"/>
      <c r="L164" s="285"/>
      <c r="M164" s="228">
        <v>0</v>
      </c>
      <c r="N164" s="284"/>
    </row>
    <row r="165" spans="1:14">
      <c r="A165" s="126">
        <f>Oportunidades!A165</f>
        <v>157</v>
      </c>
      <c r="B165" s="282">
        <f>Oportunidades!B165</f>
        <v>0</v>
      </c>
      <c r="C165" s="223">
        <f>Oportunidades!C165</f>
        <v>0</v>
      </c>
      <c r="D165" s="437">
        <f>Oportunidades!D165</f>
        <v>0</v>
      </c>
      <c r="E165" s="438"/>
      <c r="F165" s="225">
        <f>Oportunidades!I165</f>
        <v>0</v>
      </c>
      <c r="G165" s="226">
        <f>'Resposta-Oport'!M167</f>
        <v>0</v>
      </c>
      <c r="H165" s="226"/>
      <c r="I165" s="283">
        <f>'Resposta-Oport'!N167</f>
        <v>0</v>
      </c>
      <c r="J165" s="284"/>
      <c r="K165" s="284"/>
      <c r="L165" s="285"/>
      <c r="M165" s="228">
        <v>0</v>
      </c>
      <c r="N165" s="284"/>
    </row>
    <row r="166" spans="1:14">
      <c r="A166" s="126">
        <f>Oportunidades!A166</f>
        <v>158</v>
      </c>
      <c r="B166" s="282">
        <f>Oportunidades!B166</f>
        <v>0</v>
      </c>
      <c r="C166" s="223">
        <f>Oportunidades!C166</f>
        <v>0</v>
      </c>
      <c r="D166" s="437">
        <f>Oportunidades!D166</f>
        <v>0</v>
      </c>
      <c r="E166" s="438"/>
      <c r="F166" s="225">
        <f>Oportunidades!I166</f>
        <v>0</v>
      </c>
      <c r="G166" s="226">
        <f>'Resposta-Oport'!M168</f>
        <v>0</v>
      </c>
      <c r="H166" s="226"/>
      <c r="I166" s="283">
        <f>'Resposta-Oport'!N168</f>
        <v>0</v>
      </c>
      <c r="J166" s="284"/>
      <c r="K166" s="284"/>
      <c r="L166" s="285"/>
      <c r="M166" s="228">
        <v>0</v>
      </c>
      <c r="N166" s="284"/>
    </row>
    <row r="167" spans="1:14">
      <c r="A167" s="126">
        <f>Oportunidades!A167</f>
        <v>159</v>
      </c>
      <c r="B167" s="282">
        <f>Oportunidades!B167</f>
        <v>0</v>
      </c>
      <c r="C167" s="223">
        <f>Oportunidades!C167</f>
        <v>0</v>
      </c>
      <c r="D167" s="437">
        <f>Oportunidades!D167</f>
        <v>0</v>
      </c>
      <c r="E167" s="438"/>
      <c r="F167" s="225">
        <f>Oportunidades!I167</f>
        <v>0</v>
      </c>
      <c r="G167" s="226">
        <f>'Resposta-Oport'!M169</f>
        <v>0</v>
      </c>
      <c r="H167" s="226"/>
      <c r="I167" s="283">
        <f>'Resposta-Oport'!N169</f>
        <v>0</v>
      </c>
      <c r="J167" s="284"/>
      <c r="K167" s="284"/>
      <c r="L167" s="285"/>
      <c r="M167" s="228">
        <v>0</v>
      </c>
      <c r="N167" s="284"/>
    </row>
    <row r="168" spans="1:14">
      <c r="A168" s="126">
        <f>Oportunidades!A168</f>
        <v>160</v>
      </c>
      <c r="B168" s="282">
        <f>Oportunidades!B168</f>
        <v>0</v>
      </c>
      <c r="C168" s="223">
        <f>Oportunidades!C168</f>
        <v>0</v>
      </c>
      <c r="D168" s="437">
        <f>Oportunidades!D168</f>
        <v>0</v>
      </c>
      <c r="E168" s="438"/>
      <c r="F168" s="225">
        <f>Oportunidades!I168</f>
        <v>0</v>
      </c>
      <c r="G168" s="226">
        <f>'Resposta-Oport'!M170</f>
        <v>0</v>
      </c>
      <c r="H168" s="226"/>
      <c r="I168" s="283">
        <f>'Resposta-Oport'!N170</f>
        <v>0</v>
      </c>
      <c r="J168" s="284"/>
      <c r="K168" s="284"/>
      <c r="L168" s="285"/>
      <c r="M168" s="228">
        <v>0</v>
      </c>
      <c r="N168" s="284"/>
    </row>
    <row r="169" spans="1:14">
      <c r="A169" s="126">
        <f>Oportunidades!A169</f>
        <v>161</v>
      </c>
      <c r="B169" s="282">
        <f>Oportunidades!B169</f>
        <v>0</v>
      </c>
      <c r="C169" s="223">
        <f>Oportunidades!C169</f>
        <v>0</v>
      </c>
      <c r="D169" s="437">
        <f>Oportunidades!D169</f>
        <v>0</v>
      </c>
      <c r="E169" s="438"/>
      <c r="F169" s="225">
        <f>Oportunidades!I169</f>
        <v>0</v>
      </c>
      <c r="G169" s="226">
        <f>'Resposta-Oport'!M171</f>
        <v>0</v>
      </c>
      <c r="H169" s="226"/>
      <c r="I169" s="283">
        <f>'Resposta-Oport'!N171</f>
        <v>0</v>
      </c>
      <c r="J169" s="284"/>
      <c r="K169" s="284"/>
      <c r="L169" s="285"/>
      <c r="M169" s="228">
        <v>0</v>
      </c>
      <c r="N169" s="284"/>
    </row>
    <row r="170" spans="1:14">
      <c r="A170" s="126">
        <f>Oportunidades!A170</f>
        <v>162</v>
      </c>
      <c r="B170" s="282">
        <f>Oportunidades!B170</f>
        <v>0</v>
      </c>
      <c r="C170" s="223">
        <f>Oportunidades!C170</f>
        <v>0</v>
      </c>
      <c r="D170" s="437">
        <f>Oportunidades!D170</f>
        <v>0</v>
      </c>
      <c r="E170" s="438"/>
      <c r="F170" s="225">
        <f>Oportunidades!I170</f>
        <v>0</v>
      </c>
      <c r="G170" s="226">
        <f>'Resposta-Oport'!M172</f>
        <v>0</v>
      </c>
      <c r="H170" s="226"/>
      <c r="I170" s="283">
        <f>'Resposta-Oport'!N172</f>
        <v>0</v>
      </c>
      <c r="J170" s="284"/>
      <c r="K170" s="284"/>
      <c r="L170" s="285"/>
      <c r="M170" s="228">
        <v>0</v>
      </c>
      <c r="N170" s="284"/>
    </row>
    <row r="171" spans="1:14">
      <c r="A171" s="126">
        <f>Oportunidades!A171</f>
        <v>163</v>
      </c>
      <c r="B171" s="282">
        <f>Oportunidades!B171</f>
        <v>0</v>
      </c>
      <c r="C171" s="223">
        <f>Oportunidades!C171</f>
        <v>0</v>
      </c>
      <c r="D171" s="437">
        <f>Oportunidades!D171</f>
        <v>0</v>
      </c>
      <c r="E171" s="438"/>
      <c r="F171" s="225">
        <f>Oportunidades!I171</f>
        <v>0</v>
      </c>
      <c r="G171" s="226">
        <f>'Resposta-Oport'!M173</f>
        <v>0</v>
      </c>
      <c r="H171" s="226"/>
      <c r="I171" s="283">
        <f>'Resposta-Oport'!N173</f>
        <v>0</v>
      </c>
      <c r="J171" s="284"/>
      <c r="K171" s="284"/>
      <c r="L171" s="285"/>
      <c r="M171" s="228">
        <v>0</v>
      </c>
      <c r="N171" s="284"/>
    </row>
    <row r="172" spans="1:14">
      <c r="A172" s="126">
        <f>Oportunidades!A172</f>
        <v>164</v>
      </c>
      <c r="B172" s="282">
        <f>Oportunidades!B172</f>
        <v>0</v>
      </c>
      <c r="C172" s="223">
        <f>Oportunidades!C172</f>
        <v>0</v>
      </c>
      <c r="D172" s="437">
        <f>Oportunidades!D172</f>
        <v>0</v>
      </c>
      <c r="E172" s="438"/>
      <c r="F172" s="225">
        <f>Oportunidades!I172</f>
        <v>0</v>
      </c>
      <c r="G172" s="226">
        <f>'Resposta-Oport'!M174</f>
        <v>0</v>
      </c>
      <c r="H172" s="226"/>
      <c r="I172" s="283">
        <f>'Resposta-Oport'!N174</f>
        <v>0</v>
      </c>
      <c r="J172" s="284"/>
      <c r="K172" s="284"/>
      <c r="L172" s="285"/>
      <c r="M172" s="228">
        <v>0</v>
      </c>
      <c r="N172" s="284"/>
    </row>
    <row r="173" spans="1:14">
      <c r="A173" s="126">
        <f>Oportunidades!A173</f>
        <v>165</v>
      </c>
      <c r="B173" s="282">
        <f>Oportunidades!B173</f>
        <v>0</v>
      </c>
      <c r="C173" s="223">
        <f>Oportunidades!C173</f>
        <v>0</v>
      </c>
      <c r="D173" s="437">
        <f>Oportunidades!D173</f>
        <v>0</v>
      </c>
      <c r="E173" s="438"/>
      <c r="F173" s="225">
        <f>Oportunidades!I173</f>
        <v>0</v>
      </c>
      <c r="G173" s="226">
        <f>'Resposta-Oport'!M175</f>
        <v>0</v>
      </c>
      <c r="H173" s="226"/>
      <c r="I173" s="283">
        <f>'Resposta-Oport'!N175</f>
        <v>0</v>
      </c>
      <c r="J173" s="284"/>
      <c r="K173" s="284"/>
      <c r="L173" s="285"/>
      <c r="M173" s="228">
        <v>0</v>
      </c>
      <c r="N173" s="284"/>
    </row>
    <row r="174" spans="1:14">
      <c r="A174" s="126">
        <f>Oportunidades!A174</f>
        <v>166</v>
      </c>
      <c r="B174" s="282">
        <f>Oportunidades!B174</f>
        <v>0</v>
      </c>
      <c r="C174" s="223">
        <f>Oportunidades!C174</f>
        <v>0</v>
      </c>
      <c r="D174" s="437">
        <f>Oportunidades!D174</f>
        <v>0</v>
      </c>
      <c r="E174" s="438"/>
      <c r="F174" s="225">
        <f>Oportunidades!I174</f>
        <v>0</v>
      </c>
      <c r="G174" s="226">
        <f>'Resposta-Oport'!M176</f>
        <v>0</v>
      </c>
      <c r="H174" s="226"/>
      <c r="I174" s="283">
        <f>'Resposta-Oport'!N176</f>
        <v>0</v>
      </c>
      <c r="J174" s="284"/>
      <c r="K174" s="284"/>
      <c r="L174" s="285"/>
      <c r="M174" s="228">
        <v>0</v>
      </c>
      <c r="N174" s="284"/>
    </row>
    <row r="175" spans="1:14">
      <c r="A175" s="126">
        <f>Oportunidades!A175</f>
        <v>167</v>
      </c>
      <c r="B175" s="282">
        <f>Oportunidades!B175</f>
        <v>0</v>
      </c>
      <c r="C175" s="223">
        <f>Oportunidades!C175</f>
        <v>0</v>
      </c>
      <c r="D175" s="437">
        <f>Oportunidades!D175</f>
        <v>0</v>
      </c>
      <c r="E175" s="438"/>
      <c r="F175" s="225">
        <f>Oportunidades!I175</f>
        <v>0</v>
      </c>
      <c r="G175" s="226">
        <f>'Resposta-Oport'!M177</f>
        <v>0</v>
      </c>
      <c r="H175" s="226"/>
      <c r="I175" s="283">
        <f>'Resposta-Oport'!N177</f>
        <v>0</v>
      </c>
      <c r="J175" s="284"/>
      <c r="K175" s="284"/>
      <c r="L175" s="285"/>
      <c r="M175" s="228">
        <v>0</v>
      </c>
      <c r="N175" s="284"/>
    </row>
    <row r="176" spans="1:14">
      <c r="A176" s="126">
        <f>Oportunidades!A176</f>
        <v>168</v>
      </c>
      <c r="B176" s="282">
        <f>Oportunidades!B176</f>
        <v>0</v>
      </c>
      <c r="C176" s="223">
        <f>Oportunidades!C176</f>
        <v>0</v>
      </c>
      <c r="D176" s="437">
        <f>Oportunidades!D176</f>
        <v>0</v>
      </c>
      <c r="E176" s="438"/>
      <c r="F176" s="225">
        <f>Oportunidades!I176</f>
        <v>0</v>
      </c>
      <c r="G176" s="226">
        <f>'Resposta-Oport'!M178</f>
        <v>0</v>
      </c>
      <c r="H176" s="226"/>
      <c r="I176" s="283">
        <f>'Resposta-Oport'!N178</f>
        <v>0</v>
      </c>
      <c r="J176" s="284"/>
      <c r="K176" s="284"/>
      <c r="L176" s="285"/>
      <c r="M176" s="228">
        <v>0</v>
      </c>
      <c r="N176" s="284"/>
    </row>
    <row r="177" spans="1:14">
      <c r="A177" s="126">
        <f>Oportunidades!A177</f>
        <v>169</v>
      </c>
      <c r="B177" s="282">
        <f>Oportunidades!B177</f>
        <v>0</v>
      </c>
      <c r="C177" s="223">
        <f>Oportunidades!C177</f>
        <v>0</v>
      </c>
      <c r="D177" s="437">
        <f>Oportunidades!D177</f>
        <v>0</v>
      </c>
      <c r="E177" s="438"/>
      <c r="F177" s="225">
        <f>Oportunidades!I177</f>
        <v>0</v>
      </c>
      <c r="G177" s="226">
        <f>'Resposta-Oport'!M179</f>
        <v>0</v>
      </c>
      <c r="H177" s="226"/>
      <c r="I177" s="283">
        <f>'Resposta-Oport'!N179</f>
        <v>0</v>
      </c>
      <c r="J177" s="284"/>
      <c r="K177" s="284"/>
      <c r="L177" s="285"/>
      <c r="M177" s="228">
        <v>0</v>
      </c>
      <c r="N177" s="284"/>
    </row>
    <row r="178" spans="1:14">
      <c r="A178" s="126">
        <f>Oportunidades!A178</f>
        <v>170</v>
      </c>
      <c r="B178" s="282">
        <f>Oportunidades!B178</f>
        <v>0</v>
      </c>
      <c r="C178" s="223">
        <f>Oportunidades!C178</f>
        <v>0</v>
      </c>
      <c r="D178" s="437">
        <f>Oportunidades!D178</f>
        <v>0</v>
      </c>
      <c r="E178" s="438"/>
      <c r="F178" s="225">
        <f>Oportunidades!I178</f>
        <v>0</v>
      </c>
      <c r="G178" s="226">
        <f>'Resposta-Oport'!M180</f>
        <v>0</v>
      </c>
      <c r="H178" s="226"/>
      <c r="I178" s="283">
        <f>'Resposta-Oport'!N180</f>
        <v>0</v>
      </c>
      <c r="J178" s="284"/>
      <c r="K178" s="284"/>
      <c r="L178" s="285"/>
      <c r="M178" s="228">
        <v>0</v>
      </c>
      <c r="N178" s="284"/>
    </row>
    <row r="179" spans="1:14">
      <c r="A179" s="126">
        <f>Oportunidades!A179</f>
        <v>171</v>
      </c>
      <c r="B179" s="282">
        <f>Oportunidades!B179</f>
        <v>0</v>
      </c>
      <c r="C179" s="223">
        <f>Oportunidades!C179</f>
        <v>0</v>
      </c>
      <c r="D179" s="437">
        <f>Oportunidades!D179</f>
        <v>0</v>
      </c>
      <c r="E179" s="438"/>
      <c r="F179" s="225">
        <f>Oportunidades!I179</f>
        <v>0</v>
      </c>
      <c r="G179" s="226">
        <f>'Resposta-Oport'!M181</f>
        <v>0</v>
      </c>
      <c r="H179" s="226"/>
      <c r="I179" s="283">
        <f>'Resposta-Oport'!N181</f>
        <v>0</v>
      </c>
      <c r="J179" s="284"/>
      <c r="K179" s="284"/>
      <c r="L179" s="285"/>
      <c r="M179" s="228">
        <v>0</v>
      </c>
      <c r="N179" s="284"/>
    </row>
    <row r="180" spans="1:14">
      <c r="A180" s="126">
        <f>Oportunidades!A180</f>
        <v>172</v>
      </c>
      <c r="B180" s="282">
        <f>Oportunidades!B180</f>
        <v>0</v>
      </c>
      <c r="C180" s="223">
        <f>Oportunidades!C180</f>
        <v>0</v>
      </c>
      <c r="D180" s="437">
        <f>Oportunidades!D180</f>
        <v>0</v>
      </c>
      <c r="E180" s="438"/>
      <c r="F180" s="225">
        <f>Oportunidades!I180</f>
        <v>0</v>
      </c>
      <c r="G180" s="226">
        <f>'Resposta-Oport'!M182</f>
        <v>0</v>
      </c>
      <c r="H180" s="226"/>
      <c r="I180" s="283">
        <f>'Resposta-Oport'!N182</f>
        <v>0</v>
      </c>
      <c r="J180" s="284"/>
      <c r="K180" s="284"/>
      <c r="L180" s="285"/>
      <c r="M180" s="228">
        <v>0</v>
      </c>
      <c r="N180" s="284"/>
    </row>
    <row r="181" spans="1:14">
      <c r="A181" s="126">
        <f>Oportunidades!A181</f>
        <v>173</v>
      </c>
      <c r="B181" s="282">
        <f>Oportunidades!B181</f>
        <v>0</v>
      </c>
      <c r="C181" s="223">
        <f>Oportunidades!C181</f>
        <v>0</v>
      </c>
      <c r="D181" s="437">
        <f>Oportunidades!D181</f>
        <v>0</v>
      </c>
      <c r="E181" s="438"/>
      <c r="F181" s="225">
        <f>Oportunidades!I181</f>
        <v>0</v>
      </c>
      <c r="G181" s="226">
        <f>'Resposta-Oport'!M183</f>
        <v>0</v>
      </c>
      <c r="H181" s="226"/>
      <c r="I181" s="283">
        <f>'Resposta-Oport'!N183</f>
        <v>0</v>
      </c>
      <c r="J181" s="284"/>
      <c r="K181" s="284"/>
      <c r="L181" s="285"/>
      <c r="M181" s="228">
        <v>0</v>
      </c>
      <c r="N181" s="284"/>
    </row>
    <row r="182" spans="1:14">
      <c r="A182" s="126">
        <f>Oportunidades!A182</f>
        <v>174</v>
      </c>
      <c r="B182" s="282">
        <f>Oportunidades!B182</f>
        <v>0</v>
      </c>
      <c r="C182" s="223">
        <f>Oportunidades!C182</f>
        <v>0</v>
      </c>
      <c r="D182" s="437">
        <f>Oportunidades!D182</f>
        <v>0</v>
      </c>
      <c r="E182" s="438"/>
      <c r="F182" s="225">
        <f>Oportunidades!I182</f>
        <v>0</v>
      </c>
      <c r="G182" s="226">
        <f>'Resposta-Oport'!M184</f>
        <v>0</v>
      </c>
      <c r="H182" s="226"/>
      <c r="I182" s="283">
        <f>'Resposta-Oport'!N184</f>
        <v>0</v>
      </c>
      <c r="J182" s="284"/>
      <c r="K182" s="284"/>
      <c r="L182" s="285"/>
      <c r="M182" s="228">
        <v>0</v>
      </c>
      <c r="N182" s="284"/>
    </row>
    <row r="183" spans="1:14">
      <c r="A183" s="126">
        <f>Oportunidades!A183</f>
        <v>175</v>
      </c>
      <c r="B183" s="282">
        <f>Oportunidades!B183</f>
        <v>0</v>
      </c>
      <c r="C183" s="223">
        <f>Oportunidades!C183</f>
        <v>0</v>
      </c>
      <c r="D183" s="437">
        <f>Oportunidades!D183</f>
        <v>0</v>
      </c>
      <c r="E183" s="438"/>
      <c r="F183" s="225">
        <f>Oportunidades!I183</f>
        <v>0</v>
      </c>
      <c r="G183" s="226">
        <f>'Resposta-Oport'!M185</f>
        <v>0</v>
      </c>
      <c r="H183" s="226"/>
      <c r="I183" s="283">
        <f>'Resposta-Oport'!N185</f>
        <v>0</v>
      </c>
      <c r="J183" s="284"/>
      <c r="K183" s="284"/>
      <c r="L183" s="285"/>
      <c r="M183" s="228">
        <v>0</v>
      </c>
      <c r="N183" s="284"/>
    </row>
    <row r="184" spans="1:14">
      <c r="A184" s="126">
        <f>Oportunidades!A184</f>
        <v>176</v>
      </c>
      <c r="B184" s="282">
        <f>Oportunidades!B184</f>
        <v>0</v>
      </c>
      <c r="C184" s="223">
        <f>Oportunidades!C184</f>
        <v>0</v>
      </c>
      <c r="D184" s="437">
        <f>Oportunidades!D184</f>
        <v>0</v>
      </c>
      <c r="E184" s="438"/>
      <c r="F184" s="225">
        <f>Oportunidades!I184</f>
        <v>0</v>
      </c>
      <c r="G184" s="226">
        <f>'Resposta-Oport'!M186</f>
        <v>0</v>
      </c>
      <c r="H184" s="226"/>
      <c r="I184" s="283">
        <f>'Resposta-Oport'!N186</f>
        <v>0</v>
      </c>
      <c r="J184" s="284"/>
      <c r="K184" s="284"/>
      <c r="L184" s="285"/>
      <c r="M184" s="228">
        <v>0</v>
      </c>
      <c r="N184" s="284"/>
    </row>
    <row r="185" spans="1:14">
      <c r="A185" s="126">
        <f>Oportunidades!A185</f>
        <v>177</v>
      </c>
      <c r="B185" s="282">
        <f>Oportunidades!B185</f>
        <v>0</v>
      </c>
      <c r="C185" s="223">
        <f>Oportunidades!C185</f>
        <v>0</v>
      </c>
      <c r="D185" s="437">
        <f>Oportunidades!D185</f>
        <v>0</v>
      </c>
      <c r="E185" s="438"/>
      <c r="F185" s="225">
        <f>Oportunidades!I185</f>
        <v>0</v>
      </c>
      <c r="G185" s="226">
        <f>'Resposta-Oport'!M187</f>
        <v>0</v>
      </c>
      <c r="H185" s="226"/>
      <c r="I185" s="283">
        <f>'Resposta-Oport'!N187</f>
        <v>0</v>
      </c>
      <c r="J185" s="284"/>
      <c r="K185" s="284"/>
      <c r="L185" s="285"/>
      <c r="M185" s="228">
        <v>0</v>
      </c>
      <c r="N185" s="284"/>
    </row>
    <row r="186" spans="1:14">
      <c r="A186" s="126">
        <f>Oportunidades!A186</f>
        <v>178</v>
      </c>
      <c r="B186" s="282">
        <f>Oportunidades!B186</f>
        <v>0</v>
      </c>
      <c r="C186" s="223">
        <f>Oportunidades!C186</f>
        <v>0</v>
      </c>
      <c r="D186" s="437">
        <f>Oportunidades!D186</f>
        <v>0</v>
      </c>
      <c r="E186" s="438"/>
      <c r="F186" s="225">
        <f>Oportunidades!I186</f>
        <v>0</v>
      </c>
      <c r="G186" s="226">
        <f>'Resposta-Oport'!M188</f>
        <v>0</v>
      </c>
      <c r="H186" s="226"/>
      <c r="I186" s="283">
        <f>'Resposta-Oport'!N188</f>
        <v>0</v>
      </c>
      <c r="J186" s="284"/>
      <c r="K186" s="284"/>
      <c r="L186" s="285"/>
      <c r="M186" s="228">
        <v>0</v>
      </c>
      <c r="N186" s="284"/>
    </row>
    <row r="187" spans="1:14">
      <c r="A187" s="126">
        <f>Oportunidades!A187</f>
        <v>179</v>
      </c>
      <c r="B187" s="282">
        <f>Oportunidades!B187</f>
        <v>0</v>
      </c>
      <c r="C187" s="223">
        <f>Oportunidades!C187</f>
        <v>0</v>
      </c>
      <c r="D187" s="437">
        <f>Oportunidades!D187</f>
        <v>0</v>
      </c>
      <c r="E187" s="438"/>
      <c r="F187" s="225">
        <f>Oportunidades!I187</f>
        <v>0</v>
      </c>
      <c r="G187" s="226">
        <f>'Resposta-Oport'!M189</f>
        <v>0</v>
      </c>
      <c r="H187" s="226"/>
      <c r="I187" s="283">
        <f>'Resposta-Oport'!N189</f>
        <v>0</v>
      </c>
      <c r="J187" s="284"/>
      <c r="K187" s="284"/>
      <c r="L187" s="285"/>
      <c r="M187" s="228">
        <v>0</v>
      </c>
      <c r="N187" s="284"/>
    </row>
    <row r="188" spans="1:14">
      <c r="A188" s="126">
        <f>Oportunidades!A188</f>
        <v>180</v>
      </c>
      <c r="B188" s="282">
        <f>Oportunidades!B188</f>
        <v>0</v>
      </c>
      <c r="C188" s="223">
        <f>Oportunidades!C188</f>
        <v>0</v>
      </c>
      <c r="D188" s="437">
        <f>Oportunidades!D188</f>
        <v>0</v>
      </c>
      <c r="E188" s="438"/>
      <c r="F188" s="225">
        <f>Oportunidades!I188</f>
        <v>0</v>
      </c>
      <c r="G188" s="226">
        <f>'Resposta-Oport'!M190</f>
        <v>0</v>
      </c>
      <c r="H188" s="226"/>
      <c r="I188" s="283">
        <f>'Resposta-Oport'!N190</f>
        <v>0</v>
      </c>
      <c r="J188" s="284"/>
      <c r="K188" s="284"/>
      <c r="L188" s="285"/>
      <c r="M188" s="228">
        <v>0</v>
      </c>
      <c r="N188" s="284"/>
    </row>
    <row r="189" spans="1:14">
      <c r="A189" s="126">
        <f>Oportunidades!A189</f>
        <v>181</v>
      </c>
      <c r="B189" s="282">
        <f>Oportunidades!B189</f>
        <v>0</v>
      </c>
      <c r="C189" s="223">
        <f>Oportunidades!C189</f>
        <v>0</v>
      </c>
      <c r="D189" s="437">
        <f>Oportunidades!D189</f>
        <v>0</v>
      </c>
      <c r="E189" s="438"/>
      <c r="F189" s="225">
        <f>Oportunidades!I189</f>
        <v>0</v>
      </c>
      <c r="G189" s="226">
        <f>'Resposta-Oport'!M191</f>
        <v>0</v>
      </c>
      <c r="H189" s="226"/>
      <c r="I189" s="283">
        <f>'Resposta-Oport'!N191</f>
        <v>0</v>
      </c>
      <c r="J189" s="284"/>
      <c r="K189" s="284"/>
      <c r="L189" s="285"/>
      <c r="M189" s="228">
        <v>0</v>
      </c>
      <c r="N189" s="284"/>
    </row>
    <row r="190" spans="1:14">
      <c r="A190" s="126">
        <f>Oportunidades!A190</f>
        <v>182</v>
      </c>
      <c r="B190" s="282">
        <f>Oportunidades!B190</f>
        <v>0</v>
      </c>
      <c r="C190" s="223">
        <f>Oportunidades!C190</f>
        <v>0</v>
      </c>
      <c r="D190" s="437">
        <f>Oportunidades!D190</f>
        <v>0</v>
      </c>
      <c r="E190" s="438"/>
      <c r="F190" s="225">
        <f>Oportunidades!I190</f>
        <v>0</v>
      </c>
      <c r="G190" s="226">
        <f>'Resposta-Oport'!M192</f>
        <v>0</v>
      </c>
      <c r="H190" s="226"/>
      <c r="I190" s="283">
        <f>'Resposta-Oport'!N192</f>
        <v>0</v>
      </c>
      <c r="J190" s="284"/>
      <c r="K190" s="284"/>
      <c r="L190" s="285"/>
      <c r="M190" s="228">
        <v>0</v>
      </c>
      <c r="N190" s="284"/>
    </row>
    <row r="191" spans="1:14">
      <c r="A191" s="126">
        <f>Oportunidades!A191</f>
        <v>183</v>
      </c>
      <c r="B191" s="282">
        <f>Oportunidades!B191</f>
        <v>0</v>
      </c>
      <c r="C191" s="223">
        <f>Oportunidades!C191</f>
        <v>0</v>
      </c>
      <c r="D191" s="437">
        <f>Oportunidades!D191</f>
        <v>0</v>
      </c>
      <c r="E191" s="438"/>
      <c r="F191" s="225">
        <f>Oportunidades!I191</f>
        <v>0</v>
      </c>
      <c r="G191" s="226">
        <f>'Resposta-Oport'!M193</f>
        <v>0</v>
      </c>
      <c r="H191" s="226"/>
      <c r="I191" s="283">
        <f>'Resposta-Oport'!N193</f>
        <v>0</v>
      </c>
      <c r="J191" s="284"/>
      <c r="K191" s="284"/>
      <c r="L191" s="285"/>
      <c r="M191" s="228">
        <v>0</v>
      </c>
      <c r="N191" s="284"/>
    </row>
    <row r="192" spans="1:14">
      <c r="A192" s="126">
        <f>Oportunidades!A192</f>
        <v>184</v>
      </c>
      <c r="B192" s="282">
        <f>Oportunidades!B192</f>
        <v>0</v>
      </c>
      <c r="C192" s="223">
        <f>Oportunidades!C192</f>
        <v>0</v>
      </c>
      <c r="D192" s="437">
        <f>Oportunidades!D192</f>
        <v>0</v>
      </c>
      <c r="E192" s="438"/>
      <c r="F192" s="225">
        <f>Oportunidades!I192</f>
        <v>0</v>
      </c>
      <c r="G192" s="226">
        <f>'Resposta-Oport'!M194</f>
        <v>0</v>
      </c>
      <c r="H192" s="226"/>
      <c r="I192" s="283">
        <f>'Resposta-Oport'!N194</f>
        <v>0</v>
      </c>
      <c r="J192" s="284"/>
      <c r="K192" s="284"/>
      <c r="L192" s="285"/>
      <c r="M192" s="228">
        <v>0</v>
      </c>
      <c r="N192" s="284"/>
    </row>
    <row r="193" spans="1:14">
      <c r="A193" s="126">
        <f>Oportunidades!A193</f>
        <v>185</v>
      </c>
      <c r="B193" s="282">
        <f>Oportunidades!B193</f>
        <v>0</v>
      </c>
      <c r="C193" s="223">
        <f>Oportunidades!C193</f>
        <v>0</v>
      </c>
      <c r="D193" s="437">
        <f>Oportunidades!D193</f>
        <v>0</v>
      </c>
      <c r="E193" s="438"/>
      <c r="F193" s="225">
        <f>Oportunidades!I193</f>
        <v>0</v>
      </c>
      <c r="G193" s="226">
        <f>'Resposta-Oport'!M195</f>
        <v>0</v>
      </c>
      <c r="H193" s="226"/>
      <c r="I193" s="283">
        <f>'Resposta-Oport'!N195</f>
        <v>0</v>
      </c>
      <c r="J193" s="284"/>
      <c r="K193" s="284"/>
      <c r="L193" s="285"/>
      <c r="M193" s="228">
        <v>0</v>
      </c>
      <c r="N193" s="284"/>
    </row>
    <row r="194" spans="1:14">
      <c r="A194" s="126">
        <f>Oportunidades!A194</f>
        <v>186</v>
      </c>
      <c r="B194" s="282">
        <f>Oportunidades!B194</f>
        <v>0</v>
      </c>
      <c r="C194" s="223">
        <f>Oportunidades!C194</f>
        <v>0</v>
      </c>
      <c r="D194" s="437">
        <f>Oportunidades!D194</f>
        <v>0</v>
      </c>
      <c r="E194" s="438"/>
      <c r="F194" s="225">
        <f>Oportunidades!I194</f>
        <v>0</v>
      </c>
      <c r="G194" s="226">
        <f>'Resposta-Oport'!M196</f>
        <v>0</v>
      </c>
      <c r="H194" s="226"/>
      <c r="I194" s="283">
        <f>'Resposta-Oport'!N196</f>
        <v>0</v>
      </c>
      <c r="J194" s="284"/>
      <c r="K194" s="284"/>
      <c r="L194" s="285"/>
      <c r="M194" s="228">
        <v>0</v>
      </c>
      <c r="N194" s="284"/>
    </row>
    <row r="195" spans="1:14">
      <c r="A195" s="126">
        <f>Oportunidades!A195</f>
        <v>187</v>
      </c>
      <c r="B195" s="282">
        <f>Oportunidades!B195</f>
        <v>0</v>
      </c>
      <c r="C195" s="223">
        <f>Oportunidades!C195</f>
        <v>0</v>
      </c>
      <c r="D195" s="437">
        <f>Oportunidades!D195</f>
        <v>0</v>
      </c>
      <c r="E195" s="438"/>
      <c r="F195" s="225">
        <f>Oportunidades!I195</f>
        <v>0</v>
      </c>
      <c r="G195" s="226">
        <f>'Resposta-Oport'!M197</f>
        <v>0</v>
      </c>
      <c r="H195" s="226"/>
      <c r="I195" s="283">
        <f>'Resposta-Oport'!N197</f>
        <v>0</v>
      </c>
      <c r="J195" s="284"/>
      <c r="K195" s="284"/>
      <c r="L195" s="285"/>
      <c r="M195" s="228">
        <v>0</v>
      </c>
      <c r="N195" s="284"/>
    </row>
    <row r="196" spans="1:14">
      <c r="A196" s="126">
        <f>Oportunidades!A196</f>
        <v>188</v>
      </c>
      <c r="B196" s="282">
        <f>Oportunidades!B196</f>
        <v>0</v>
      </c>
      <c r="C196" s="223">
        <f>Oportunidades!C196</f>
        <v>0</v>
      </c>
      <c r="D196" s="437">
        <f>Oportunidades!D196</f>
        <v>0</v>
      </c>
      <c r="E196" s="438"/>
      <c r="F196" s="225">
        <f>Oportunidades!I196</f>
        <v>0</v>
      </c>
      <c r="G196" s="226">
        <f>'Resposta-Oport'!M198</f>
        <v>0</v>
      </c>
      <c r="H196" s="226"/>
      <c r="I196" s="283">
        <f>'Resposta-Oport'!N198</f>
        <v>0</v>
      </c>
      <c r="J196" s="284"/>
      <c r="K196" s="284"/>
      <c r="L196" s="285"/>
      <c r="M196" s="228">
        <v>0</v>
      </c>
      <c r="N196" s="284"/>
    </row>
    <row r="197" spans="1:14">
      <c r="A197" s="126">
        <f>Oportunidades!A197</f>
        <v>189</v>
      </c>
      <c r="B197" s="282">
        <f>Oportunidades!B197</f>
        <v>0</v>
      </c>
      <c r="C197" s="223">
        <f>Oportunidades!C197</f>
        <v>0</v>
      </c>
      <c r="D197" s="437">
        <f>Oportunidades!D197</f>
        <v>0</v>
      </c>
      <c r="E197" s="438"/>
      <c r="F197" s="225">
        <f>Oportunidades!I197</f>
        <v>0</v>
      </c>
      <c r="G197" s="226">
        <f>'Resposta-Oport'!M199</f>
        <v>0</v>
      </c>
      <c r="H197" s="226"/>
      <c r="I197" s="283">
        <f>'Resposta-Oport'!N199</f>
        <v>0</v>
      </c>
      <c r="J197" s="284"/>
      <c r="K197" s="284"/>
      <c r="L197" s="285"/>
      <c r="M197" s="228">
        <v>0</v>
      </c>
      <c r="N197" s="284"/>
    </row>
    <row r="198" spans="1:14">
      <c r="A198" s="126">
        <f>Oportunidades!A198</f>
        <v>190</v>
      </c>
      <c r="B198" s="282">
        <f>Oportunidades!B198</f>
        <v>0</v>
      </c>
      <c r="C198" s="223">
        <f>Oportunidades!C198</f>
        <v>0</v>
      </c>
      <c r="D198" s="437">
        <f>Oportunidades!D198</f>
        <v>0</v>
      </c>
      <c r="E198" s="438"/>
      <c r="F198" s="225">
        <f>Oportunidades!I198</f>
        <v>0</v>
      </c>
      <c r="G198" s="226">
        <f>'Resposta-Oport'!M200</f>
        <v>0</v>
      </c>
      <c r="H198" s="226"/>
      <c r="I198" s="283">
        <f>'Resposta-Oport'!N200</f>
        <v>0</v>
      </c>
      <c r="J198" s="284"/>
      <c r="K198" s="284"/>
      <c r="L198" s="285"/>
      <c r="M198" s="228">
        <v>0</v>
      </c>
      <c r="N198" s="284"/>
    </row>
    <row r="199" spans="1:14">
      <c r="A199" s="126">
        <f>Oportunidades!A199</f>
        <v>191</v>
      </c>
      <c r="B199" s="282">
        <f>Oportunidades!B199</f>
        <v>0</v>
      </c>
      <c r="C199" s="223">
        <f>Oportunidades!C199</f>
        <v>0</v>
      </c>
      <c r="D199" s="437">
        <f>Oportunidades!D199</f>
        <v>0</v>
      </c>
      <c r="E199" s="438"/>
      <c r="F199" s="225">
        <f>Oportunidades!I199</f>
        <v>0</v>
      </c>
      <c r="G199" s="226">
        <f>'Resposta-Oport'!M201</f>
        <v>0</v>
      </c>
      <c r="H199" s="226"/>
      <c r="I199" s="283">
        <f>'Resposta-Oport'!N201</f>
        <v>0</v>
      </c>
      <c r="J199" s="284"/>
      <c r="K199" s="284"/>
      <c r="L199" s="285"/>
      <c r="M199" s="228">
        <v>0</v>
      </c>
      <c r="N199" s="284"/>
    </row>
    <row r="200" spans="1:14">
      <c r="A200" s="126">
        <f>Oportunidades!A200</f>
        <v>192</v>
      </c>
      <c r="B200" s="282">
        <f>Oportunidades!B200</f>
        <v>0</v>
      </c>
      <c r="C200" s="223">
        <f>Oportunidades!C200</f>
        <v>0</v>
      </c>
      <c r="D200" s="437">
        <f>Oportunidades!D200</f>
        <v>0</v>
      </c>
      <c r="E200" s="438"/>
      <c r="F200" s="225">
        <f>Oportunidades!I200</f>
        <v>0</v>
      </c>
      <c r="G200" s="226">
        <f>'Resposta-Oport'!M202</f>
        <v>0</v>
      </c>
      <c r="H200" s="226"/>
      <c r="I200" s="283">
        <f>'Resposta-Oport'!N202</f>
        <v>0</v>
      </c>
      <c r="J200" s="284"/>
      <c r="K200" s="284"/>
      <c r="L200" s="285"/>
      <c r="M200" s="228">
        <v>0</v>
      </c>
      <c r="N200" s="284"/>
    </row>
    <row r="201" spans="1:14">
      <c r="A201" s="126">
        <f>Oportunidades!A201</f>
        <v>193</v>
      </c>
      <c r="B201" s="282">
        <f>Oportunidades!B201</f>
        <v>0</v>
      </c>
      <c r="C201" s="223">
        <f>Oportunidades!C201</f>
        <v>0</v>
      </c>
      <c r="D201" s="437">
        <f>Oportunidades!D201</f>
        <v>0</v>
      </c>
      <c r="E201" s="438"/>
      <c r="F201" s="225">
        <f>Oportunidades!I201</f>
        <v>0</v>
      </c>
      <c r="G201" s="226">
        <f>'Resposta-Oport'!M203</f>
        <v>0</v>
      </c>
      <c r="H201" s="226"/>
      <c r="I201" s="283">
        <f>'Resposta-Oport'!N203</f>
        <v>0</v>
      </c>
      <c r="J201" s="284"/>
      <c r="K201" s="284"/>
      <c r="L201" s="285"/>
      <c r="M201" s="228">
        <v>0</v>
      </c>
      <c r="N201" s="284"/>
    </row>
    <row r="202" spans="1:14">
      <c r="A202" s="126">
        <f>Oportunidades!A202</f>
        <v>194</v>
      </c>
      <c r="B202" s="282">
        <f>Oportunidades!B202</f>
        <v>0</v>
      </c>
      <c r="C202" s="223">
        <f>Oportunidades!C202</f>
        <v>0</v>
      </c>
      <c r="D202" s="437">
        <f>Oportunidades!D202</f>
        <v>0</v>
      </c>
      <c r="E202" s="438"/>
      <c r="F202" s="225">
        <f>Oportunidades!I202</f>
        <v>0</v>
      </c>
      <c r="G202" s="226">
        <f>'Resposta-Oport'!M204</f>
        <v>0</v>
      </c>
      <c r="H202" s="226"/>
      <c r="I202" s="283">
        <f>'Resposta-Oport'!N204</f>
        <v>0</v>
      </c>
      <c r="J202" s="284"/>
      <c r="K202" s="284"/>
      <c r="L202" s="285"/>
      <c r="M202" s="228">
        <v>0</v>
      </c>
      <c r="N202" s="284"/>
    </row>
    <row r="203" spans="1:14">
      <c r="A203" s="126">
        <f>Oportunidades!A203</f>
        <v>195</v>
      </c>
      <c r="B203" s="282">
        <f>Oportunidades!B203</f>
        <v>0</v>
      </c>
      <c r="C203" s="223">
        <f>Oportunidades!C203</f>
        <v>0</v>
      </c>
      <c r="D203" s="437">
        <f>Oportunidades!D203</f>
        <v>0</v>
      </c>
      <c r="E203" s="438"/>
      <c r="F203" s="225">
        <f>Oportunidades!I203</f>
        <v>0</v>
      </c>
      <c r="G203" s="226">
        <f>'Resposta-Oport'!M205</f>
        <v>0</v>
      </c>
      <c r="H203" s="226"/>
      <c r="I203" s="283">
        <f>'Resposta-Oport'!N205</f>
        <v>0</v>
      </c>
      <c r="J203" s="284"/>
      <c r="K203" s="284"/>
      <c r="L203" s="285"/>
      <c r="M203" s="228">
        <v>0</v>
      </c>
      <c r="N203" s="284"/>
    </row>
    <row r="204" spans="1:14">
      <c r="A204" s="126">
        <f>Oportunidades!A204</f>
        <v>196</v>
      </c>
      <c r="B204" s="282">
        <f>Oportunidades!B204</f>
        <v>0</v>
      </c>
      <c r="C204" s="223">
        <f>Oportunidades!C204</f>
        <v>0</v>
      </c>
      <c r="D204" s="437">
        <f>Oportunidades!D204</f>
        <v>0</v>
      </c>
      <c r="E204" s="438"/>
      <c r="F204" s="225">
        <f>Oportunidades!I204</f>
        <v>0</v>
      </c>
      <c r="G204" s="226">
        <f>'Resposta-Oport'!M206</f>
        <v>0</v>
      </c>
      <c r="H204" s="226"/>
      <c r="I204" s="283">
        <f>'Resposta-Oport'!N206</f>
        <v>0</v>
      </c>
      <c r="J204" s="284"/>
      <c r="K204" s="284"/>
      <c r="L204" s="285"/>
      <c r="M204" s="228">
        <v>0</v>
      </c>
      <c r="N204" s="284"/>
    </row>
    <row r="205" spans="1:14">
      <c r="A205" s="126">
        <f>Oportunidades!A205</f>
        <v>197</v>
      </c>
      <c r="B205" s="282">
        <f>Oportunidades!B205</f>
        <v>0</v>
      </c>
      <c r="C205" s="223">
        <f>Oportunidades!C205</f>
        <v>0</v>
      </c>
      <c r="D205" s="437">
        <f>Oportunidades!D205</f>
        <v>0</v>
      </c>
      <c r="E205" s="438"/>
      <c r="F205" s="225">
        <f>Oportunidades!I205</f>
        <v>0</v>
      </c>
      <c r="G205" s="226">
        <f>'Resposta-Oport'!M207</f>
        <v>0</v>
      </c>
      <c r="H205" s="226"/>
      <c r="I205" s="283">
        <f>'Resposta-Oport'!N207</f>
        <v>0</v>
      </c>
      <c r="J205" s="284"/>
      <c r="K205" s="284"/>
      <c r="L205" s="285"/>
      <c r="M205" s="228">
        <v>0</v>
      </c>
      <c r="N205" s="284"/>
    </row>
    <row r="206" spans="1:14">
      <c r="A206" s="126">
        <f>Oportunidades!A206</f>
        <v>198</v>
      </c>
      <c r="B206" s="282">
        <f>Oportunidades!B206</f>
        <v>0</v>
      </c>
      <c r="C206" s="223">
        <f>Oportunidades!C206</f>
        <v>0</v>
      </c>
      <c r="D206" s="437">
        <f>Oportunidades!D206</f>
        <v>0</v>
      </c>
      <c r="E206" s="438"/>
      <c r="F206" s="225">
        <f>Oportunidades!I206</f>
        <v>0</v>
      </c>
      <c r="G206" s="226">
        <f>'Resposta-Oport'!M208</f>
        <v>0</v>
      </c>
      <c r="H206" s="226"/>
      <c r="I206" s="283">
        <f>'Resposta-Oport'!N208</f>
        <v>0</v>
      </c>
      <c r="J206" s="284"/>
      <c r="K206" s="284"/>
      <c r="L206" s="285"/>
      <c r="M206" s="228">
        <v>0</v>
      </c>
      <c r="N206" s="284"/>
    </row>
    <row r="207" spans="1:14">
      <c r="A207" s="126">
        <f>Oportunidades!A207</f>
        <v>199</v>
      </c>
      <c r="B207" s="282">
        <f>Oportunidades!B207</f>
        <v>0</v>
      </c>
      <c r="C207" s="223">
        <f>Oportunidades!C207</f>
        <v>0</v>
      </c>
      <c r="D207" s="437">
        <f>Oportunidades!D207</f>
        <v>0</v>
      </c>
      <c r="E207" s="438"/>
      <c r="F207" s="225">
        <f>Oportunidades!I207</f>
        <v>0</v>
      </c>
      <c r="G207" s="226">
        <f>'Resposta-Oport'!M209</f>
        <v>0</v>
      </c>
      <c r="H207" s="226"/>
      <c r="I207" s="283">
        <f>'Resposta-Oport'!N209</f>
        <v>0</v>
      </c>
      <c r="J207" s="284"/>
      <c r="K207" s="284"/>
      <c r="L207" s="285"/>
      <c r="M207" s="228">
        <v>0</v>
      </c>
      <c r="N207" s="284"/>
    </row>
    <row r="208" spans="1:14">
      <c r="A208" s="126">
        <f>Oportunidades!A208</f>
        <v>200</v>
      </c>
      <c r="B208" s="282">
        <f>Oportunidades!B208</f>
        <v>0</v>
      </c>
      <c r="C208" s="223">
        <f>Oportunidades!C208</f>
        <v>0</v>
      </c>
      <c r="D208" s="437">
        <f>Oportunidades!D208</f>
        <v>0</v>
      </c>
      <c r="E208" s="438"/>
      <c r="F208" s="225">
        <f>Oportunidades!I208</f>
        <v>0</v>
      </c>
      <c r="G208" s="226">
        <f>'Resposta-Oport'!M210</f>
        <v>0</v>
      </c>
      <c r="H208" s="226"/>
      <c r="I208" s="283">
        <f>'Resposta-Oport'!N210</f>
        <v>0</v>
      </c>
      <c r="J208" s="284"/>
      <c r="K208" s="284"/>
      <c r="L208" s="285"/>
      <c r="M208" s="228">
        <v>0</v>
      </c>
      <c r="N208" s="284"/>
    </row>
    <row r="209" spans="1:113">
      <c r="A209" s="286"/>
      <c r="B209" s="287"/>
      <c r="C209" s="288"/>
      <c r="D209" s="124"/>
      <c r="E209" s="124"/>
      <c r="F209" s="290"/>
      <c r="G209" s="298"/>
      <c r="H209" s="298"/>
      <c r="I209" s="293"/>
      <c r="J209" s="299"/>
      <c r="K209" s="299"/>
      <c r="L209" s="300"/>
      <c r="M209" s="290"/>
      <c r="N209" s="299"/>
    </row>
    <row r="210" spans="1:113" s="12" customFormat="1">
      <c r="A210" s="7"/>
      <c r="B210" s="11"/>
      <c r="C210" s="7"/>
      <c r="D210" s="6"/>
      <c r="E210" s="6"/>
      <c r="F210" s="6"/>
      <c r="G210" s="7"/>
      <c r="H210" s="7"/>
      <c r="I210" s="67"/>
      <c r="J210" s="54"/>
      <c r="K210" s="54"/>
      <c r="L210" s="57"/>
      <c r="M210" s="7"/>
      <c r="N210" s="54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</row>
  </sheetData>
  <mergeCells count="202">
    <mergeCell ref="D8:E8"/>
    <mergeCell ref="B6:F6"/>
    <mergeCell ref="D9:E9"/>
    <mergeCell ref="D10:E10"/>
    <mergeCell ref="D11:E11"/>
    <mergeCell ref="D12:E12"/>
    <mergeCell ref="D22:E22"/>
    <mergeCell ref="D23:E23"/>
    <mergeCell ref="D24:E24"/>
    <mergeCell ref="D25:E25"/>
    <mergeCell ref="D26:E26"/>
    <mergeCell ref="D27:E27"/>
    <mergeCell ref="D208:E208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34:E34"/>
    <mergeCell ref="D35:E35"/>
    <mergeCell ref="D36:E36"/>
    <mergeCell ref="D37:E37"/>
    <mergeCell ref="D38:E38"/>
    <mergeCell ref="D39:E39"/>
    <mergeCell ref="D28:E28"/>
    <mergeCell ref="D29:E29"/>
    <mergeCell ref="D30:E30"/>
    <mergeCell ref="D31:E31"/>
    <mergeCell ref="D32:E32"/>
    <mergeCell ref="D33:E3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58:E58"/>
    <mergeCell ref="D59:E59"/>
    <mergeCell ref="D60:E60"/>
    <mergeCell ref="D61:E61"/>
    <mergeCell ref="D62:E62"/>
    <mergeCell ref="D63:E63"/>
    <mergeCell ref="D52:E52"/>
    <mergeCell ref="D53:E53"/>
    <mergeCell ref="D54:E54"/>
    <mergeCell ref="D55:E55"/>
    <mergeCell ref="D56:E56"/>
    <mergeCell ref="D57:E57"/>
    <mergeCell ref="D70:E70"/>
    <mergeCell ref="D71:E71"/>
    <mergeCell ref="D72:E72"/>
    <mergeCell ref="D73:E73"/>
    <mergeCell ref="D74:E74"/>
    <mergeCell ref="D75:E75"/>
    <mergeCell ref="D64:E64"/>
    <mergeCell ref="D65:E65"/>
    <mergeCell ref="D66:E66"/>
    <mergeCell ref="D67:E67"/>
    <mergeCell ref="D68:E68"/>
    <mergeCell ref="D69:E69"/>
    <mergeCell ref="D82:E82"/>
    <mergeCell ref="D83:E83"/>
    <mergeCell ref="D84:E84"/>
    <mergeCell ref="D85:E85"/>
    <mergeCell ref="D86:E86"/>
    <mergeCell ref="D87:E87"/>
    <mergeCell ref="D76:E76"/>
    <mergeCell ref="D77:E77"/>
    <mergeCell ref="D78:E78"/>
    <mergeCell ref="D79:E79"/>
    <mergeCell ref="D80:E80"/>
    <mergeCell ref="D81:E81"/>
    <mergeCell ref="D94:E94"/>
    <mergeCell ref="D95:E95"/>
    <mergeCell ref="D96:E96"/>
    <mergeCell ref="D97:E97"/>
    <mergeCell ref="D98:E98"/>
    <mergeCell ref="D99:E99"/>
    <mergeCell ref="D88:E88"/>
    <mergeCell ref="D89:E89"/>
    <mergeCell ref="D90:E90"/>
    <mergeCell ref="D91:E91"/>
    <mergeCell ref="D92:E92"/>
    <mergeCell ref="D93:E93"/>
    <mergeCell ref="D106:E106"/>
    <mergeCell ref="D107:E107"/>
    <mergeCell ref="D108:E108"/>
    <mergeCell ref="D109:E109"/>
    <mergeCell ref="D110:E110"/>
    <mergeCell ref="D111:E111"/>
    <mergeCell ref="D100:E100"/>
    <mergeCell ref="D101:E101"/>
    <mergeCell ref="D102:E102"/>
    <mergeCell ref="D103:E103"/>
    <mergeCell ref="D104:E104"/>
    <mergeCell ref="D105:E105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30:E130"/>
    <mergeCell ref="D131:E131"/>
    <mergeCell ref="D132:E132"/>
    <mergeCell ref="D133:E133"/>
    <mergeCell ref="D134:E134"/>
    <mergeCell ref="D135:E135"/>
    <mergeCell ref="D124:E124"/>
    <mergeCell ref="D125:E125"/>
    <mergeCell ref="D126:E126"/>
    <mergeCell ref="D127:E127"/>
    <mergeCell ref="D128:E128"/>
    <mergeCell ref="D129:E129"/>
    <mergeCell ref="D142:E142"/>
    <mergeCell ref="D143:E143"/>
    <mergeCell ref="D144:E144"/>
    <mergeCell ref="D145:E145"/>
    <mergeCell ref="D146:E146"/>
    <mergeCell ref="D147:E147"/>
    <mergeCell ref="D136:E136"/>
    <mergeCell ref="D137:E137"/>
    <mergeCell ref="D138:E138"/>
    <mergeCell ref="D139:E139"/>
    <mergeCell ref="D140:E140"/>
    <mergeCell ref="D141:E141"/>
    <mergeCell ref="D154:E154"/>
    <mergeCell ref="D155:E155"/>
    <mergeCell ref="D156:E156"/>
    <mergeCell ref="D157:E157"/>
    <mergeCell ref="D158:E158"/>
    <mergeCell ref="D159:E159"/>
    <mergeCell ref="D148:E148"/>
    <mergeCell ref="D149:E149"/>
    <mergeCell ref="D150:E150"/>
    <mergeCell ref="D151:E151"/>
    <mergeCell ref="D152:E152"/>
    <mergeCell ref="D153:E153"/>
    <mergeCell ref="D166:E166"/>
    <mergeCell ref="D167:E167"/>
    <mergeCell ref="D168:E168"/>
    <mergeCell ref="D169:E169"/>
    <mergeCell ref="D170:E170"/>
    <mergeCell ref="D171:E171"/>
    <mergeCell ref="D160:E160"/>
    <mergeCell ref="D161:E161"/>
    <mergeCell ref="D162:E162"/>
    <mergeCell ref="D163:E163"/>
    <mergeCell ref="D164:E164"/>
    <mergeCell ref="D165:E165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D190:E190"/>
    <mergeCell ref="D202:E202"/>
    <mergeCell ref="D191:E191"/>
    <mergeCell ref="D192:E192"/>
    <mergeCell ref="D193:E193"/>
    <mergeCell ref="D194:E194"/>
    <mergeCell ref="D195:E195"/>
    <mergeCell ref="D196:E196"/>
    <mergeCell ref="D184:E184"/>
    <mergeCell ref="D185:E185"/>
    <mergeCell ref="D186:E186"/>
    <mergeCell ref="D187:E187"/>
    <mergeCell ref="D188:E188"/>
    <mergeCell ref="D189:E189"/>
    <mergeCell ref="D203:E203"/>
    <mergeCell ref="D204:E204"/>
    <mergeCell ref="D205:E205"/>
    <mergeCell ref="D206:E206"/>
    <mergeCell ref="D207:E207"/>
    <mergeCell ref="D197:E197"/>
    <mergeCell ref="D198:E198"/>
    <mergeCell ref="D199:E199"/>
    <mergeCell ref="D200:E200"/>
    <mergeCell ref="D201:E201"/>
  </mergeCells>
  <dataValidations count="1">
    <dataValidation type="list" allowBlank="1" showInputMessage="1" showErrorMessage="1" sqref="H9:H208" xr:uid="{00000000-0002-0000-0B00-000000000000}">
      <formula1>$P$2:$P$4</formula1>
    </dataValidation>
  </dataValidations>
  <pageMargins left="0.78740157499999996" right="0.78740157499999996" top="0.984251969" bottom="0.984251969" header="0.49212598499999999" footer="0.49212598499999999"/>
  <pageSetup paperSize="9" scale="70" orientation="landscape" horizontalDpi="360" verticalDpi="36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9</vt:i4>
      </vt:variant>
    </vt:vector>
  </HeadingPairs>
  <TitlesOfParts>
    <vt:vector size="21" baseType="lpstr">
      <vt:lpstr>Abertura</vt:lpstr>
      <vt:lpstr>Escalas</vt:lpstr>
      <vt:lpstr>Ameacas-Pré</vt:lpstr>
      <vt:lpstr>Oport-Pré</vt:lpstr>
      <vt:lpstr>VME-Pré</vt:lpstr>
      <vt:lpstr>Resposta-Ameacas</vt:lpstr>
      <vt:lpstr>Resposta-Oport</vt:lpstr>
      <vt:lpstr>VME</vt:lpstr>
      <vt:lpstr>Ameacas</vt:lpstr>
      <vt:lpstr>Oportunidades</vt:lpstr>
      <vt:lpstr>ControleAmeaças</vt:lpstr>
      <vt:lpstr>ControleOport</vt:lpstr>
      <vt:lpstr>AmeaPreVE</vt:lpstr>
      <vt:lpstr>OportPreVE</vt:lpstr>
      <vt:lpstr>Qualitativo</vt:lpstr>
      <vt:lpstr>SensAP</vt:lpstr>
      <vt:lpstr>Escalas!Sensib</vt:lpstr>
      <vt:lpstr>Sensib</vt:lpstr>
      <vt:lpstr>Escalas!SensibO</vt:lpstr>
      <vt:lpstr>SensibO</vt:lpstr>
      <vt:lpstr>SensOP</vt:lpstr>
    </vt:vector>
  </TitlesOfParts>
  <Company>BrainWare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de Análise de Gerência de Riscos.</dc:title>
  <dc:subject>Gerência de Riscos</dc:subject>
  <dc:creator>Mauro Afonso</dc:creator>
  <cp:lastModifiedBy>FDPR-INFO-Adriana Torres</cp:lastModifiedBy>
  <cp:lastPrinted>2003-11-17T14:00:03Z</cp:lastPrinted>
  <dcterms:created xsi:type="dcterms:W3CDTF">2002-09-10T19:20:24Z</dcterms:created>
  <dcterms:modified xsi:type="dcterms:W3CDTF">2024-01-09T13:11:12Z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-2019731290</vt:i4>
  </property>
  <property fmtid="{D5CDD505-2E9C-101B-9397-08002B2CF9AE}" pid="3" name="_EmailSubject">
    <vt:lpwstr>Gerência de Riscos - Ferramenta</vt:lpwstr>
  </property>
  <property fmtid="{D5CDD505-2E9C-101B-9397-08002B2CF9AE}" pid="4" name="_AuthorEmail">
    <vt:lpwstr>silviotrinca@terra.com.br</vt:lpwstr>
  </property>
  <property fmtid="{D5CDD505-2E9C-101B-9397-08002B2CF9AE}" pid="5" name="_AuthorEmailDisplayName">
    <vt:lpwstr>Silvio Trinca</vt:lpwstr>
  </property>
  <property fmtid="{D5CDD505-2E9C-101B-9397-08002B2CF9AE}" pid="6" name="_ReviewingToolsShownOnce">
    <vt:lpwstr/>
  </property>
</Properties>
</file>